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F2BA8319-A56E-4282-BAAB-725826B72BE4}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Dashboard" sheetId="1" r:id="rId1"/>
    <sheet name="Registro" sheetId="2" r:id="rId2"/>
    <sheet name="Gráficas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7" i="1" l="1"/>
  <c r="B25" i="1"/>
  <c r="M24" i="1"/>
  <c r="L24" i="1"/>
  <c r="B24" i="1"/>
  <c r="O23" i="1"/>
  <c r="P23" i="1"/>
  <c r="N23" i="1"/>
  <c r="M23" i="1"/>
  <c r="L23" i="1"/>
  <c r="J23" i="1"/>
  <c r="I23" i="1"/>
  <c r="H23" i="1"/>
  <c r="G23" i="1"/>
  <c r="K23" i="1"/>
  <c r="F23" i="1"/>
  <c r="C23" i="1"/>
  <c r="O22" i="1"/>
  <c r="P22" i="1"/>
  <c r="N22" i="1"/>
  <c r="M22" i="1"/>
  <c r="L22" i="1"/>
  <c r="J22" i="1"/>
  <c r="I22" i="1"/>
  <c r="H22" i="1"/>
  <c r="G22" i="1"/>
  <c r="K22" i="1"/>
  <c r="F22" i="1"/>
  <c r="C22" i="1"/>
  <c r="O21" i="1"/>
  <c r="P21" i="1"/>
  <c r="N21" i="1"/>
  <c r="M21" i="1"/>
  <c r="L21" i="1"/>
  <c r="J21" i="1"/>
  <c r="I21" i="1"/>
  <c r="H21" i="1"/>
  <c r="G21" i="1"/>
  <c r="K21" i="1"/>
  <c r="F21" i="1"/>
  <c r="C21" i="1"/>
  <c r="O20" i="1"/>
  <c r="P20" i="1"/>
  <c r="M20" i="1"/>
  <c r="L20" i="1"/>
  <c r="J20" i="1"/>
  <c r="I20" i="1"/>
  <c r="H20" i="1"/>
  <c r="G20" i="1"/>
  <c r="K20" i="1"/>
  <c r="F20" i="1"/>
  <c r="O19" i="1"/>
  <c r="P19" i="1"/>
  <c r="M19" i="1"/>
  <c r="L19" i="1"/>
  <c r="J19" i="1"/>
  <c r="I19" i="1"/>
  <c r="H19" i="1"/>
  <c r="G19" i="1"/>
  <c r="K19" i="1"/>
  <c r="F19" i="1"/>
  <c r="O18" i="1"/>
  <c r="P18" i="1"/>
  <c r="N18" i="1"/>
  <c r="M18" i="1"/>
  <c r="L18" i="1"/>
  <c r="J18" i="1"/>
  <c r="I18" i="1"/>
  <c r="H18" i="1"/>
  <c r="G18" i="1"/>
  <c r="K18" i="1"/>
  <c r="F18" i="1"/>
  <c r="C18" i="1"/>
  <c r="O17" i="1"/>
  <c r="P17" i="1"/>
  <c r="M17" i="1"/>
  <c r="L17" i="1"/>
  <c r="J17" i="1"/>
  <c r="I17" i="1"/>
  <c r="H17" i="1"/>
  <c r="G17" i="1"/>
  <c r="K17" i="1"/>
  <c r="O16" i="1"/>
  <c r="P16" i="1"/>
  <c r="M16" i="1"/>
  <c r="L16" i="1"/>
  <c r="J16" i="1"/>
  <c r="I16" i="1"/>
  <c r="H16" i="1"/>
  <c r="G16" i="1"/>
  <c r="K16" i="1"/>
  <c r="F16" i="1"/>
  <c r="O15" i="1"/>
  <c r="P15" i="1"/>
  <c r="M15" i="1"/>
  <c r="L15" i="1"/>
  <c r="J15" i="1"/>
  <c r="I15" i="1"/>
  <c r="H15" i="1"/>
  <c r="G15" i="1"/>
  <c r="K15" i="1"/>
  <c r="F15" i="1"/>
  <c r="O14" i="1"/>
  <c r="P14" i="1"/>
  <c r="M14" i="1"/>
  <c r="L14" i="1"/>
  <c r="J14" i="1"/>
  <c r="I14" i="1"/>
  <c r="H14" i="1"/>
  <c r="G14" i="1"/>
  <c r="K14" i="1"/>
  <c r="F14" i="1"/>
  <c r="O13" i="1"/>
  <c r="P13" i="1"/>
  <c r="M13" i="1"/>
  <c r="L13" i="1"/>
  <c r="J13" i="1"/>
  <c r="I13" i="1"/>
  <c r="H13" i="1"/>
  <c r="G13" i="1"/>
  <c r="K13" i="1"/>
  <c r="F13" i="1"/>
  <c r="O12" i="1"/>
  <c r="P12" i="1"/>
  <c r="M12" i="1"/>
  <c r="L12" i="1"/>
  <c r="J12" i="1"/>
  <c r="I12" i="1"/>
  <c r="H12" i="1"/>
  <c r="G12" i="1"/>
  <c r="K12" i="1"/>
  <c r="F12" i="1"/>
  <c r="O11" i="1"/>
  <c r="M11" i="1"/>
  <c r="L11" i="1"/>
  <c r="J11" i="1"/>
  <c r="J24" i="1"/>
  <c r="I11" i="1"/>
  <c r="I24" i="1"/>
  <c r="H11" i="1"/>
  <c r="H24" i="1"/>
  <c r="G11" i="1"/>
  <c r="F11" i="1"/>
  <c r="F24" i="1"/>
  <c r="K4" i="1"/>
  <c r="I4" i="1"/>
  <c r="G4" i="1"/>
  <c r="T604" i="2"/>
  <c r="S604" i="2"/>
  <c r="O604" i="2"/>
  <c r="N604" i="2"/>
  <c r="M604" i="2"/>
  <c r="L604" i="2"/>
  <c r="J604" i="2"/>
  <c r="K604" i="2"/>
  <c r="T603" i="2"/>
  <c r="S603" i="2"/>
  <c r="O603" i="2"/>
  <c r="N603" i="2"/>
  <c r="M603" i="2"/>
  <c r="L603" i="2"/>
  <c r="J603" i="2"/>
  <c r="K603" i="2"/>
  <c r="T602" i="2"/>
  <c r="S602" i="2"/>
  <c r="O602" i="2"/>
  <c r="N602" i="2"/>
  <c r="M602" i="2"/>
  <c r="L602" i="2"/>
  <c r="J602" i="2"/>
  <c r="K602" i="2"/>
  <c r="T601" i="2"/>
  <c r="S601" i="2"/>
  <c r="O601" i="2"/>
  <c r="N601" i="2"/>
  <c r="M601" i="2"/>
  <c r="L601" i="2"/>
  <c r="J601" i="2"/>
  <c r="K601" i="2"/>
  <c r="T600" i="2"/>
  <c r="S600" i="2"/>
  <c r="O600" i="2"/>
  <c r="N600" i="2"/>
  <c r="M600" i="2"/>
  <c r="L600" i="2"/>
  <c r="J600" i="2"/>
  <c r="K600" i="2"/>
  <c r="T599" i="2"/>
  <c r="S599" i="2"/>
  <c r="O599" i="2"/>
  <c r="N599" i="2"/>
  <c r="M599" i="2"/>
  <c r="L599" i="2"/>
  <c r="J599" i="2"/>
  <c r="K599" i="2"/>
  <c r="T598" i="2"/>
  <c r="S598" i="2"/>
  <c r="O598" i="2"/>
  <c r="N598" i="2"/>
  <c r="M598" i="2"/>
  <c r="L598" i="2"/>
  <c r="J598" i="2"/>
  <c r="K598" i="2"/>
  <c r="T597" i="2"/>
  <c r="S597" i="2"/>
  <c r="O597" i="2"/>
  <c r="N597" i="2"/>
  <c r="M597" i="2"/>
  <c r="L597" i="2"/>
  <c r="J597" i="2"/>
  <c r="K597" i="2"/>
  <c r="T596" i="2"/>
  <c r="S596" i="2"/>
  <c r="O596" i="2"/>
  <c r="N596" i="2"/>
  <c r="M596" i="2"/>
  <c r="L596" i="2"/>
  <c r="J596" i="2"/>
  <c r="K596" i="2"/>
  <c r="T595" i="2"/>
  <c r="S595" i="2"/>
  <c r="O595" i="2"/>
  <c r="N595" i="2"/>
  <c r="M595" i="2"/>
  <c r="L595" i="2"/>
  <c r="J595" i="2"/>
  <c r="K595" i="2"/>
  <c r="T594" i="2"/>
  <c r="S594" i="2"/>
  <c r="O594" i="2"/>
  <c r="N594" i="2"/>
  <c r="M594" i="2"/>
  <c r="L594" i="2"/>
  <c r="J594" i="2"/>
  <c r="K594" i="2"/>
  <c r="T593" i="2"/>
  <c r="S593" i="2"/>
  <c r="O593" i="2"/>
  <c r="N593" i="2"/>
  <c r="M593" i="2"/>
  <c r="L593" i="2"/>
  <c r="J593" i="2"/>
  <c r="K593" i="2"/>
  <c r="T592" i="2"/>
  <c r="S592" i="2"/>
  <c r="O592" i="2"/>
  <c r="N592" i="2"/>
  <c r="M592" i="2"/>
  <c r="L592" i="2"/>
  <c r="J592" i="2"/>
  <c r="K592" i="2"/>
  <c r="T591" i="2"/>
  <c r="S591" i="2"/>
  <c r="O591" i="2"/>
  <c r="N591" i="2"/>
  <c r="M591" i="2"/>
  <c r="L591" i="2"/>
  <c r="J591" i="2"/>
  <c r="K591" i="2"/>
  <c r="T590" i="2"/>
  <c r="S590" i="2"/>
  <c r="O590" i="2"/>
  <c r="N590" i="2"/>
  <c r="M590" i="2"/>
  <c r="L590" i="2"/>
  <c r="J590" i="2"/>
  <c r="K590" i="2"/>
  <c r="T589" i="2"/>
  <c r="S589" i="2"/>
  <c r="O589" i="2"/>
  <c r="N589" i="2"/>
  <c r="M589" i="2"/>
  <c r="L589" i="2"/>
  <c r="J589" i="2"/>
  <c r="K589" i="2"/>
  <c r="T588" i="2"/>
  <c r="S588" i="2"/>
  <c r="O588" i="2"/>
  <c r="N588" i="2"/>
  <c r="M588" i="2"/>
  <c r="L588" i="2"/>
  <c r="J588" i="2"/>
  <c r="K588" i="2"/>
  <c r="T587" i="2"/>
  <c r="S587" i="2"/>
  <c r="O587" i="2"/>
  <c r="N587" i="2"/>
  <c r="M587" i="2"/>
  <c r="L587" i="2"/>
  <c r="J587" i="2"/>
  <c r="K587" i="2"/>
  <c r="T586" i="2"/>
  <c r="S586" i="2"/>
  <c r="O586" i="2"/>
  <c r="N586" i="2"/>
  <c r="M586" i="2"/>
  <c r="L586" i="2"/>
  <c r="J586" i="2"/>
  <c r="K586" i="2"/>
  <c r="T585" i="2"/>
  <c r="S585" i="2"/>
  <c r="O585" i="2"/>
  <c r="N585" i="2"/>
  <c r="M585" i="2"/>
  <c r="L585" i="2"/>
  <c r="J585" i="2"/>
  <c r="K585" i="2"/>
  <c r="T584" i="2"/>
  <c r="S584" i="2"/>
  <c r="O584" i="2"/>
  <c r="N584" i="2"/>
  <c r="M584" i="2"/>
  <c r="L584" i="2"/>
  <c r="J584" i="2"/>
  <c r="K584" i="2"/>
  <c r="T583" i="2"/>
  <c r="S583" i="2"/>
  <c r="O583" i="2"/>
  <c r="N583" i="2"/>
  <c r="M583" i="2"/>
  <c r="L583" i="2"/>
  <c r="J583" i="2"/>
  <c r="K583" i="2"/>
  <c r="T582" i="2"/>
  <c r="S582" i="2"/>
  <c r="O582" i="2"/>
  <c r="N582" i="2"/>
  <c r="M582" i="2"/>
  <c r="L582" i="2"/>
  <c r="J582" i="2"/>
  <c r="K582" i="2"/>
  <c r="T581" i="2"/>
  <c r="S581" i="2"/>
  <c r="O581" i="2"/>
  <c r="N581" i="2"/>
  <c r="M581" i="2"/>
  <c r="L581" i="2"/>
  <c r="J581" i="2"/>
  <c r="K581" i="2"/>
  <c r="T580" i="2"/>
  <c r="S580" i="2"/>
  <c r="O580" i="2"/>
  <c r="N580" i="2"/>
  <c r="M580" i="2"/>
  <c r="L580" i="2"/>
  <c r="J580" i="2"/>
  <c r="K580" i="2"/>
  <c r="T579" i="2"/>
  <c r="S579" i="2"/>
  <c r="O579" i="2"/>
  <c r="N579" i="2"/>
  <c r="M579" i="2"/>
  <c r="L579" i="2"/>
  <c r="J579" i="2"/>
  <c r="K579" i="2"/>
  <c r="T578" i="2"/>
  <c r="S578" i="2"/>
  <c r="O578" i="2"/>
  <c r="N578" i="2"/>
  <c r="M578" i="2"/>
  <c r="L578" i="2"/>
  <c r="J578" i="2"/>
  <c r="K578" i="2"/>
  <c r="T577" i="2"/>
  <c r="S577" i="2"/>
  <c r="O577" i="2"/>
  <c r="N577" i="2"/>
  <c r="M577" i="2"/>
  <c r="L577" i="2"/>
  <c r="J577" i="2"/>
  <c r="K577" i="2"/>
  <c r="T576" i="2"/>
  <c r="S576" i="2"/>
  <c r="O576" i="2"/>
  <c r="N576" i="2"/>
  <c r="M576" i="2"/>
  <c r="L576" i="2"/>
  <c r="J576" i="2"/>
  <c r="K576" i="2"/>
  <c r="T575" i="2"/>
  <c r="S575" i="2"/>
  <c r="O575" i="2"/>
  <c r="N575" i="2"/>
  <c r="M575" i="2"/>
  <c r="L575" i="2"/>
  <c r="J575" i="2"/>
  <c r="K575" i="2"/>
  <c r="T574" i="2"/>
  <c r="S574" i="2"/>
  <c r="O574" i="2"/>
  <c r="N574" i="2"/>
  <c r="M574" i="2"/>
  <c r="L574" i="2"/>
  <c r="J574" i="2"/>
  <c r="K574" i="2"/>
  <c r="T573" i="2"/>
  <c r="S573" i="2"/>
  <c r="O573" i="2"/>
  <c r="N573" i="2"/>
  <c r="M573" i="2"/>
  <c r="L573" i="2"/>
  <c r="J573" i="2"/>
  <c r="K573" i="2"/>
  <c r="T572" i="2"/>
  <c r="S572" i="2"/>
  <c r="O572" i="2"/>
  <c r="N572" i="2"/>
  <c r="M572" i="2"/>
  <c r="L572" i="2"/>
  <c r="J572" i="2"/>
  <c r="K572" i="2"/>
  <c r="T571" i="2"/>
  <c r="S571" i="2"/>
  <c r="O571" i="2"/>
  <c r="N571" i="2"/>
  <c r="M571" i="2"/>
  <c r="L571" i="2"/>
  <c r="J571" i="2"/>
  <c r="K571" i="2"/>
  <c r="T570" i="2"/>
  <c r="S570" i="2"/>
  <c r="O570" i="2"/>
  <c r="N570" i="2"/>
  <c r="M570" i="2"/>
  <c r="L570" i="2"/>
  <c r="J570" i="2"/>
  <c r="K570" i="2"/>
  <c r="T569" i="2"/>
  <c r="S569" i="2"/>
  <c r="O569" i="2"/>
  <c r="N569" i="2"/>
  <c r="M569" i="2"/>
  <c r="L569" i="2"/>
  <c r="J569" i="2"/>
  <c r="K569" i="2"/>
  <c r="T568" i="2"/>
  <c r="S568" i="2"/>
  <c r="O568" i="2"/>
  <c r="N568" i="2"/>
  <c r="M568" i="2"/>
  <c r="L568" i="2"/>
  <c r="J568" i="2"/>
  <c r="K568" i="2"/>
  <c r="T567" i="2"/>
  <c r="S567" i="2"/>
  <c r="O567" i="2"/>
  <c r="N567" i="2"/>
  <c r="M567" i="2"/>
  <c r="L567" i="2"/>
  <c r="J567" i="2"/>
  <c r="K567" i="2"/>
  <c r="T566" i="2"/>
  <c r="S566" i="2"/>
  <c r="O566" i="2"/>
  <c r="N566" i="2"/>
  <c r="M566" i="2"/>
  <c r="L566" i="2"/>
  <c r="J566" i="2"/>
  <c r="K566" i="2"/>
  <c r="T565" i="2"/>
  <c r="S565" i="2"/>
  <c r="O565" i="2"/>
  <c r="N565" i="2"/>
  <c r="M565" i="2"/>
  <c r="L565" i="2"/>
  <c r="J565" i="2"/>
  <c r="K565" i="2"/>
  <c r="T564" i="2"/>
  <c r="S564" i="2"/>
  <c r="O564" i="2"/>
  <c r="N564" i="2"/>
  <c r="M564" i="2"/>
  <c r="L564" i="2"/>
  <c r="J564" i="2"/>
  <c r="K564" i="2"/>
  <c r="T563" i="2"/>
  <c r="S563" i="2"/>
  <c r="O563" i="2"/>
  <c r="N563" i="2"/>
  <c r="M563" i="2"/>
  <c r="L563" i="2"/>
  <c r="J563" i="2"/>
  <c r="K563" i="2"/>
  <c r="T562" i="2"/>
  <c r="S562" i="2"/>
  <c r="O562" i="2"/>
  <c r="N562" i="2"/>
  <c r="M562" i="2"/>
  <c r="L562" i="2"/>
  <c r="J562" i="2"/>
  <c r="K562" i="2"/>
  <c r="T561" i="2"/>
  <c r="S561" i="2"/>
  <c r="O561" i="2"/>
  <c r="N561" i="2"/>
  <c r="M561" i="2"/>
  <c r="L561" i="2"/>
  <c r="J561" i="2"/>
  <c r="K561" i="2"/>
  <c r="T560" i="2"/>
  <c r="S560" i="2"/>
  <c r="O560" i="2"/>
  <c r="N560" i="2"/>
  <c r="M560" i="2"/>
  <c r="L560" i="2"/>
  <c r="J560" i="2"/>
  <c r="K560" i="2"/>
  <c r="T559" i="2"/>
  <c r="S559" i="2"/>
  <c r="O559" i="2"/>
  <c r="N559" i="2"/>
  <c r="M559" i="2"/>
  <c r="L559" i="2"/>
  <c r="J559" i="2"/>
  <c r="K559" i="2"/>
  <c r="T558" i="2"/>
  <c r="S558" i="2"/>
  <c r="O558" i="2"/>
  <c r="N558" i="2"/>
  <c r="M558" i="2"/>
  <c r="L558" i="2"/>
  <c r="J558" i="2"/>
  <c r="K558" i="2"/>
  <c r="T557" i="2"/>
  <c r="S557" i="2"/>
  <c r="O557" i="2"/>
  <c r="N557" i="2"/>
  <c r="M557" i="2"/>
  <c r="L557" i="2"/>
  <c r="J557" i="2"/>
  <c r="K557" i="2"/>
  <c r="T556" i="2"/>
  <c r="S556" i="2"/>
  <c r="O556" i="2"/>
  <c r="N556" i="2"/>
  <c r="M556" i="2"/>
  <c r="L556" i="2"/>
  <c r="J556" i="2"/>
  <c r="K556" i="2"/>
  <c r="T555" i="2"/>
  <c r="S555" i="2"/>
  <c r="O555" i="2"/>
  <c r="N555" i="2"/>
  <c r="M555" i="2"/>
  <c r="L555" i="2"/>
  <c r="J555" i="2"/>
  <c r="K555" i="2"/>
  <c r="T554" i="2"/>
  <c r="S554" i="2"/>
  <c r="O554" i="2"/>
  <c r="N554" i="2"/>
  <c r="M554" i="2"/>
  <c r="L554" i="2"/>
  <c r="J554" i="2"/>
  <c r="K554" i="2"/>
  <c r="T553" i="2"/>
  <c r="S553" i="2"/>
  <c r="O553" i="2"/>
  <c r="N553" i="2"/>
  <c r="M553" i="2"/>
  <c r="L553" i="2"/>
  <c r="J553" i="2"/>
  <c r="K553" i="2"/>
  <c r="T552" i="2"/>
  <c r="S552" i="2"/>
  <c r="O552" i="2"/>
  <c r="N552" i="2"/>
  <c r="M552" i="2"/>
  <c r="L552" i="2"/>
  <c r="J552" i="2"/>
  <c r="K552" i="2"/>
  <c r="T551" i="2"/>
  <c r="S551" i="2"/>
  <c r="O551" i="2"/>
  <c r="N551" i="2"/>
  <c r="M551" i="2"/>
  <c r="L551" i="2"/>
  <c r="J551" i="2"/>
  <c r="K551" i="2"/>
  <c r="T550" i="2"/>
  <c r="S550" i="2"/>
  <c r="O550" i="2"/>
  <c r="N550" i="2"/>
  <c r="M550" i="2"/>
  <c r="L550" i="2"/>
  <c r="J550" i="2"/>
  <c r="K550" i="2"/>
  <c r="T549" i="2"/>
  <c r="S549" i="2"/>
  <c r="O549" i="2"/>
  <c r="N549" i="2"/>
  <c r="M549" i="2"/>
  <c r="L549" i="2"/>
  <c r="J549" i="2"/>
  <c r="K549" i="2"/>
  <c r="T548" i="2"/>
  <c r="S548" i="2"/>
  <c r="O548" i="2"/>
  <c r="N548" i="2"/>
  <c r="M548" i="2"/>
  <c r="L548" i="2"/>
  <c r="J548" i="2"/>
  <c r="K548" i="2"/>
  <c r="T547" i="2"/>
  <c r="S547" i="2"/>
  <c r="O547" i="2"/>
  <c r="N547" i="2"/>
  <c r="M547" i="2"/>
  <c r="L547" i="2"/>
  <c r="J547" i="2"/>
  <c r="K547" i="2"/>
  <c r="T546" i="2"/>
  <c r="S546" i="2"/>
  <c r="O546" i="2"/>
  <c r="N546" i="2"/>
  <c r="M546" i="2"/>
  <c r="L546" i="2"/>
  <c r="J546" i="2"/>
  <c r="K546" i="2"/>
  <c r="T545" i="2"/>
  <c r="S545" i="2"/>
  <c r="O545" i="2"/>
  <c r="N545" i="2"/>
  <c r="M545" i="2"/>
  <c r="L545" i="2"/>
  <c r="J545" i="2"/>
  <c r="K545" i="2"/>
  <c r="T544" i="2"/>
  <c r="S544" i="2"/>
  <c r="O544" i="2"/>
  <c r="N544" i="2"/>
  <c r="M544" i="2"/>
  <c r="L544" i="2"/>
  <c r="J544" i="2"/>
  <c r="K544" i="2"/>
  <c r="T543" i="2"/>
  <c r="S543" i="2"/>
  <c r="O543" i="2"/>
  <c r="N543" i="2"/>
  <c r="M543" i="2"/>
  <c r="L543" i="2"/>
  <c r="J543" i="2"/>
  <c r="K543" i="2"/>
  <c r="T542" i="2"/>
  <c r="S542" i="2"/>
  <c r="O542" i="2"/>
  <c r="N542" i="2"/>
  <c r="M542" i="2"/>
  <c r="L542" i="2"/>
  <c r="J542" i="2"/>
  <c r="K542" i="2"/>
  <c r="T541" i="2"/>
  <c r="S541" i="2"/>
  <c r="O541" i="2"/>
  <c r="N541" i="2"/>
  <c r="M541" i="2"/>
  <c r="L541" i="2"/>
  <c r="J541" i="2"/>
  <c r="K541" i="2"/>
  <c r="T540" i="2"/>
  <c r="S540" i="2"/>
  <c r="O540" i="2"/>
  <c r="N540" i="2"/>
  <c r="M540" i="2"/>
  <c r="L540" i="2"/>
  <c r="J540" i="2"/>
  <c r="K540" i="2"/>
  <c r="T539" i="2"/>
  <c r="S539" i="2"/>
  <c r="O539" i="2"/>
  <c r="N539" i="2"/>
  <c r="M539" i="2"/>
  <c r="L539" i="2"/>
  <c r="J539" i="2"/>
  <c r="K539" i="2"/>
  <c r="T538" i="2"/>
  <c r="S538" i="2"/>
  <c r="O538" i="2"/>
  <c r="N538" i="2"/>
  <c r="M538" i="2"/>
  <c r="L538" i="2"/>
  <c r="J538" i="2"/>
  <c r="K538" i="2"/>
  <c r="T537" i="2"/>
  <c r="S537" i="2"/>
  <c r="O537" i="2"/>
  <c r="N537" i="2"/>
  <c r="M537" i="2"/>
  <c r="L537" i="2"/>
  <c r="J537" i="2"/>
  <c r="K537" i="2"/>
  <c r="T536" i="2"/>
  <c r="S536" i="2"/>
  <c r="O536" i="2"/>
  <c r="N536" i="2"/>
  <c r="M536" i="2"/>
  <c r="L536" i="2"/>
  <c r="J536" i="2"/>
  <c r="K536" i="2"/>
  <c r="T535" i="2"/>
  <c r="S535" i="2"/>
  <c r="O535" i="2"/>
  <c r="N535" i="2"/>
  <c r="M535" i="2"/>
  <c r="L535" i="2"/>
  <c r="J535" i="2"/>
  <c r="K535" i="2"/>
  <c r="T534" i="2"/>
  <c r="S534" i="2"/>
  <c r="O534" i="2"/>
  <c r="N534" i="2"/>
  <c r="M534" i="2"/>
  <c r="L534" i="2"/>
  <c r="J534" i="2"/>
  <c r="K534" i="2"/>
  <c r="T533" i="2"/>
  <c r="S533" i="2"/>
  <c r="O533" i="2"/>
  <c r="N533" i="2"/>
  <c r="M533" i="2"/>
  <c r="L533" i="2"/>
  <c r="J533" i="2"/>
  <c r="K533" i="2"/>
  <c r="T532" i="2"/>
  <c r="S532" i="2"/>
  <c r="O532" i="2"/>
  <c r="N532" i="2"/>
  <c r="M532" i="2"/>
  <c r="L532" i="2"/>
  <c r="J532" i="2"/>
  <c r="K532" i="2"/>
  <c r="T531" i="2"/>
  <c r="S531" i="2"/>
  <c r="O531" i="2"/>
  <c r="N531" i="2"/>
  <c r="M531" i="2"/>
  <c r="L531" i="2"/>
  <c r="J531" i="2"/>
  <c r="K531" i="2"/>
  <c r="T530" i="2"/>
  <c r="S530" i="2"/>
  <c r="O530" i="2"/>
  <c r="N530" i="2"/>
  <c r="M530" i="2"/>
  <c r="L530" i="2"/>
  <c r="J530" i="2"/>
  <c r="K530" i="2"/>
  <c r="T529" i="2"/>
  <c r="S529" i="2"/>
  <c r="O529" i="2"/>
  <c r="N529" i="2"/>
  <c r="M529" i="2"/>
  <c r="L529" i="2"/>
  <c r="J529" i="2"/>
  <c r="K529" i="2"/>
  <c r="T528" i="2"/>
  <c r="S528" i="2"/>
  <c r="O528" i="2"/>
  <c r="N528" i="2"/>
  <c r="M528" i="2"/>
  <c r="L528" i="2"/>
  <c r="J528" i="2"/>
  <c r="K528" i="2"/>
  <c r="T527" i="2"/>
  <c r="S527" i="2"/>
  <c r="O527" i="2"/>
  <c r="N527" i="2"/>
  <c r="M527" i="2"/>
  <c r="L527" i="2"/>
  <c r="J527" i="2"/>
  <c r="K527" i="2"/>
  <c r="T526" i="2"/>
  <c r="S526" i="2"/>
  <c r="O526" i="2"/>
  <c r="N526" i="2"/>
  <c r="M526" i="2"/>
  <c r="L526" i="2"/>
  <c r="J526" i="2"/>
  <c r="K526" i="2"/>
  <c r="T525" i="2"/>
  <c r="S525" i="2"/>
  <c r="O525" i="2"/>
  <c r="N525" i="2"/>
  <c r="M525" i="2"/>
  <c r="L525" i="2"/>
  <c r="J525" i="2"/>
  <c r="K525" i="2"/>
  <c r="T524" i="2"/>
  <c r="S524" i="2"/>
  <c r="O524" i="2"/>
  <c r="N524" i="2"/>
  <c r="M524" i="2"/>
  <c r="L524" i="2"/>
  <c r="J524" i="2"/>
  <c r="K524" i="2"/>
  <c r="T523" i="2"/>
  <c r="S523" i="2"/>
  <c r="O523" i="2"/>
  <c r="N523" i="2"/>
  <c r="M523" i="2"/>
  <c r="L523" i="2"/>
  <c r="J523" i="2"/>
  <c r="K523" i="2"/>
  <c r="T522" i="2"/>
  <c r="S522" i="2"/>
  <c r="O522" i="2"/>
  <c r="N522" i="2"/>
  <c r="M522" i="2"/>
  <c r="L522" i="2"/>
  <c r="J522" i="2"/>
  <c r="K522" i="2"/>
  <c r="T521" i="2"/>
  <c r="S521" i="2"/>
  <c r="O521" i="2"/>
  <c r="N521" i="2"/>
  <c r="M521" i="2"/>
  <c r="L521" i="2"/>
  <c r="J521" i="2"/>
  <c r="K521" i="2"/>
  <c r="T520" i="2"/>
  <c r="S520" i="2"/>
  <c r="O520" i="2"/>
  <c r="N520" i="2"/>
  <c r="M520" i="2"/>
  <c r="L520" i="2"/>
  <c r="J520" i="2"/>
  <c r="K520" i="2"/>
  <c r="T519" i="2"/>
  <c r="S519" i="2"/>
  <c r="O519" i="2"/>
  <c r="N519" i="2"/>
  <c r="M519" i="2"/>
  <c r="L519" i="2"/>
  <c r="J519" i="2"/>
  <c r="K519" i="2"/>
  <c r="T518" i="2"/>
  <c r="S518" i="2"/>
  <c r="O518" i="2"/>
  <c r="N518" i="2"/>
  <c r="M518" i="2"/>
  <c r="L518" i="2"/>
  <c r="J518" i="2"/>
  <c r="K518" i="2"/>
  <c r="T517" i="2"/>
  <c r="S517" i="2"/>
  <c r="O517" i="2"/>
  <c r="N517" i="2"/>
  <c r="M517" i="2"/>
  <c r="L517" i="2"/>
  <c r="J517" i="2"/>
  <c r="K517" i="2"/>
  <c r="T516" i="2"/>
  <c r="S516" i="2"/>
  <c r="O516" i="2"/>
  <c r="N516" i="2"/>
  <c r="M516" i="2"/>
  <c r="L516" i="2"/>
  <c r="J516" i="2"/>
  <c r="K516" i="2"/>
  <c r="T515" i="2"/>
  <c r="S515" i="2"/>
  <c r="O515" i="2"/>
  <c r="N515" i="2"/>
  <c r="M515" i="2"/>
  <c r="L515" i="2"/>
  <c r="J515" i="2"/>
  <c r="K515" i="2"/>
  <c r="T514" i="2"/>
  <c r="S514" i="2"/>
  <c r="O514" i="2"/>
  <c r="N514" i="2"/>
  <c r="M514" i="2"/>
  <c r="L514" i="2"/>
  <c r="J514" i="2"/>
  <c r="K514" i="2"/>
  <c r="T513" i="2"/>
  <c r="S513" i="2"/>
  <c r="O513" i="2"/>
  <c r="N513" i="2"/>
  <c r="M513" i="2"/>
  <c r="L513" i="2"/>
  <c r="J513" i="2"/>
  <c r="K513" i="2"/>
  <c r="S512" i="2"/>
  <c r="O512" i="2"/>
  <c r="N512" i="2"/>
  <c r="M512" i="2"/>
  <c r="J512" i="2"/>
  <c r="L512" i="2" s="1"/>
  <c r="S511" i="2"/>
  <c r="O511" i="2"/>
  <c r="N511" i="2"/>
  <c r="M511" i="2"/>
  <c r="J511" i="2"/>
  <c r="L511" i="2" s="1"/>
  <c r="S510" i="2"/>
  <c r="O510" i="2"/>
  <c r="N510" i="2"/>
  <c r="M510" i="2"/>
  <c r="J510" i="2"/>
  <c r="L510" i="2" s="1"/>
  <c r="S509" i="2"/>
  <c r="O509" i="2"/>
  <c r="N509" i="2"/>
  <c r="M509" i="2"/>
  <c r="J509" i="2"/>
  <c r="L509" i="2" s="1"/>
  <c r="K509" i="2"/>
  <c r="S508" i="2"/>
  <c r="O508" i="2"/>
  <c r="N508" i="2"/>
  <c r="M508" i="2"/>
  <c r="J508" i="2"/>
  <c r="K508" i="2"/>
  <c r="S507" i="2"/>
  <c r="O507" i="2"/>
  <c r="N507" i="2"/>
  <c r="M507" i="2"/>
  <c r="J507" i="2"/>
  <c r="L507" i="2" s="1"/>
  <c r="S506" i="2"/>
  <c r="O506" i="2"/>
  <c r="N506" i="2"/>
  <c r="M506" i="2"/>
  <c r="J506" i="2"/>
  <c r="L506" i="2" s="1"/>
  <c r="S505" i="2"/>
  <c r="O505" i="2"/>
  <c r="N505" i="2"/>
  <c r="M505" i="2"/>
  <c r="J505" i="2"/>
  <c r="K511" i="2" s="1"/>
  <c r="K505" i="2"/>
  <c r="S504" i="2"/>
  <c r="O504" i="2"/>
  <c r="N504" i="2"/>
  <c r="M504" i="2"/>
  <c r="J504" i="2"/>
  <c r="L504" i="2" s="1"/>
  <c r="K504" i="2"/>
  <c r="S503" i="2"/>
  <c r="O503" i="2"/>
  <c r="N503" i="2"/>
  <c r="M503" i="2"/>
  <c r="J503" i="2"/>
  <c r="L503" i="2" s="1"/>
  <c r="S502" i="2"/>
  <c r="O502" i="2"/>
  <c r="N502" i="2"/>
  <c r="M502" i="2"/>
  <c r="J502" i="2"/>
  <c r="L502" i="2" s="1"/>
  <c r="S501" i="2"/>
  <c r="O501" i="2"/>
  <c r="N501" i="2"/>
  <c r="M501" i="2"/>
  <c r="J501" i="2"/>
  <c r="L501" i="2" s="1"/>
  <c r="S500" i="2"/>
  <c r="O500" i="2"/>
  <c r="N500" i="2"/>
  <c r="M500" i="2"/>
  <c r="J500" i="2"/>
  <c r="L500" i="2" s="1"/>
  <c r="S499" i="2"/>
  <c r="O499" i="2"/>
  <c r="N499" i="2"/>
  <c r="M499" i="2"/>
  <c r="J499" i="2"/>
  <c r="L499" i="2" s="1"/>
  <c r="S498" i="2"/>
  <c r="O498" i="2"/>
  <c r="N498" i="2"/>
  <c r="M498" i="2"/>
  <c r="J498" i="2"/>
  <c r="L498" i="2" s="1"/>
  <c r="S497" i="2"/>
  <c r="O497" i="2"/>
  <c r="N497" i="2"/>
  <c r="M497" i="2"/>
  <c r="J497" i="2"/>
  <c r="L497" i="2" s="1"/>
  <c r="S496" i="2"/>
  <c r="O496" i="2"/>
  <c r="N496" i="2"/>
  <c r="M496" i="2"/>
  <c r="L496" i="2"/>
  <c r="J496" i="2"/>
  <c r="K496" i="2"/>
  <c r="S495" i="2"/>
  <c r="O495" i="2"/>
  <c r="N495" i="2"/>
  <c r="M495" i="2"/>
  <c r="J495" i="2"/>
  <c r="L495" i="2" s="1"/>
  <c r="S494" i="2"/>
  <c r="O494" i="2"/>
  <c r="N494" i="2"/>
  <c r="M494" i="2"/>
  <c r="J494" i="2"/>
  <c r="K494" i="2"/>
  <c r="S493" i="2"/>
  <c r="O493" i="2"/>
  <c r="N493" i="2"/>
  <c r="M493" i="2"/>
  <c r="J493" i="2"/>
  <c r="L493" i="2" s="1"/>
  <c r="S492" i="2"/>
  <c r="O492" i="2"/>
  <c r="N492" i="2"/>
  <c r="M492" i="2"/>
  <c r="J492" i="2"/>
  <c r="K492" i="2"/>
  <c r="S491" i="2"/>
  <c r="O491" i="2"/>
  <c r="N491" i="2"/>
  <c r="M491" i="2"/>
  <c r="J491" i="2"/>
  <c r="L491" i="2" s="1"/>
  <c r="K491" i="2"/>
  <c r="S490" i="2"/>
  <c r="O490" i="2"/>
  <c r="N490" i="2"/>
  <c r="M490" i="2"/>
  <c r="J490" i="2"/>
  <c r="L490" i="2" s="1"/>
  <c r="S489" i="2"/>
  <c r="O489" i="2"/>
  <c r="N489" i="2"/>
  <c r="M489" i="2"/>
  <c r="J489" i="2"/>
  <c r="L489" i="2" s="1"/>
  <c r="S488" i="2"/>
  <c r="O488" i="2"/>
  <c r="N488" i="2"/>
  <c r="M488" i="2"/>
  <c r="J488" i="2"/>
  <c r="L488" i="2" s="1"/>
  <c r="S487" i="2"/>
  <c r="O487" i="2"/>
  <c r="N487" i="2"/>
  <c r="M487" i="2"/>
  <c r="L487" i="2"/>
  <c r="J487" i="2"/>
  <c r="S486" i="2"/>
  <c r="O486" i="2"/>
  <c r="N486" i="2"/>
  <c r="M486" i="2"/>
  <c r="J486" i="2"/>
  <c r="L486" i="2" s="1"/>
  <c r="S485" i="2"/>
  <c r="O485" i="2"/>
  <c r="N485" i="2"/>
  <c r="M485" i="2"/>
  <c r="J485" i="2"/>
  <c r="L485" i="2" s="1"/>
  <c r="S484" i="2"/>
  <c r="O484" i="2"/>
  <c r="N484" i="2"/>
  <c r="M484" i="2"/>
  <c r="J484" i="2"/>
  <c r="L484" i="2"/>
  <c r="J482" i="2"/>
  <c r="S483" i="2"/>
  <c r="O483" i="2"/>
  <c r="N483" i="2"/>
  <c r="M483" i="2"/>
  <c r="J483" i="2"/>
  <c r="S482" i="2"/>
  <c r="O482" i="2"/>
  <c r="N482" i="2"/>
  <c r="M482" i="2"/>
  <c r="L482" i="2"/>
  <c r="S481" i="2"/>
  <c r="O481" i="2"/>
  <c r="N481" i="2"/>
  <c r="M481" i="2"/>
  <c r="J481" i="2"/>
  <c r="L481" i="2"/>
  <c r="S480" i="2"/>
  <c r="O480" i="2"/>
  <c r="N480" i="2"/>
  <c r="M480" i="2"/>
  <c r="J480" i="2"/>
  <c r="S479" i="2"/>
  <c r="O479" i="2"/>
  <c r="N479" i="2"/>
  <c r="M479" i="2"/>
  <c r="J479" i="2"/>
  <c r="L479" i="2"/>
  <c r="S478" i="2"/>
  <c r="O478" i="2"/>
  <c r="N478" i="2"/>
  <c r="M478" i="2"/>
  <c r="J478" i="2"/>
  <c r="L478" i="2"/>
  <c r="S477" i="2"/>
  <c r="O477" i="2"/>
  <c r="N477" i="2"/>
  <c r="M477" i="2"/>
  <c r="J477" i="2"/>
  <c r="S476" i="2"/>
  <c r="O476" i="2"/>
  <c r="N476" i="2"/>
  <c r="M476" i="2"/>
  <c r="J476" i="2"/>
  <c r="L476" i="2"/>
  <c r="S475" i="2"/>
  <c r="O475" i="2"/>
  <c r="N475" i="2"/>
  <c r="M475" i="2"/>
  <c r="J475" i="2"/>
  <c r="S474" i="2"/>
  <c r="O474" i="2"/>
  <c r="N474" i="2"/>
  <c r="M474" i="2"/>
  <c r="J474" i="2"/>
  <c r="S473" i="2"/>
  <c r="O473" i="2"/>
  <c r="N473" i="2"/>
  <c r="M473" i="2"/>
  <c r="J473" i="2"/>
  <c r="L473" i="2"/>
  <c r="S472" i="2"/>
  <c r="O472" i="2"/>
  <c r="N472" i="2"/>
  <c r="M472" i="2"/>
  <c r="J472" i="2"/>
  <c r="S471" i="2"/>
  <c r="O471" i="2"/>
  <c r="N471" i="2"/>
  <c r="M471" i="2"/>
  <c r="J471" i="2"/>
  <c r="L471" i="2"/>
  <c r="S470" i="2"/>
  <c r="O470" i="2"/>
  <c r="N470" i="2"/>
  <c r="M470" i="2"/>
  <c r="J470" i="2"/>
  <c r="L470" i="2"/>
  <c r="S469" i="2"/>
  <c r="O469" i="2"/>
  <c r="N469" i="2"/>
  <c r="M469" i="2"/>
  <c r="J469" i="2"/>
  <c r="S468" i="2"/>
  <c r="O468" i="2"/>
  <c r="N468" i="2"/>
  <c r="M468" i="2"/>
  <c r="J468" i="2"/>
  <c r="L468" i="2"/>
  <c r="S467" i="2"/>
  <c r="O467" i="2"/>
  <c r="N467" i="2"/>
  <c r="M467" i="2"/>
  <c r="J467" i="2"/>
  <c r="L467" i="2"/>
  <c r="S466" i="2"/>
  <c r="O466" i="2"/>
  <c r="N466" i="2"/>
  <c r="M466" i="2"/>
  <c r="J466" i="2"/>
  <c r="S465" i="2"/>
  <c r="O465" i="2"/>
  <c r="N465" i="2"/>
  <c r="M465" i="2"/>
  <c r="J465" i="2"/>
  <c r="L465" i="2"/>
  <c r="S464" i="2"/>
  <c r="O464" i="2"/>
  <c r="N464" i="2"/>
  <c r="M464" i="2"/>
  <c r="J464" i="2"/>
  <c r="L464" i="2"/>
  <c r="S463" i="2"/>
  <c r="O463" i="2"/>
  <c r="N463" i="2"/>
  <c r="M463" i="2"/>
  <c r="J463" i="2"/>
  <c r="L463" i="2"/>
  <c r="S462" i="2"/>
  <c r="O462" i="2"/>
  <c r="N462" i="2"/>
  <c r="M462" i="2"/>
  <c r="J462" i="2"/>
  <c r="L462" i="2"/>
  <c r="S461" i="2"/>
  <c r="O461" i="2"/>
  <c r="N461" i="2"/>
  <c r="M461" i="2"/>
  <c r="J461" i="2"/>
  <c r="L461" i="2"/>
  <c r="S460" i="2"/>
  <c r="O460" i="2"/>
  <c r="N460" i="2"/>
  <c r="M460" i="2"/>
  <c r="J460" i="2"/>
  <c r="L460" i="2"/>
  <c r="S459" i="2"/>
  <c r="O459" i="2"/>
  <c r="N459" i="2"/>
  <c r="M459" i="2"/>
  <c r="J459" i="2"/>
  <c r="L459" i="2"/>
  <c r="S458" i="2"/>
  <c r="O458" i="2"/>
  <c r="N458" i="2"/>
  <c r="M458" i="2"/>
  <c r="J458" i="2"/>
  <c r="L458" i="2"/>
  <c r="S457" i="2"/>
  <c r="O457" i="2"/>
  <c r="N457" i="2"/>
  <c r="M457" i="2"/>
  <c r="J457" i="2"/>
  <c r="L457" i="2"/>
  <c r="S456" i="2"/>
  <c r="O456" i="2"/>
  <c r="N456" i="2"/>
  <c r="M456" i="2"/>
  <c r="J456" i="2"/>
  <c r="S455" i="2"/>
  <c r="O455" i="2"/>
  <c r="N455" i="2"/>
  <c r="M455" i="2"/>
  <c r="J455" i="2"/>
  <c r="S454" i="2"/>
  <c r="O454" i="2"/>
  <c r="N454" i="2"/>
  <c r="M454" i="2"/>
  <c r="J454" i="2"/>
  <c r="L454" i="2"/>
  <c r="S453" i="2"/>
  <c r="O453" i="2"/>
  <c r="N453" i="2"/>
  <c r="M453" i="2"/>
  <c r="J453" i="2"/>
  <c r="S452" i="2"/>
  <c r="O452" i="2"/>
  <c r="N452" i="2"/>
  <c r="M452" i="2"/>
  <c r="J452" i="2"/>
  <c r="L452" i="2"/>
  <c r="S451" i="2"/>
  <c r="O451" i="2"/>
  <c r="N451" i="2"/>
  <c r="M451" i="2"/>
  <c r="J451" i="2"/>
  <c r="L451" i="2"/>
  <c r="S450" i="2"/>
  <c r="O450" i="2"/>
  <c r="N450" i="2"/>
  <c r="M450" i="2"/>
  <c r="J450" i="2"/>
  <c r="L450" i="2"/>
  <c r="S449" i="2"/>
  <c r="O449" i="2"/>
  <c r="N449" i="2"/>
  <c r="M449" i="2"/>
  <c r="J449" i="2"/>
  <c r="L449" i="2"/>
  <c r="S448" i="2"/>
  <c r="O448" i="2"/>
  <c r="N448" i="2"/>
  <c r="M448" i="2"/>
  <c r="J448" i="2"/>
  <c r="S447" i="2"/>
  <c r="O447" i="2"/>
  <c r="N447" i="2"/>
  <c r="M447" i="2"/>
  <c r="J447" i="2"/>
  <c r="L447" i="2"/>
  <c r="S446" i="2"/>
  <c r="O446" i="2"/>
  <c r="N446" i="2"/>
  <c r="M446" i="2"/>
  <c r="J446" i="2"/>
  <c r="L446" i="2"/>
  <c r="S445" i="2"/>
  <c r="O445" i="2"/>
  <c r="N445" i="2"/>
  <c r="M445" i="2"/>
  <c r="J445" i="2"/>
  <c r="S444" i="2"/>
  <c r="O444" i="2"/>
  <c r="N444" i="2"/>
  <c r="M444" i="2"/>
  <c r="J444" i="2"/>
  <c r="S443" i="2"/>
  <c r="O443" i="2"/>
  <c r="N443" i="2"/>
  <c r="M443" i="2"/>
  <c r="J443" i="2"/>
  <c r="L443" i="2"/>
  <c r="S442" i="2"/>
  <c r="O442" i="2"/>
  <c r="N442" i="2"/>
  <c r="M442" i="2"/>
  <c r="J442" i="2"/>
  <c r="S441" i="2"/>
  <c r="O441" i="2"/>
  <c r="N441" i="2"/>
  <c r="M441" i="2"/>
  <c r="J441" i="2"/>
  <c r="L441" i="2"/>
  <c r="S440" i="2"/>
  <c r="O440" i="2"/>
  <c r="N440" i="2"/>
  <c r="M440" i="2"/>
  <c r="J440" i="2"/>
  <c r="S439" i="2"/>
  <c r="O439" i="2"/>
  <c r="N439" i="2"/>
  <c r="M439" i="2"/>
  <c r="J439" i="2"/>
  <c r="S438" i="2"/>
  <c r="O438" i="2"/>
  <c r="N438" i="2"/>
  <c r="M438" i="2"/>
  <c r="J438" i="2"/>
  <c r="S437" i="2"/>
  <c r="O437" i="2"/>
  <c r="N437" i="2"/>
  <c r="M437" i="2"/>
  <c r="J437" i="2"/>
  <c r="S436" i="2"/>
  <c r="O436" i="2"/>
  <c r="N436" i="2"/>
  <c r="M436" i="2"/>
  <c r="L436" i="2"/>
  <c r="J436" i="2"/>
  <c r="S435" i="2"/>
  <c r="O435" i="2"/>
  <c r="N435" i="2"/>
  <c r="M435" i="2"/>
  <c r="J435" i="2"/>
  <c r="S434" i="2"/>
  <c r="O434" i="2"/>
  <c r="N434" i="2"/>
  <c r="M434" i="2"/>
  <c r="J434" i="2"/>
  <c r="S433" i="2"/>
  <c r="O433" i="2"/>
  <c r="N433" i="2"/>
  <c r="M433" i="2"/>
  <c r="J433" i="2"/>
  <c r="S432" i="2"/>
  <c r="O432" i="2"/>
  <c r="N432" i="2"/>
  <c r="M432" i="2"/>
  <c r="J432" i="2"/>
  <c r="S431" i="2"/>
  <c r="O431" i="2"/>
  <c r="N431" i="2"/>
  <c r="M431" i="2"/>
  <c r="J431" i="2"/>
  <c r="S430" i="2"/>
  <c r="O430" i="2"/>
  <c r="N430" i="2"/>
  <c r="M430" i="2"/>
  <c r="J430" i="2"/>
  <c r="S429" i="2"/>
  <c r="O429" i="2"/>
  <c r="N429" i="2"/>
  <c r="M429" i="2"/>
  <c r="J429" i="2"/>
  <c r="S428" i="2"/>
  <c r="O428" i="2"/>
  <c r="N428" i="2"/>
  <c r="M428" i="2"/>
  <c r="J428" i="2"/>
  <c r="S427" i="2"/>
  <c r="O427" i="2"/>
  <c r="N427" i="2"/>
  <c r="M427" i="2"/>
  <c r="J427" i="2"/>
  <c r="S426" i="2"/>
  <c r="O426" i="2"/>
  <c r="N426" i="2"/>
  <c r="M426" i="2"/>
  <c r="J426" i="2"/>
  <c r="S425" i="2"/>
  <c r="O425" i="2"/>
  <c r="N425" i="2"/>
  <c r="M425" i="2"/>
  <c r="J425" i="2"/>
  <c r="S424" i="2"/>
  <c r="O424" i="2"/>
  <c r="N424" i="2"/>
  <c r="M424" i="2"/>
  <c r="J424" i="2"/>
  <c r="S423" i="2"/>
  <c r="O423" i="2"/>
  <c r="N423" i="2"/>
  <c r="M423" i="2"/>
  <c r="J423" i="2"/>
  <c r="S422" i="2"/>
  <c r="O422" i="2"/>
  <c r="N422" i="2"/>
  <c r="M422" i="2"/>
  <c r="J422" i="2"/>
  <c r="S421" i="2"/>
  <c r="O421" i="2"/>
  <c r="N421" i="2"/>
  <c r="M421" i="2"/>
  <c r="J421" i="2"/>
  <c r="S420" i="2"/>
  <c r="O420" i="2"/>
  <c r="N420" i="2"/>
  <c r="M420" i="2"/>
  <c r="J420" i="2"/>
  <c r="S419" i="2"/>
  <c r="O419" i="2"/>
  <c r="N419" i="2"/>
  <c r="M419" i="2"/>
  <c r="J419" i="2"/>
  <c r="S418" i="2"/>
  <c r="O418" i="2"/>
  <c r="N418" i="2"/>
  <c r="M418" i="2"/>
  <c r="J418" i="2"/>
  <c r="S417" i="2"/>
  <c r="O417" i="2"/>
  <c r="N417" i="2"/>
  <c r="M417" i="2"/>
  <c r="J417" i="2"/>
  <c r="S416" i="2"/>
  <c r="O416" i="2"/>
  <c r="N416" i="2"/>
  <c r="M416" i="2"/>
  <c r="J416" i="2"/>
  <c r="S415" i="2"/>
  <c r="O415" i="2"/>
  <c r="N415" i="2"/>
  <c r="M415" i="2"/>
  <c r="J415" i="2"/>
  <c r="S414" i="2"/>
  <c r="O414" i="2"/>
  <c r="N414" i="2"/>
  <c r="M414" i="2"/>
  <c r="J414" i="2"/>
  <c r="S413" i="2"/>
  <c r="O413" i="2"/>
  <c r="N413" i="2"/>
  <c r="M413" i="2"/>
  <c r="J413" i="2"/>
  <c r="S412" i="2"/>
  <c r="O412" i="2"/>
  <c r="N412" i="2"/>
  <c r="M412" i="2"/>
  <c r="J412" i="2"/>
  <c r="S411" i="2"/>
  <c r="O411" i="2"/>
  <c r="N411" i="2"/>
  <c r="M411" i="2"/>
  <c r="J411" i="2"/>
  <c r="S410" i="2"/>
  <c r="O410" i="2"/>
  <c r="N410" i="2"/>
  <c r="M410" i="2"/>
  <c r="J410" i="2"/>
  <c r="S409" i="2"/>
  <c r="O409" i="2"/>
  <c r="N409" i="2"/>
  <c r="M409" i="2"/>
  <c r="J409" i="2"/>
  <c r="S408" i="2"/>
  <c r="O408" i="2"/>
  <c r="N408" i="2"/>
  <c r="M408" i="2"/>
  <c r="J408" i="2"/>
  <c r="S407" i="2"/>
  <c r="O407" i="2"/>
  <c r="N407" i="2"/>
  <c r="M407" i="2"/>
  <c r="J407" i="2"/>
  <c r="S406" i="2"/>
  <c r="O406" i="2"/>
  <c r="N406" i="2"/>
  <c r="M406" i="2"/>
  <c r="J406" i="2"/>
  <c r="S405" i="2"/>
  <c r="O405" i="2"/>
  <c r="N405" i="2"/>
  <c r="M405" i="2"/>
  <c r="J405" i="2"/>
  <c r="S404" i="2"/>
  <c r="O404" i="2"/>
  <c r="N404" i="2"/>
  <c r="M404" i="2"/>
  <c r="J404" i="2"/>
  <c r="S403" i="2"/>
  <c r="O403" i="2"/>
  <c r="N403" i="2"/>
  <c r="M403" i="2"/>
  <c r="J403" i="2"/>
  <c r="S402" i="2"/>
  <c r="O402" i="2"/>
  <c r="N402" i="2"/>
  <c r="M402" i="2"/>
  <c r="J402" i="2"/>
  <c r="S401" i="2"/>
  <c r="O401" i="2"/>
  <c r="N401" i="2"/>
  <c r="M401" i="2"/>
  <c r="J401" i="2"/>
  <c r="S400" i="2"/>
  <c r="O400" i="2"/>
  <c r="N400" i="2"/>
  <c r="M400" i="2"/>
  <c r="J400" i="2"/>
  <c r="S399" i="2"/>
  <c r="O399" i="2"/>
  <c r="N399" i="2"/>
  <c r="M399" i="2"/>
  <c r="J399" i="2"/>
  <c r="S398" i="2"/>
  <c r="O398" i="2"/>
  <c r="N398" i="2"/>
  <c r="M398" i="2"/>
  <c r="J398" i="2"/>
  <c r="S397" i="2"/>
  <c r="O397" i="2"/>
  <c r="N397" i="2"/>
  <c r="M397" i="2"/>
  <c r="J397" i="2"/>
  <c r="S396" i="2"/>
  <c r="O396" i="2"/>
  <c r="N396" i="2"/>
  <c r="M396" i="2"/>
  <c r="J396" i="2"/>
  <c r="S395" i="2"/>
  <c r="O395" i="2"/>
  <c r="N395" i="2"/>
  <c r="M395" i="2"/>
  <c r="J395" i="2"/>
  <c r="S394" i="2"/>
  <c r="O394" i="2"/>
  <c r="N394" i="2"/>
  <c r="M394" i="2"/>
  <c r="J394" i="2"/>
  <c r="S393" i="2"/>
  <c r="O393" i="2"/>
  <c r="N393" i="2"/>
  <c r="M393" i="2"/>
  <c r="J393" i="2"/>
  <c r="S392" i="2"/>
  <c r="O392" i="2"/>
  <c r="N392" i="2"/>
  <c r="M392" i="2"/>
  <c r="J392" i="2"/>
  <c r="S391" i="2"/>
  <c r="O391" i="2"/>
  <c r="N391" i="2"/>
  <c r="M391" i="2"/>
  <c r="J391" i="2"/>
  <c r="S390" i="2"/>
  <c r="O390" i="2"/>
  <c r="N390" i="2"/>
  <c r="M390" i="2"/>
  <c r="J390" i="2"/>
  <c r="S389" i="2"/>
  <c r="O389" i="2"/>
  <c r="N389" i="2"/>
  <c r="M389" i="2"/>
  <c r="L389" i="2"/>
  <c r="J389" i="2"/>
  <c r="S388" i="2"/>
  <c r="O388" i="2"/>
  <c r="N388" i="2"/>
  <c r="M388" i="2"/>
  <c r="J388" i="2"/>
  <c r="S387" i="2"/>
  <c r="O387" i="2"/>
  <c r="N387" i="2"/>
  <c r="M387" i="2"/>
  <c r="J387" i="2"/>
  <c r="S386" i="2"/>
  <c r="O386" i="2"/>
  <c r="N386" i="2"/>
  <c r="M386" i="2"/>
  <c r="J386" i="2"/>
  <c r="S385" i="2"/>
  <c r="O385" i="2"/>
  <c r="N385" i="2"/>
  <c r="M385" i="2"/>
  <c r="J385" i="2"/>
  <c r="S384" i="2"/>
  <c r="O384" i="2"/>
  <c r="N384" i="2"/>
  <c r="M384" i="2"/>
  <c r="J384" i="2"/>
  <c r="S383" i="2"/>
  <c r="O383" i="2"/>
  <c r="N383" i="2"/>
  <c r="M383" i="2"/>
  <c r="J383" i="2"/>
  <c r="S382" i="2"/>
  <c r="O382" i="2"/>
  <c r="N382" i="2"/>
  <c r="M382" i="2"/>
  <c r="J382" i="2"/>
  <c r="S381" i="2"/>
  <c r="O381" i="2"/>
  <c r="N381" i="2"/>
  <c r="M381" i="2"/>
  <c r="J381" i="2"/>
  <c r="S380" i="2"/>
  <c r="O380" i="2"/>
  <c r="N380" i="2"/>
  <c r="M380" i="2"/>
  <c r="J380" i="2"/>
  <c r="S379" i="2"/>
  <c r="O379" i="2"/>
  <c r="N379" i="2"/>
  <c r="M379" i="2"/>
  <c r="J379" i="2"/>
  <c r="S378" i="2"/>
  <c r="O378" i="2"/>
  <c r="N378" i="2"/>
  <c r="M378" i="2"/>
  <c r="J378" i="2"/>
  <c r="S377" i="2"/>
  <c r="O377" i="2"/>
  <c r="N377" i="2"/>
  <c r="M377" i="2"/>
  <c r="J377" i="2"/>
  <c r="S376" i="2"/>
  <c r="O376" i="2"/>
  <c r="N376" i="2"/>
  <c r="M376" i="2"/>
  <c r="J376" i="2"/>
  <c r="S375" i="2"/>
  <c r="O375" i="2"/>
  <c r="N375" i="2"/>
  <c r="M375" i="2"/>
  <c r="J375" i="2"/>
  <c r="S374" i="2"/>
  <c r="O374" i="2"/>
  <c r="N374" i="2"/>
  <c r="M374" i="2"/>
  <c r="J374" i="2"/>
  <c r="S373" i="2"/>
  <c r="O373" i="2"/>
  <c r="N373" i="2"/>
  <c r="M373" i="2"/>
  <c r="J373" i="2"/>
  <c r="L373" i="2"/>
  <c r="S372" i="2"/>
  <c r="O372" i="2"/>
  <c r="N372" i="2"/>
  <c r="M372" i="2"/>
  <c r="J372" i="2"/>
  <c r="S371" i="2"/>
  <c r="O371" i="2"/>
  <c r="N371" i="2"/>
  <c r="M371" i="2"/>
  <c r="J371" i="2"/>
  <c r="S370" i="2"/>
  <c r="O370" i="2"/>
  <c r="N370" i="2"/>
  <c r="M370" i="2"/>
  <c r="J370" i="2"/>
  <c r="S369" i="2"/>
  <c r="O369" i="2"/>
  <c r="N369" i="2"/>
  <c r="M369" i="2"/>
  <c r="J369" i="2"/>
  <c r="S368" i="2"/>
  <c r="O368" i="2"/>
  <c r="N368" i="2"/>
  <c r="M368" i="2"/>
  <c r="J368" i="2"/>
  <c r="S367" i="2"/>
  <c r="O367" i="2"/>
  <c r="N367" i="2"/>
  <c r="M367" i="2"/>
  <c r="J367" i="2"/>
  <c r="S366" i="2"/>
  <c r="O366" i="2"/>
  <c r="N366" i="2"/>
  <c r="M366" i="2"/>
  <c r="J366" i="2"/>
  <c r="S365" i="2"/>
  <c r="O365" i="2"/>
  <c r="N365" i="2"/>
  <c r="M365" i="2"/>
  <c r="J365" i="2"/>
  <c r="S364" i="2"/>
  <c r="O364" i="2"/>
  <c r="N364" i="2"/>
  <c r="M364" i="2"/>
  <c r="J364" i="2"/>
  <c r="S363" i="2"/>
  <c r="O363" i="2"/>
  <c r="N363" i="2"/>
  <c r="M363" i="2"/>
  <c r="J363" i="2"/>
  <c r="S362" i="2"/>
  <c r="O362" i="2"/>
  <c r="N362" i="2"/>
  <c r="M362" i="2"/>
  <c r="J362" i="2"/>
  <c r="S361" i="2"/>
  <c r="O361" i="2"/>
  <c r="N361" i="2"/>
  <c r="M361" i="2"/>
  <c r="J361" i="2"/>
  <c r="S360" i="2"/>
  <c r="O360" i="2"/>
  <c r="N360" i="2"/>
  <c r="M360" i="2"/>
  <c r="J360" i="2"/>
  <c r="S359" i="2"/>
  <c r="O359" i="2"/>
  <c r="N359" i="2"/>
  <c r="M359" i="2"/>
  <c r="J359" i="2"/>
  <c r="S358" i="2"/>
  <c r="O358" i="2"/>
  <c r="N358" i="2"/>
  <c r="M358" i="2"/>
  <c r="J358" i="2"/>
  <c r="S357" i="2"/>
  <c r="O357" i="2"/>
  <c r="N357" i="2"/>
  <c r="M357" i="2"/>
  <c r="J357" i="2"/>
  <c r="S356" i="2"/>
  <c r="O356" i="2"/>
  <c r="N356" i="2"/>
  <c r="M356" i="2"/>
  <c r="J356" i="2"/>
  <c r="S355" i="2"/>
  <c r="O355" i="2"/>
  <c r="N355" i="2"/>
  <c r="M355" i="2"/>
  <c r="J355" i="2"/>
  <c r="S354" i="2"/>
  <c r="O354" i="2"/>
  <c r="N354" i="2"/>
  <c r="M354" i="2"/>
  <c r="J354" i="2"/>
  <c r="S353" i="2"/>
  <c r="O353" i="2"/>
  <c r="N353" i="2"/>
  <c r="M353" i="2"/>
  <c r="J353" i="2"/>
  <c r="S352" i="2"/>
  <c r="O352" i="2"/>
  <c r="N352" i="2"/>
  <c r="M352" i="2"/>
  <c r="J352" i="2"/>
  <c r="S351" i="2"/>
  <c r="O351" i="2"/>
  <c r="N351" i="2"/>
  <c r="M351" i="2"/>
  <c r="J351" i="2"/>
  <c r="S350" i="2"/>
  <c r="O350" i="2"/>
  <c r="N350" i="2"/>
  <c r="M350" i="2"/>
  <c r="L350" i="2"/>
  <c r="J350" i="2"/>
  <c r="S349" i="2"/>
  <c r="O349" i="2"/>
  <c r="N349" i="2"/>
  <c r="M349" i="2"/>
  <c r="J349" i="2"/>
  <c r="S348" i="2"/>
  <c r="O348" i="2"/>
  <c r="N348" i="2"/>
  <c r="M348" i="2"/>
  <c r="J348" i="2"/>
  <c r="S347" i="2"/>
  <c r="O347" i="2"/>
  <c r="N347" i="2"/>
  <c r="M347" i="2"/>
  <c r="J347" i="2"/>
  <c r="S346" i="2"/>
  <c r="O346" i="2"/>
  <c r="N346" i="2"/>
  <c r="M346" i="2"/>
  <c r="J346" i="2"/>
  <c r="S345" i="2"/>
  <c r="O345" i="2"/>
  <c r="N345" i="2"/>
  <c r="M345" i="2"/>
  <c r="L345" i="2"/>
  <c r="J345" i="2"/>
  <c r="S344" i="2"/>
  <c r="O344" i="2"/>
  <c r="N344" i="2"/>
  <c r="M344" i="2"/>
  <c r="L344" i="2"/>
  <c r="J344" i="2"/>
  <c r="S343" i="2"/>
  <c r="O343" i="2"/>
  <c r="N343" i="2"/>
  <c r="M343" i="2"/>
  <c r="J343" i="2"/>
  <c r="S342" i="2"/>
  <c r="O342" i="2"/>
  <c r="N342" i="2"/>
  <c r="M342" i="2"/>
  <c r="J342" i="2"/>
  <c r="S341" i="2"/>
  <c r="O341" i="2"/>
  <c r="N341" i="2"/>
  <c r="M341" i="2"/>
  <c r="J341" i="2"/>
  <c r="S340" i="2"/>
  <c r="O340" i="2"/>
  <c r="N340" i="2"/>
  <c r="M340" i="2"/>
  <c r="J340" i="2"/>
  <c r="S339" i="2"/>
  <c r="O339" i="2"/>
  <c r="N339" i="2"/>
  <c r="M339" i="2"/>
  <c r="J339" i="2"/>
  <c r="S338" i="2"/>
  <c r="O338" i="2"/>
  <c r="N338" i="2"/>
  <c r="M338" i="2"/>
  <c r="J338" i="2"/>
  <c r="S337" i="2"/>
  <c r="O337" i="2"/>
  <c r="N337" i="2"/>
  <c r="M337" i="2"/>
  <c r="J337" i="2"/>
  <c r="S336" i="2"/>
  <c r="O336" i="2"/>
  <c r="N336" i="2"/>
  <c r="M336" i="2"/>
  <c r="J336" i="2"/>
  <c r="S335" i="2"/>
  <c r="O335" i="2"/>
  <c r="N335" i="2"/>
  <c r="M335" i="2"/>
  <c r="L335" i="2"/>
  <c r="J335" i="2"/>
  <c r="S334" i="2"/>
  <c r="O334" i="2"/>
  <c r="N334" i="2"/>
  <c r="M334" i="2"/>
  <c r="J334" i="2"/>
  <c r="S333" i="2"/>
  <c r="O333" i="2"/>
  <c r="N333" i="2"/>
  <c r="M333" i="2"/>
  <c r="J333" i="2"/>
  <c r="S332" i="2"/>
  <c r="O332" i="2"/>
  <c r="N332" i="2"/>
  <c r="M332" i="2"/>
  <c r="J332" i="2"/>
  <c r="S331" i="2"/>
  <c r="O331" i="2"/>
  <c r="N331" i="2"/>
  <c r="M331" i="2"/>
  <c r="J331" i="2"/>
  <c r="L331" i="2"/>
  <c r="S330" i="2"/>
  <c r="O330" i="2"/>
  <c r="N330" i="2"/>
  <c r="M330" i="2"/>
  <c r="J330" i="2"/>
  <c r="S329" i="2"/>
  <c r="O329" i="2"/>
  <c r="N329" i="2"/>
  <c r="M329" i="2"/>
  <c r="J329" i="2"/>
  <c r="S328" i="2"/>
  <c r="O328" i="2"/>
  <c r="N328" i="2"/>
  <c r="M328" i="2"/>
  <c r="J328" i="2"/>
  <c r="S327" i="2"/>
  <c r="O327" i="2"/>
  <c r="N327" i="2"/>
  <c r="M327" i="2"/>
  <c r="J327" i="2"/>
  <c r="S326" i="2"/>
  <c r="O326" i="2"/>
  <c r="N326" i="2"/>
  <c r="M326" i="2"/>
  <c r="J326" i="2"/>
  <c r="S325" i="2"/>
  <c r="O325" i="2"/>
  <c r="N325" i="2"/>
  <c r="M325" i="2"/>
  <c r="J325" i="2"/>
  <c r="S324" i="2"/>
  <c r="O324" i="2"/>
  <c r="N324" i="2"/>
  <c r="M324" i="2"/>
  <c r="J324" i="2"/>
  <c r="S323" i="2"/>
  <c r="O323" i="2"/>
  <c r="N323" i="2"/>
  <c r="M323" i="2"/>
  <c r="J323" i="2"/>
  <c r="S322" i="2"/>
  <c r="O322" i="2"/>
  <c r="N322" i="2"/>
  <c r="M322" i="2"/>
  <c r="J322" i="2"/>
  <c r="S321" i="2"/>
  <c r="O321" i="2"/>
  <c r="N321" i="2"/>
  <c r="M321" i="2"/>
  <c r="J321" i="2"/>
  <c r="S320" i="2"/>
  <c r="O320" i="2"/>
  <c r="N320" i="2"/>
  <c r="M320" i="2"/>
  <c r="J320" i="2"/>
  <c r="S319" i="2"/>
  <c r="O319" i="2"/>
  <c r="N319" i="2"/>
  <c r="M319" i="2"/>
  <c r="J319" i="2"/>
  <c r="S318" i="2"/>
  <c r="O318" i="2"/>
  <c r="N318" i="2"/>
  <c r="M318" i="2"/>
  <c r="J318" i="2"/>
  <c r="S317" i="2"/>
  <c r="O317" i="2"/>
  <c r="N317" i="2"/>
  <c r="M317" i="2"/>
  <c r="J317" i="2"/>
  <c r="S316" i="2"/>
  <c r="O316" i="2"/>
  <c r="N316" i="2"/>
  <c r="M316" i="2"/>
  <c r="J316" i="2"/>
  <c r="S315" i="2"/>
  <c r="O315" i="2"/>
  <c r="N315" i="2"/>
  <c r="M315" i="2"/>
  <c r="J315" i="2"/>
  <c r="S314" i="2"/>
  <c r="O314" i="2"/>
  <c r="N314" i="2"/>
  <c r="M314" i="2"/>
  <c r="J314" i="2"/>
  <c r="S313" i="2"/>
  <c r="O313" i="2"/>
  <c r="N313" i="2"/>
  <c r="M313" i="2"/>
  <c r="J313" i="2"/>
  <c r="S312" i="2"/>
  <c r="O312" i="2"/>
  <c r="N312" i="2"/>
  <c r="M312" i="2"/>
  <c r="J312" i="2"/>
  <c r="S311" i="2"/>
  <c r="O311" i="2"/>
  <c r="N311" i="2"/>
  <c r="M311" i="2"/>
  <c r="J311" i="2"/>
  <c r="S310" i="2"/>
  <c r="O310" i="2"/>
  <c r="N310" i="2"/>
  <c r="M310" i="2"/>
  <c r="J310" i="2"/>
  <c r="S309" i="2"/>
  <c r="O309" i="2"/>
  <c r="N309" i="2"/>
  <c r="M309" i="2"/>
  <c r="J309" i="2"/>
  <c r="S308" i="2"/>
  <c r="O308" i="2"/>
  <c r="N308" i="2"/>
  <c r="M308" i="2"/>
  <c r="J308" i="2"/>
  <c r="S307" i="2"/>
  <c r="O307" i="2"/>
  <c r="N307" i="2"/>
  <c r="M307" i="2"/>
  <c r="J307" i="2"/>
  <c r="S306" i="2"/>
  <c r="O306" i="2"/>
  <c r="N306" i="2"/>
  <c r="M306" i="2"/>
  <c r="J306" i="2"/>
  <c r="S305" i="2"/>
  <c r="O305" i="2"/>
  <c r="N305" i="2"/>
  <c r="M305" i="2"/>
  <c r="J305" i="2"/>
  <c r="S304" i="2"/>
  <c r="O304" i="2"/>
  <c r="N304" i="2"/>
  <c r="M304" i="2"/>
  <c r="J304" i="2"/>
  <c r="S303" i="2"/>
  <c r="O303" i="2"/>
  <c r="N303" i="2"/>
  <c r="M303" i="2"/>
  <c r="J303" i="2"/>
  <c r="S302" i="2"/>
  <c r="O302" i="2"/>
  <c r="N302" i="2"/>
  <c r="M302" i="2"/>
  <c r="J302" i="2"/>
  <c r="S301" i="2"/>
  <c r="O301" i="2"/>
  <c r="N301" i="2"/>
  <c r="M301" i="2"/>
  <c r="J301" i="2"/>
  <c r="S300" i="2"/>
  <c r="O300" i="2"/>
  <c r="N300" i="2"/>
  <c r="M300" i="2"/>
  <c r="L300" i="2"/>
  <c r="J300" i="2"/>
  <c r="S299" i="2"/>
  <c r="O299" i="2"/>
  <c r="N299" i="2"/>
  <c r="M299" i="2"/>
  <c r="J299" i="2"/>
  <c r="S298" i="2"/>
  <c r="O298" i="2"/>
  <c r="N298" i="2"/>
  <c r="M298" i="2"/>
  <c r="J298" i="2"/>
  <c r="S297" i="2"/>
  <c r="O297" i="2"/>
  <c r="N297" i="2"/>
  <c r="M297" i="2"/>
  <c r="J297" i="2"/>
  <c r="S296" i="2"/>
  <c r="O296" i="2"/>
  <c r="N296" i="2"/>
  <c r="M296" i="2"/>
  <c r="J296" i="2"/>
  <c r="S295" i="2"/>
  <c r="O295" i="2"/>
  <c r="N295" i="2"/>
  <c r="M295" i="2"/>
  <c r="J295" i="2"/>
  <c r="S294" i="2"/>
  <c r="O294" i="2"/>
  <c r="N294" i="2"/>
  <c r="M294" i="2"/>
  <c r="J294" i="2"/>
  <c r="S293" i="2"/>
  <c r="O293" i="2"/>
  <c r="N293" i="2"/>
  <c r="M293" i="2"/>
  <c r="J293" i="2"/>
  <c r="S292" i="2"/>
  <c r="O292" i="2"/>
  <c r="N292" i="2"/>
  <c r="M292" i="2"/>
  <c r="J292" i="2"/>
  <c r="S291" i="2"/>
  <c r="O291" i="2"/>
  <c r="N291" i="2"/>
  <c r="M291" i="2"/>
  <c r="J291" i="2"/>
  <c r="S290" i="2"/>
  <c r="O290" i="2"/>
  <c r="N290" i="2"/>
  <c r="M290" i="2"/>
  <c r="J290" i="2"/>
  <c r="S289" i="2"/>
  <c r="O289" i="2"/>
  <c r="N289" i="2"/>
  <c r="M289" i="2"/>
  <c r="J289" i="2"/>
  <c r="S288" i="2"/>
  <c r="O288" i="2"/>
  <c r="N288" i="2"/>
  <c r="M288" i="2"/>
  <c r="J288" i="2"/>
  <c r="S287" i="2"/>
  <c r="O287" i="2"/>
  <c r="N287" i="2"/>
  <c r="M287" i="2"/>
  <c r="J287" i="2"/>
  <c r="S286" i="2"/>
  <c r="O286" i="2"/>
  <c r="N286" i="2"/>
  <c r="M286" i="2"/>
  <c r="J286" i="2"/>
  <c r="S285" i="2"/>
  <c r="O285" i="2"/>
  <c r="N285" i="2"/>
  <c r="M285" i="2"/>
  <c r="J285" i="2"/>
  <c r="S284" i="2"/>
  <c r="O284" i="2"/>
  <c r="N284" i="2"/>
  <c r="M284" i="2"/>
  <c r="J284" i="2"/>
  <c r="S283" i="2"/>
  <c r="O283" i="2"/>
  <c r="N283" i="2"/>
  <c r="M283" i="2"/>
  <c r="J283" i="2"/>
  <c r="S282" i="2"/>
  <c r="O282" i="2"/>
  <c r="N282" i="2"/>
  <c r="M282" i="2"/>
  <c r="J282" i="2"/>
  <c r="S281" i="2"/>
  <c r="O281" i="2"/>
  <c r="N281" i="2"/>
  <c r="M281" i="2"/>
  <c r="J281" i="2"/>
  <c r="S280" i="2"/>
  <c r="O280" i="2"/>
  <c r="N280" i="2"/>
  <c r="M280" i="2"/>
  <c r="J280" i="2"/>
  <c r="S279" i="2"/>
  <c r="O279" i="2"/>
  <c r="N279" i="2"/>
  <c r="M279" i="2"/>
  <c r="J279" i="2"/>
  <c r="S278" i="2"/>
  <c r="O278" i="2"/>
  <c r="N278" i="2"/>
  <c r="M278" i="2"/>
  <c r="J278" i="2"/>
  <c r="S277" i="2"/>
  <c r="O277" i="2"/>
  <c r="N277" i="2"/>
  <c r="M277" i="2"/>
  <c r="J277" i="2"/>
  <c r="S276" i="2"/>
  <c r="O276" i="2"/>
  <c r="N276" i="2"/>
  <c r="M276" i="2"/>
  <c r="J276" i="2"/>
  <c r="S275" i="2"/>
  <c r="O275" i="2"/>
  <c r="N275" i="2"/>
  <c r="M275" i="2"/>
  <c r="J275" i="2"/>
  <c r="S274" i="2"/>
  <c r="O274" i="2"/>
  <c r="N274" i="2"/>
  <c r="M274" i="2"/>
  <c r="J274" i="2"/>
  <c r="S273" i="2"/>
  <c r="O273" i="2"/>
  <c r="N273" i="2"/>
  <c r="M273" i="2"/>
  <c r="J273" i="2"/>
  <c r="S272" i="2"/>
  <c r="O272" i="2"/>
  <c r="N272" i="2"/>
  <c r="M272" i="2"/>
  <c r="J272" i="2"/>
  <c r="S271" i="2"/>
  <c r="O271" i="2"/>
  <c r="N271" i="2"/>
  <c r="M271" i="2"/>
  <c r="L271" i="2"/>
  <c r="J271" i="2"/>
  <c r="S270" i="2"/>
  <c r="O270" i="2"/>
  <c r="N270" i="2"/>
  <c r="M270" i="2"/>
  <c r="J270" i="2"/>
  <c r="S269" i="2"/>
  <c r="O269" i="2"/>
  <c r="N269" i="2"/>
  <c r="M269" i="2"/>
  <c r="J269" i="2"/>
  <c r="S268" i="2"/>
  <c r="O268" i="2"/>
  <c r="N268" i="2"/>
  <c r="M268" i="2"/>
  <c r="J268" i="2"/>
  <c r="S267" i="2"/>
  <c r="O267" i="2"/>
  <c r="N267" i="2"/>
  <c r="M267" i="2"/>
  <c r="J267" i="2"/>
  <c r="S266" i="2"/>
  <c r="O266" i="2"/>
  <c r="N266" i="2"/>
  <c r="M266" i="2"/>
  <c r="J266" i="2"/>
  <c r="S265" i="2"/>
  <c r="O265" i="2"/>
  <c r="N265" i="2"/>
  <c r="M265" i="2"/>
  <c r="J265" i="2"/>
  <c r="S264" i="2"/>
  <c r="O264" i="2"/>
  <c r="N264" i="2"/>
  <c r="M264" i="2"/>
  <c r="J264" i="2"/>
  <c r="S263" i="2"/>
  <c r="O263" i="2"/>
  <c r="N263" i="2"/>
  <c r="M263" i="2"/>
  <c r="J263" i="2"/>
  <c r="S262" i="2"/>
  <c r="O262" i="2"/>
  <c r="N262" i="2"/>
  <c r="M262" i="2"/>
  <c r="J262" i="2"/>
  <c r="S261" i="2"/>
  <c r="O261" i="2"/>
  <c r="N261" i="2"/>
  <c r="M261" i="2"/>
  <c r="J261" i="2"/>
  <c r="S260" i="2"/>
  <c r="O260" i="2"/>
  <c r="N260" i="2"/>
  <c r="M260" i="2"/>
  <c r="J260" i="2"/>
  <c r="S259" i="2"/>
  <c r="O259" i="2"/>
  <c r="N259" i="2"/>
  <c r="M259" i="2"/>
  <c r="J259" i="2"/>
  <c r="S258" i="2"/>
  <c r="O258" i="2"/>
  <c r="N258" i="2"/>
  <c r="M258" i="2"/>
  <c r="J258" i="2"/>
  <c r="S257" i="2"/>
  <c r="O257" i="2"/>
  <c r="N257" i="2"/>
  <c r="M257" i="2"/>
  <c r="J257" i="2"/>
  <c r="S256" i="2"/>
  <c r="O256" i="2"/>
  <c r="N256" i="2"/>
  <c r="M256" i="2"/>
  <c r="J256" i="2"/>
  <c r="S255" i="2"/>
  <c r="O255" i="2"/>
  <c r="N255" i="2"/>
  <c r="M255" i="2"/>
  <c r="J255" i="2"/>
  <c r="S254" i="2"/>
  <c r="O254" i="2"/>
  <c r="N254" i="2"/>
  <c r="M254" i="2"/>
  <c r="J254" i="2"/>
  <c r="S253" i="2"/>
  <c r="O253" i="2"/>
  <c r="N253" i="2"/>
  <c r="M253" i="2"/>
  <c r="J253" i="2"/>
  <c r="S252" i="2"/>
  <c r="O252" i="2"/>
  <c r="N252" i="2"/>
  <c r="M252" i="2"/>
  <c r="J252" i="2"/>
  <c r="S251" i="2"/>
  <c r="O251" i="2"/>
  <c r="N251" i="2"/>
  <c r="M251" i="2"/>
  <c r="J251" i="2"/>
  <c r="S250" i="2"/>
  <c r="O250" i="2"/>
  <c r="N250" i="2"/>
  <c r="M250" i="2"/>
  <c r="J250" i="2"/>
  <c r="S249" i="2"/>
  <c r="O249" i="2"/>
  <c r="N249" i="2"/>
  <c r="M249" i="2"/>
  <c r="J249" i="2"/>
  <c r="S248" i="2"/>
  <c r="O248" i="2"/>
  <c r="N248" i="2"/>
  <c r="M248" i="2"/>
  <c r="J248" i="2"/>
  <c r="S247" i="2"/>
  <c r="O247" i="2"/>
  <c r="N247" i="2"/>
  <c r="M247" i="2"/>
  <c r="J247" i="2"/>
  <c r="S246" i="2"/>
  <c r="O246" i="2"/>
  <c r="N246" i="2"/>
  <c r="M246" i="2"/>
  <c r="J246" i="2"/>
  <c r="S245" i="2"/>
  <c r="O245" i="2"/>
  <c r="N245" i="2"/>
  <c r="M245" i="2"/>
  <c r="J245" i="2"/>
  <c r="S244" i="2"/>
  <c r="O244" i="2"/>
  <c r="N244" i="2"/>
  <c r="M244" i="2"/>
  <c r="L244" i="2"/>
  <c r="J244" i="2"/>
  <c r="S243" i="2"/>
  <c r="O243" i="2"/>
  <c r="N243" i="2"/>
  <c r="M243" i="2"/>
  <c r="J243" i="2"/>
  <c r="S242" i="2"/>
  <c r="O242" i="2"/>
  <c r="N242" i="2"/>
  <c r="M242" i="2"/>
  <c r="J242" i="2"/>
  <c r="S241" i="2"/>
  <c r="O241" i="2"/>
  <c r="N241" i="2"/>
  <c r="M241" i="2"/>
  <c r="J241" i="2"/>
  <c r="S240" i="2"/>
  <c r="O240" i="2"/>
  <c r="N240" i="2"/>
  <c r="M240" i="2"/>
  <c r="J240" i="2"/>
  <c r="S239" i="2"/>
  <c r="O239" i="2"/>
  <c r="N239" i="2"/>
  <c r="M239" i="2"/>
  <c r="J239" i="2"/>
  <c r="S238" i="2"/>
  <c r="O238" i="2"/>
  <c r="N238" i="2"/>
  <c r="M238" i="2"/>
  <c r="J238" i="2"/>
  <c r="S237" i="2"/>
  <c r="O237" i="2"/>
  <c r="N237" i="2"/>
  <c r="M237" i="2"/>
  <c r="J237" i="2"/>
  <c r="S236" i="2"/>
  <c r="O236" i="2"/>
  <c r="N236" i="2"/>
  <c r="M236" i="2"/>
  <c r="J236" i="2"/>
  <c r="S235" i="2"/>
  <c r="O235" i="2"/>
  <c r="N235" i="2"/>
  <c r="M235" i="2"/>
  <c r="J235" i="2"/>
  <c r="S234" i="2"/>
  <c r="O234" i="2"/>
  <c r="N234" i="2"/>
  <c r="M234" i="2"/>
  <c r="J234" i="2"/>
  <c r="S233" i="2"/>
  <c r="O233" i="2"/>
  <c r="N233" i="2"/>
  <c r="M233" i="2"/>
  <c r="J233" i="2"/>
  <c r="S232" i="2"/>
  <c r="O232" i="2"/>
  <c r="N232" i="2"/>
  <c r="M232" i="2"/>
  <c r="J232" i="2"/>
  <c r="S231" i="2"/>
  <c r="O231" i="2"/>
  <c r="N231" i="2"/>
  <c r="M231" i="2"/>
  <c r="J231" i="2"/>
  <c r="S230" i="2"/>
  <c r="O230" i="2"/>
  <c r="N230" i="2"/>
  <c r="M230" i="2"/>
  <c r="J230" i="2"/>
  <c r="S229" i="2"/>
  <c r="O229" i="2"/>
  <c r="N229" i="2"/>
  <c r="M229" i="2"/>
  <c r="J229" i="2"/>
  <c r="S228" i="2"/>
  <c r="O228" i="2"/>
  <c r="N228" i="2"/>
  <c r="M228" i="2"/>
  <c r="J228" i="2"/>
  <c r="S227" i="2"/>
  <c r="O227" i="2"/>
  <c r="N227" i="2"/>
  <c r="M227" i="2"/>
  <c r="J227" i="2"/>
  <c r="S226" i="2"/>
  <c r="O226" i="2"/>
  <c r="N226" i="2"/>
  <c r="M226" i="2"/>
  <c r="J226" i="2"/>
  <c r="S225" i="2"/>
  <c r="O225" i="2"/>
  <c r="N225" i="2"/>
  <c r="M225" i="2"/>
  <c r="J225" i="2"/>
  <c r="S224" i="2"/>
  <c r="O224" i="2"/>
  <c r="N224" i="2"/>
  <c r="M224" i="2"/>
  <c r="J224" i="2"/>
  <c r="S223" i="2"/>
  <c r="O223" i="2"/>
  <c r="N223" i="2"/>
  <c r="M223" i="2"/>
  <c r="J223" i="2"/>
  <c r="S222" i="2"/>
  <c r="O222" i="2"/>
  <c r="N222" i="2"/>
  <c r="M222" i="2"/>
  <c r="J222" i="2"/>
  <c r="S221" i="2"/>
  <c r="O221" i="2"/>
  <c r="N221" i="2"/>
  <c r="M221" i="2"/>
  <c r="J221" i="2"/>
  <c r="S220" i="2"/>
  <c r="O220" i="2"/>
  <c r="N220" i="2"/>
  <c r="M220" i="2"/>
  <c r="J220" i="2"/>
  <c r="S219" i="2"/>
  <c r="O219" i="2"/>
  <c r="N219" i="2"/>
  <c r="M219" i="2"/>
  <c r="J219" i="2"/>
  <c r="S218" i="2"/>
  <c r="O218" i="2"/>
  <c r="N218" i="2"/>
  <c r="M218" i="2"/>
  <c r="J218" i="2"/>
  <c r="S217" i="2"/>
  <c r="O217" i="2"/>
  <c r="N217" i="2"/>
  <c r="M217" i="2"/>
  <c r="J217" i="2"/>
  <c r="S216" i="2"/>
  <c r="O216" i="2"/>
  <c r="N216" i="2"/>
  <c r="M216" i="2"/>
  <c r="J216" i="2"/>
  <c r="S215" i="2"/>
  <c r="O215" i="2"/>
  <c r="N215" i="2"/>
  <c r="M215" i="2"/>
  <c r="J215" i="2"/>
  <c r="S214" i="2"/>
  <c r="O214" i="2"/>
  <c r="N214" i="2"/>
  <c r="M214" i="2"/>
  <c r="J214" i="2"/>
  <c r="S213" i="2"/>
  <c r="O213" i="2"/>
  <c r="N213" i="2"/>
  <c r="M213" i="2"/>
  <c r="J213" i="2"/>
  <c r="S212" i="2"/>
  <c r="O212" i="2"/>
  <c r="N212" i="2"/>
  <c r="M212" i="2"/>
  <c r="J212" i="2"/>
  <c r="S211" i="2"/>
  <c r="O211" i="2"/>
  <c r="N211" i="2"/>
  <c r="M211" i="2"/>
  <c r="J211" i="2"/>
  <c r="S210" i="2"/>
  <c r="O210" i="2"/>
  <c r="N210" i="2"/>
  <c r="M210" i="2"/>
  <c r="J210" i="2"/>
  <c r="S209" i="2"/>
  <c r="O209" i="2"/>
  <c r="N209" i="2"/>
  <c r="M209" i="2"/>
  <c r="J209" i="2"/>
  <c r="S208" i="2"/>
  <c r="O208" i="2"/>
  <c r="N208" i="2"/>
  <c r="M208" i="2"/>
  <c r="J208" i="2"/>
  <c r="S207" i="2"/>
  <c r="O207" i="2"/>
  <c r="N207" i="2"/>
  <c r="M207" i="2"/>
  <c r="J207" i="2"/>
  <c r="S206" i="2"/>
  <c r="O206" i="2"/>
  <c r="N206" i="2"/>
  <c r="M206" i="2"/>
  <c r="J206" i="2"/>
  <c r="S205" i="2"/>
  <c r="O205" i="2"/>
  <c r="N205" i="2"/>
  <c r="M205" i="2"/>
  <c r="J205" i="2"/>
  <c r="S204" i="2"/>
  <c r="O204" i="2"/>
  <c r="N204" i="2"/>
  <c r="M204" i="2"/>
  <c r="J204" i="2"/>
  <c r="S203" i="2"/>
  <c r="O203" i="2"/>
  <c r="N203" i="2"/>
  <c r="M203" i="2"/>
  <c r="J203" i="2"/>
  <c r="S202" i="2"/>
  <c r="O202" i="2"/>
  <c r="N202" i="2"/>
  <c r="M202" i="2"/>
  <c r="J202" i="2"/>
  <c r="S201" i="2"/>
  <c r="O201" i="2"/>
  <c r="N201" i="2"/>
  <c r="M201" i="2"/>
  <c r="J201" i="2"/>
  <c r="S200" i="2"/>
  <c r="O200" i="2"/>
  <c r="N200" i="2"/>
  <c r="M200" i="2"/>
  <c r="J200" i="2"/>
  <c r="S199" i="2"/>
  <c r="O199" i="2"/>
  <c r="N199" i="2"/>
  <c r="M199" i="2"/>
  <c r="J199" i="2"/>
  <c r="S198" i="2"/>
  <c r="O198" i="2"/>
  <c r="N198" i="2"/>
  <c r="M198" i="2"/>
  <c r="J198" i="2"/>
  <c r="S197" i="2"/>
  <c r="O197" i="2"/>
  <c r="N197" i="2"/>
  <c r="M197" i="2"/>
  <c r="J197" i="2"/>
  <c r="S196" i="2"/>
  <c r="O196" i="2"/>
  <c r="N196" i="2"/>
  <c r="M196" i="2"/>
  <c r="J196" i="2"/>
  <c r="S195" i="2"/>
  <c r="O195" i="2"/>
  <c r="N195" i="2"/>
  <c r="M195" i="2"/>
  <c r="J195" i="2"/>
  <c r="S194" i="2"/>
  <c r="O194" i="2"/>
  <c r="N194" i="2"/>
  <c r="M194" i="2"/>
  <c r="J194" i="2"/>
  <c r="S193" i="2"/>
  <c r="O193" i="2"/>
  <c r="N193" i="2"/>
  <c r="M193" i="2"/>
  <c r="J193" i="2"/>
  <c r="S192" i="2"/>
  <c r="O192" i="2"/>
  <c r="N192" i="2"/>
  <c r="M192" i="2"/>
  <c r="J192" i="2"/>
  <c r="S191" i="2"/>
  <c r="O191" i="2"/>
  <c r="N191" i="2"/>
  <c r="M191" i="2"/>
  <c r="J191" i="2"/>
  <c r="S190" i="2"/>
  <c r="O190" i="2"/>
  <c r="N190" i="2"/>
  <c r="M190" i="2"/>
  <c r="J190" i="2"/>
  <c r="S189" i="2"/>
  <c r="O189" i="2"/>
  <c r="N189" i="2"/>
  <c r="M189" i="2"/>
  <c r="J189" i="2"/>
  <c r="S188" i="2"/>
  <c r="O188" i="2"/>
  <c r="N188" i="2"/>
  <c r="M188" i="2"/>
  <c r="J188" i="2"/>
  <c r="S187" i="2"/>
  <c r="O187" i="2"/>
  <c r="N187" i="2"/>
  <c r="M187" i="2"/>
  <c r="J187" i="2"/>
  <c r="S186" i="2"/>
  <c r="O186" i="2"/>
  <c r="N186" i="2"/>
  <c r="M186" i="2"/>
  <c r="J186" i="2"/>
  <c r="S185" i="2"/>
  <c r="O185" i="2"/>
  <c r="N185" i="2"/>
  <c r="M185" i="2"/>
  <c r="J185" i="2"/>
  <c r="S184" i="2"/>
  <c r="O184" i="2"/>
  <c r="N184" i="2"/>
  <c r="M184" i="2"/>
  <c r="J184" i="2"/>
  <c r="S183" i="2"/>
  <c r="O183" i="2"/>
  <c r="N183" i="2"/>
  <c r="M183" i="2"/>
  <c r="J183" i="2"/>
  <c r="S182" i="2"/>
  <c r="O182" i="2"/>
  <c r="N182" i="2"/>
  <c r="M182" i="2"/>
  <c r="J182" i="2"/>
  <c r="S181" i="2"/>
  <c r="O181" i="2"/>
  <c r="N181" i="2"/>
  <c r="M181" i="2"/>
  <c r="J181" i="2"/>
  <c r="S180" i="2"/>
  <c r="O180" i="2"/>
  <c r="N180" i="2"/>
  <c r="M180" i="2"/>
  <c r="J180" i="2"/>
  <c r="S179" i="2"/>
  <c r="O179" i="2"/>
  <c r="N179" i="2"/>
  <c r="M179" i="2"/>
  <c r="J179" i="2"/>
  <c r="S178" i="2"/>
  <c r="O178" i="2"/>
  <c r="N178" i="2"/>
  <c r="M178" i="2"/>
  <c r="J178" i="2"/>
  <c r="S177" i="2"/>
  <c r="O177" i="2"/>
  <c r="N177" i="2"/>
  <c r="M177" i="2"/>
  <c r="J177" i="2"/>
  <c r="S176" i="2"/>
  <c r="O176" i="2"/>
  <c r="N176" i="2"/>
  <c r="M176" i="2"/>
  <c r="J176" i="2"/>
  <c r="S175" i="2"/>
  <c r="O175" i="2"/>
  <c r="N175" i="2"/>
  <c r="M175" i="2"/>
  <c r="J175" i="2"/>
  <c r="S174" i="2"/>
  <c r="O174" i="2"/>
  <c r="N174" i="2"/>
  <c r="M174" i="2"/>
  <c r="J174" i="2"/>
  <c r="S173" i="2"/>
  <c r="O173" i="2"/>
  <c r="N173" i="2"/>
  <c r="M173" i="2"/>
  <c r="J173" i="2"/>
  <c r="S172" i="2"/>
  <c r="O172" i="2"/>
  <c r="N172" i="2"/>
  <c r="M172" i="2"/>
  <c r="J172" i="2"/>
  <c r="S171" i="2"/>
  <c r="O171" i="2"/>
  <c r="N171" i="2"/>
  <c r="M171" i="2"/>
  <c r="J171" i="2"/>
  <c r="S170" i="2"/>
  <c r="O170" i="2"/>
  <c r="N170" i="2"/>
  <c r="M170" i="2"/>
  <c r="J170" i="2"/>
  <c r="S169" i="2"/>
  <c r="O169" i="2"/>
  <c r="N169" i="2"/>
  <c r="M169" i="2"/>
  <c r="J169" i="2"/>
  <c r="S168" i="2"/>
  <c r="O168" i="2"/>
  <c r="N168" i="2"/>
  <c r="M168" i="2"/>
  <c r="J168" i="2"/>
  <c r="S167" i="2"/>
  <c r="O167" i="2"/>
  <c r="N167" i="2"/>
  <c r="M167" i="2"/>
  <c r="J167" i="2"/>
  <c r="S166" i="2"/>
  <c r="O166" i="2"/>
  <c r="N166" i="2"/>
  <c r="M166" i="2"/>
  <c r="J166" i="2"/>
  <c r="S165" i="2"/>
  <c r="O165" i="2"/>
  <c r="N165" i="2"/>
  <c r="M165" i="2"/>
  <c r="J165" i="2"/>
  <c r="S164" i="2"/>
  <c r="O164" i="2"/>
  <c r="N164" i="2"/>
  <c r="M164" i="2"/>
  <c r="J164" i="2"/>
  <c r="S163" i="2"/>
  <c r="O163" i="2"/>
  <c r="N163" i="2"/>
  <c r="M163" i="2"/>
  <c r="J163" i="2"/>
  <c r="S162" i="2"/>
  <c r="O162" i="2"/>
  <c r="N162" i="2"/>
  <c r="M162" i="2"/>
  <c r="J162" i="2"/>
  <c r="S161" i="2"/>
  <c r="O161" i="2"/>
  <c r="N161" i="2"/>
  <c r="M161" i="2"/>
  <c r="J161" i="2"/>
  <c r="S160" i="2"/>
  <c r="O160" i="2"/>
  <c r="N160" i="2"/>
  <c r="M160" i="2"/>
  <c r="J160" i="2"/>
  <c r="S159" i="2"/>
  <c r="O159" i="2"/>
  <c r="N159" i="2"/>
  <c r="M159" i="2"/>
  <c r="J159" i="2"/>
  <c r="S158" i="2"/>
  <c r="O158" i="2"/>
  <c r="N158" i="2"/>
  <c r="M158" i="2"/>
  <c r="J158" i="2"/>
  <c r="S157" i="2"/>
  <c r="O157" i="2"/>
  <c r="N157" i="2"/>
  <c r="M157" i="2"/>
  <c r="J157" i="2"/>
  <c r="S156" i="2"/>
  <c r="O156" i="2"/>
  <c r="N156" i="2"/>
  <c r="M156" i="2"/>
  <c r="J156" i="2"/>
  <c r="S155" i="2"/>
  <c r="O155" i="2"/>
  <c r="N155" i="2"/>
  <c r="M155" i="2"/>
  <c r="J155" i="2"/>
  <c r="S154" i="2"/>
  <c r="O154" i="2"/>
  <c r="N154" i="2"/>
  <c r="M154" i="2"/>
  <c r="J154" i="2"/>
  <c r="S153" i="2"/>
  <c r="O153" i="2"/>
  <c r="N153" i="2"/>
  <c r="M153" i="2"/>
  <c r="J153" i="2"/>
  <c r="S152" i="2"/>
  <c r="O152" i="2"/>
  <c r="N152" i="2"/>
  <c r="M152" i="2"/>
  <c r="J152" i="2"/>
  <c r="S151" i="2"/>
  <c r="O151" i="2"/>
  <c r="N151" i="2"/>
  <c r="M151" i="2"/>
  <c r="J151" i="2"/>
  <c r="S150" i="2"/>
  <c r="O150" i="2"/>
  <c r="N150" i="2"/>
  <c r="M150" i="2"/>
  <c r="J150" i="2"/>
  <c r="S149" i="2"/>
  <c r="O149" i="2"/>
  <c r="N149" i="2"/>
  <c r="M149" i="2"/>
  <c r="J149" i="2"/>
  <c r="S148" i="2"/>
  <c r="O148" i="2"/>
  <c r="N148" i="2"/>
  <c r="M148" i="2"/>
  <c r="J148" i="2"/>
  <c r="S147" i="2"/>
  <c r="O147" i="2"/>
  <c r="N147" i="2"/>
  <c r="M147" i="2"/>
  <c r="J147" i="2"/>
  <c r="S146" i="2"/>
  <c r="O146" i="2"/>
  <c r="N146" i="2"/>
  <c r="M146" i="2"/>
  <c r="J146" i="2"/>
  <c r="S145" i="2"/>
  <c r="O145" i="2"/>
  <c r="N145" i="2"/>
  <c r="M145" i="2"/>
  <c r="J145" i="2"/>
  <c r="S144" i="2"/>
  <c r="O144" i="2"/>
  <c r="N144" i="2"/>
  <c r="M144" i="2"/>
  <c r="J144" i="2"/>
  <c r="S143" i="2"/>
  <c r="O143" i="2"/>
  <c r="N143" i="2"/>
  <c r="M143" i="2"/>
  <c r="J143" i="2"/>
  <c r="S142" i="2"/>
  <c r="O142" i="2"/>
  <c r="N142" i="2"/>
  <c r="M142" i="2"/>
  <c r="J142" i="2"/>
  <c r="S141" i="2"/>
  <c r="O141" i="2"/>
  <c r="N141" i="2"/>
  <c r="M141" i="2"/>
  <c r="J141" i="2"/>
  <c r="S140" i="2"/>
  <c r="O140" i="2"/>
  <c r="N140" i="2"/>
  <c r="M140" i="2"/>
  <c r="J140" i="2"/>
  <c r="S139" i="2"/>
  <c r="O139" i="2"/>
  <c r="N139" i="2"/>
  <c r="M139" i="2"/>
  <c r="J139" i="2"/>
  <c r="S138" i="2"/>
  <c r="O138" i="2"/>
  <c r="N138" i="2"/>
  <c r="M138" i="2"/>
  <c r="J138" i="2"/>
  <c r="S137" i="2"/>
  <c r="O137" i="2"/>
  <c r="N137" i="2"/>
  <c r="M137" i="2"/>
  <c r="J137" i="2"/>
  <c r="S136" i="2"/>
  <c r="O136" i="2"/>
  <c r="N136" i="2"/>
  <c r="M136" i="2"/>
  <c r="J136" i="2"/>
  <c r="S135" i="2"/>
  <c r="O135" i="2"/>
  <c r="N135" i="2"/>
  <c r="M135" i="2"/>
  <c r="J135" i="2"/>
  <c r="S134" i="2"/>
  <c r="O134" i="2"/>
  <c r="N134" i="2"/>
  <c r="M134" i="2"/>
  <c r="J134" i="2"/>
  <c r="S133" i="2"/>
  <c r="O133" i="2"/>
  <c r="N133" i="2"/>
  <c r="M133" i="2"/>
  <c r="J133" i="2"/>
  <c r="S132" i="2"/>
  <c r="O132" i="2"/>
  <c r="N132" i="2"/>
  <c r="M132" i="2"/>
  <c r="J132" i="2"/>
  <c r="S131" i="2"/>
  <c r="O131" i="2"/>
  <c r="N131" i="2"/>
  <c r="M131" i="2"/>
  <c r="J131" i="2"/>
  <c r="S130" i="2"/>
  <c r="O130" i="2"/>
  <c r="N130" i="2"/>
  <c r="M130" i="2"/>
  <c r="J130" i="2"/>
  <c r="S129" i="2"/>
  <c r="O129" i="2"/>
  <c r="N129" i="2"/>
  <c r="M129" i="2"/>
  <c r="J129" i="2"/>
  <c r="S128" i="2"/>
  <c r="O128" i="2"/>
  <c r="N128" i="2"/>
  <c r="M128" i="2"/>
  <c r="J128" i="2"/>
  <c r="S127" i="2"/>
  <c r="O127" i="2"/>
  <c r="N127" i="2"/>
  <c r="M127" i="2"/>
  <c r="J127" i="2"/>
  <c r="S126" i="2"/>
  <c r="O126" i="2"/>
  <c r="N126" i="2"/>
  <c r="M126" i="2"/>
  <c r="J126" i="2"/>
  <c r="S125" i="2"/>
  <c r="O125" i="2"/>
  <c r="N125" i="2"/>
  <c r="M125" i="2"/>
  <c r="J125" i="2"/>
  <c r="S124" i="2"/>
  <c r="O124" i="2"/>
  <c r="N124" i="2"/>
  <c r="M124" i="2"/>
  <c r="J124" i="2"/>
  <c r="S123" i="2"/>
  <c r="O123" i="2"/>
  <c r="N123" i="2"/>
  <c r="M123" i="2"/>
  <c r="J123" i="2"/>
  <c r="S122" i="2"/>
  <c r="O122" i="2"/>
  <c r="N122" i="2"/>
  <c r="M122" i="2"/>
  <c r="J122" i="2"/>
  <c r="S121" i="2"/>
  <c r="O121" i="2"/>
  <c r="N121" i="2"/>
  <c r="M121" i="2"/>
  <c r="J121" i="2"/>
  <c r="S120" i="2"/>
  <c r="O120" i="2"/>
  <c r="N120" i="2"/>
  <c r="M120" i="2"/>
  <c r="J120" i="2"/>
  <c r="S119" i="2"/>
  <c r="O119" i="2"/>
  <c r="N119" i="2"/>
  <c r="M119" i="2"/>
  <c r="J119" i="2"/>
  <c r="S118" i="2"/>
  <c r="O118" i="2"/>
  <c r="N118" i="2"/>
  <c r="M118" i="2"/>
  <c r="J118" i="2"/>
  <c r="S117" i="2"/>
  <c r="O117" i="2"/>
  <c r="N117" i="2"/>
  <c r="M117" i="2"/>
  <c r="J117" i="2"/>
  <c r="S116" i="2"/>
  <c r="O116" i="2"/>
  <c r="N116" i="2"/>
  <c r="M116" i="2"/>
  <c r="J116" i="2"/>
  <c r="S115" i="2"/>
  <c r="O115" i="2"/>
  <c r="N115" i="2"/>
  <c r="M115" i="2"/>
  <c r="J115" i="2"/>
  <c r="S114" i="2"/>
  <c r="O114" i="2"/>
  <c r="N114" i="2"/>
  <c r="M114" i="2"/>
  <c r="J114" i="2"/>
  <c r="S113" i="2"/>
  <c r="O113" i="2"/>
  <c r="N113" i="2"/>
  <c r="M113" i="2"/>
  <c r="J113" i="2"/>
  <c r="S112" i="2"/>
  <c r="O112" i="2"/>
  <c r="N112" i="2"/>
  <c r="M112" i="2"/>
  <c r="J112" i="2"/>
  <c r="S111" i="2"/>
  <c r="O111" i="2"/>
  <c r="N111" i="2"/>
  <c r="M111" i="2"/>
  <c r="J111" i="2"/>
  <c r="S110" i="2"/>
  <c r="O110" i="2"/>
  <c r="N110" i="2"/>
  <c r="M110" i="2"/>
  <c r="J110" i="2"/>
  <c r="S109" i="2"/>
  <c r="O109" i="2"/>
  <c r="N109" i="2"/>
  <c r="M109" i="2"/>
  <c r="J109" i="2"/>
  <c r="S108" i="2"/>
  <c r="O108" i="2"/>
  <c r="N108" i="2"/>
  <c r="M108" i="2"/>
  <c r="J108" i="2"/>
  <c r="S107" i="2"/>
  <c r="O107" i="2"/>
  <c r="N107" i="2"/>
  <c r="M107" i="2"/>
  <c r="J107" i="2"/>
  <c r="S106" i="2"/>
  <c r="O106" i="2"/>
  <c r="N106" i="2"/>
  <c r="M106" i="2"/>
  <c r="J106" i="2"/>
  <c r="S105" i="2"/>
  <c r="O105" i="2"/>
  <c r="N105" i="2"/>
  <c r="M105" i="2"/>
  <c r="J105" i="2"/>
  <c r="S104" i="2"/>
  <c r="O104" i="2"/>
  <c r="N104" i="2"/>
  <c r="M104" i="2"/>
  <c r="J104" i="2"/>
  <c r="S103" i="2"/>
  <c r="O103" i="2"/>
  <c r="N103" i="2"/>
  <c r="M103" i="2"/>
  <c r="J103" i="2"/>
  <c r="S102" i="2"/>
  <c r="O102" i="2"/>
  <c r="N102" i="2"/>
  <c r="M102" i="2"/>
  <c r="J102" i="2"/>
  <c r="S101" i="2"/>
  <c r="O101" i="2"/>
  <c r="N101" i="2"/>
  <c r="M101" i="2"/>
  <c r="J101" i="2"/>
  <c r="S100" i="2"/>
  <c r="O100" i="2"/>
  <c r="N100" i="2"/>
  <c r="M100" i="2"/>
  <c r="J100" i="2"/>
  <c r="S99" i="2"/>
  <c r="O99" i="2"/>
  <c r="N99" i="2"/>
  <c r="M99" i="2"/>
  <c r="J99" i="2"/>
  <c r="S98" i="2"/>
  <c r="O98" i="2"/>
  <c r="N98" i="2"/>
  <c r="M98" i="2"/>
  <c r="J98" i="2"/>
  <c r="S97" i="2"/>
  <c r="O97" i="2"/>
  <c r="N97" i="2"/>
  <c r="M97" i="2"/>
  <c r="J97" i="2"/>
  <c r="S96" i="2"/>
  <c r="O96" i="2"/>
  <c r="N96" i="2"/>
  <c r="M96" i="2"/>
  <c r="J96" i="2"/>
  <c r="S95" i="2"/>
  <c r="O95" i="2"/>
  <c r="N95" i="2"/>
  <c r="M95" i="2"/>
  <c r="J95" i="2"/>
  <c r="S94" i="2"/>
  <c r="O94" i="2"/>
  <c r="N94" i="2"/>
  <c r="M94" i="2"/>
  <c r="J94" i="2"/>
  <c r="S93" i="2"/>
  <c r="O93" i="2"/>
  <c r="N93" i="2"/>
  <c r="M93" i="2"/>
  <c r="J93" i="2"/>
  <c r="S92" i="2"/>
  <c r="O92" i="2"/>
  <c r="N92" i="2"/>
  <c r="M92" i="2"/>
  <c r="J92" i="2"/>
  <c r="S91" i="2"/>
  <c r="O91" i="2"/>
  <c r="N91" i="2"/>
  <c r="M91" i="2"/>
  <c r="J91" i="2"/>
  <c r="S90" i="2"/>
  <c r="O90" i="2"/>
  <c r="N90" i="2"/>
  <c r="M90" i="2"/>
  <c r="J90" i="2"/>
  <c r="S89" i="2"/>
  <c r="O89" i="2"/>
  <c r="N89" i="2"/>
  <c r="M89" i="2"/>
  <c r="J89" i="2"/>
  <c r="S88" i="2"/>
  <c r="O88" i="2"/>
  <c r="N88" i="2"/>
  <c r="M88" i="2"/>
  <c r="J88" i="2"/>
  <c r="S87" i="2"/>
  <c r="O87" i="2"/>
  <c r="N87" i="2"/>
  <c r="M87" i="2"/>
  <c r="J87" i="2"/>
  <c r="S86" i="2"/>
  <c r="O86" i="2"/>
  <c r="N86" i="2"/>
  <c r="M86" i="2"/>
  <c r="J86" i="2"/>
  <c r="S85" i="2"/>
  <c r="O85" i="2"/>
  <c r="N85" i="2"/>
  <c r="M85" i="2"/>
  <c r="J85" i="2"/>
  <c r="S84" i="2"/>
  <c r="O84" i="2"/>
  <c r="N84" i="2"/>
  <c r="M84" i="2"/>
  <c r="J84" i="2"/>
  <c r="S83" i="2"/>
  <c r="O83" i="2"/>
  <c r="N83" i="2"/>
  <c r="M83" i="2"/>
  <c r="J83" i="2"/>
  <c r="S82" i="2"/>
  <c r="O82" i="2"/>
  <c r="N82" i="2"/>
  <c r="M82" i="2"/>
  <c r="J82" i="2"/>
  <c r="S81" i="2"/>
  <c r="O81" i="2"/>
  <c r="N81" i="2"/>
  <c r="M81" i="2"/>
  <c r="J81" i="2"/>
  <c r="S80" i="2"/>
  <c r="O80" i="2"/>
  <c r="N80" i="2"/>
  <c r="M80" i="2"/>
  <c r="J80" i="2"/>
  <c r="S79" i="2"/>
  <c r="O79" i="2"/>
  <c r="N79" i="2"/>
  <c r="M79" i="2"/>
  <c r="J79" i="2"/>
  <c r="S78" i="2"/>
  <c r="O78" i="2"/>
  <c r="N78" i="2"/>
  <c r="M78" i="2"/>
  <c r="J78" i="2"/>
  <c r="S77" i="2"/>
  <c r="O77" i="2"/>
  <c r="N77" i="2"/>
  <c r="M77" i="2"/>
  <c r="J77" i="2"/>
  <c r="S76" i="2"/>
  <c r="O76" i="2"/>
  <c r="N76" i="2"/>
  <c r="M76" i="2"/>
  <c r="J76" i="2"/>
  <c r="S75" i="2"/>
  <c r="O75" i="2"/>
  <c r="N75" i="2"/>
  <c r="M75" i="2"/>
  <c r="J75" i="2"/>
  <c r="S74" i="2"/>
  <c r="O74" i="2"/>
  <c r="N74" i="2"/>
  <c r="M74" i="2"/>
  <c r="J74" i="2"/>
  <c r="S73" i="2"/>
  <c r="O73" i="2"/>
  <c r="N73" i="2"/>
  <c r="M73" i="2"/>
  <c r="J73" i="2"/>
  <c r="S72" i="2"/>
  <c r="O72" i="2"/>
  <c r="N72" i="2"/>
  <c r="M72" i="2"/>
  <c r="J72" i="2"/>
  <c r="S71" i="2"/>
  <c r="O71" i="2"/>
  <c r="N71" i="2"/>
  <c r="M71" i="2"/>
  <c r="J71" i="2"/>
  <c r="S70" i="2"/>
  <c r="O70" i="2"/>
  <c r="N70" i="2"/>
  <c r="M70" i="2"/>
  <c r="J70" i="2"/>
  <c r="S69" i="2"/>
  <c r="O69" i="2"/>
  <c r="N69" i="2"/>
  <c r="M69" i="2"/>
  <c r="J69" i="2"/>
  <c r="S68" i="2"/>
  <c r="O68" i="2"/>
  <c r="N68" i="2"/>
  <c r="M68" i="2"/>
  <c r="J68" i="2"/>
  <c r="S67" i="2"/>
  <c r="O67" i="2"/>
  <c r="N67" i="2"/>
  <c r="M67" i="2"/>
  <c r="J67" i="2"/>
  <c r="S66" i="2"/>
  <c r="O66" i="2"/>
  <c r="N66" i="2"/>
  <c r="M66" i="2"/>
  <c r="J66" i="2"/>
  <c r="S65" i="2"/>
  <c r="O65" i="2"/>
  <c r="N65" i="2"/>
  <c r="M65" i="2"/>
  <c r="J65" i="2"/>
  <c r="S64" i="2"/>
  <c r="O64" i="2"/>
  <c r="N64" i="2"/>
  <c r="M64" i="2"/>
  <c r="J64" i="2"/>
  <c r="S63" i="2"/>
  <c r="O63" i="2"/>
  <c r="N63" i="2"/>
  <c r="M63" i="2"/>
  <c r="J63" i="2"/>
  <c r="S62" i="2"/>
  <c r="O62" i="2"/>
  <c r="N62" i="2"/>
  <c r="M62" i="2"/>
  <c r="J62" i="2"/>
  <c r="S61" i="2"/>
  <c r="O61" i="2"/>
  <c r="N61" i="2"/>
  <c r="M61" i="2"/>
  <c r="J61" i="2"/>
  <c r="S60" i="2"/>
  <c r="O60" i="2"/>
  <c r="N60" i="2"/>
  <c r="M60" i="2"/>
  <c r="J60" i="2"/>
  <c r="S59" i="2"/>
  <c r="O59" i="2"/>
  <c r="N59" i="2"/>
  <c r="M59" i="2"/>
  <c r="J59" i="2"/>
  <c r="S58" i="2"/>
  <c r="O58" i="2"/>
  <c r="N58" i="2"/>
  <c r="M58" i="2"/>
  <c r="J58" i="2"/>
  <c r="S57" i="2"/>
  <c r="O57" i="2"/>
  <c r="N57" i="2"/>
  <c r="M57" i="2"/>
  <c r="J57" i="2"/>
  <c r="S56" i="2"/>
  <c r="O56" i="2"/>
  <c r="N56" i="2"/>
  <c r="M56" i="2"/>
  <c r="J56" i="2"/>
  <c r="S55" i="2"/>
  <c r="O55" i="2"/>
  <c r="N55" i="2"/>
  <c r="M55" i="2"/>
  <c r="J55" i="2"/>
  <c r="S54" i="2"/>
  <c r="O54" i="2"/>
  <c r="N54" i="2"/>
  <c r="M54" i="2"/>
  <c r="J54" i="2"/>
  <c r="S53" i="2"/>
  <c r="O53" i="2"/>
  <c r="N53" i="2"/>
  <c r="M53" i="2"/>
  <c r="J53" i="2"/>
  <c r="S52" i="2"/>
  <c r="O52" i="2"/>
  <c r="N52" i="2"/>
  <c r="M52" i="2"/>
  <c r="J52" i="2"/>
  <c r="S51" i="2"/>
  <c r="O51" i="2"/>
  <c r="N51" i="2"/>
  <c r="M51" i="2"/>
  <c r="J51" i="2"/>
  <c r="S50" i="2"/>
  <c r="O50" i="2"/>
  <c r="N50" i="2"/>
  <c r="M50" i="2"/>
  <c r="J50" i="2"/>
  <c r="S49" i="2"/>
  <c r="O49" i="2"/>
  <c r="N49" i="2"/>
  <c r="M49" i="2"/>
  <c r="J49" i="2"/>
  <c r="S48" i="2"/>
  <c r="O48" i="2"/>
  <c r="N48" i="2"/>
  <c r="M48" i="2"/>
  <c r="J48" i="2"/>
  <c r="S47" i="2"/>
  <c r="O47" i="2"/>
  <c r="N47" i="2"/>
  <c r="M47" i="2"/>
  <c r="J47" i="2"/>
  <c r="S46" i="2"/>
  <c r="O46" i="2"/>
  <c r="N46" i="2"/>
  <c r="M46" i="2"/>
  <c r="J46" i="2"/>
  <c r="S45" i="2"/>
  <c r="O45" i="2"/>
  <c r="N45" i="2"/>
  <c r="M45" i="2"/>
  <c r="J45" i="2"/>
  <c r="S44" i="2"/>
  <c r="O44" i="2"/>
  <c r="N44" i="2"/>
  <c r="M44" i="2"/>
  <c r="J44" i="2"/>
  <c r="S43" i="2"/>
  <c r="O43" i="2"/>
  <c r="N43" i="2"/>
  <c r="M43" i="2"/>
  <c r="J43" i="2"/>
  <c r="S42" i="2"/>
  <c r="O42" i="2"/>
  <c r="N42" i="2"/>
  <c r="M42" i="2"/>
  <c r="J42" i="2"/>
  <c r="S41" i="2"/>
  <c r="O41" i="2"/>
  <c r="N41" i="2"/>
  <c r="M41" i="2"/>
  <c r="J41" i="2"/>
  <c r="S40" i="2"/>
  <c r="O40" i="2"/>
  <c r="N40" i="2"/>
  <c r="M40" i="2"/>
  <c r="J40" i="2"/>
  <c r="S39" i="2"/>
  <c r="O39" i="2"/>
  <c r="N39" i="2"/>
  <c r="M39" i="2"/>
  <c r="J39" i="2"/>
  <c r="S38" i="2"/>
  <c r="O38" i="2"/>
  <c r="N38" i="2"/>
  <c r="M38" i="2"/>
  <c r="J38" i="2"/>
  <c r="S37" i="2"/>
  <c r="O37" i="2"/>
  <c r="N37" i="2"/>
  <c r="M37" i="2"/>
  <c r="J37" i="2"/>
  <c r="S36" i="2"/>
  <c r="O36" i="2"/>
  <c r="N36" i="2"/>
  <c r="M36" i="2"/>
  <c r="J36" i="2"/>
  <c r="S35" i="2"/>
  <c r="O35" i="2"/>
  <c r="N35" i="2"/>
  <c r="M35" i="2"/>
  <c r="J35" i="2"/>
  <c r="S34" i="2"/>
  <c r="O34" i="2"/>
  <c r="N34" i="2"/>
  <c r="M34" i="2"/>
  <c r="J34" i="2"/>
  <c r="S33" i="2"/>
  <c r="O33" i="2"/>
  <c r="N33" i="2"/>
  <c r="M33" i="2"/>
  <c r="J33" i="2"/>
  <c r="S32" i="2"/>
  <c r="O32" i="2"/>
  <c r="N32" i="2"/>
  <c r="M32" i="2"/>
  <c r="J32" i="2"/>
  <c r="S31" i="2"/>
  <c r="O31" i="2"/>
  <c r="N31" i="2"/>
  <c r="M31" i="2"/>
  <c r="J31" i="2"/>
  <c r="S30" i="2"/>
  <c r="O30" i="2"/>
  <c r="N30" i="2"/>
  <c r="M30" i="2"/>
  <c r="J30" i="2"/>
  <c r="S29" i="2"/>
  <c r="O29" i="2"/>
  <c r="N29" i="2"/>
  <c r="M29" i="2"/>
  <c r="J29" i="2"/>
  <c r="S28" i="2"/>
  <c r="O28" i="2"/>
  <c r="N28" i="2"/>
  <c r="M28" i="2"/>
  <c r="L28" i="2"/>
  <c r="J28" i="2"/>
  <c r="S27" i="2"/>
  <c r="O27" i="2"/>
  <c r="N27" i="2"/>
  <c r="M27" i="2"/>
  <c r="J27" i="2"/>
  <c r="S26" i="2"/>
  <c r="O26" i="2"/>
  <c r="N26" i="2"/>
  <c r="M26" i="2"/>
  <c r="J26" i="2"/>
  <c r="S25" i="2"/>
  <c r="O25" i="2"/>
  <c r="N25" i="2"/>
  <c r="M25" i="2"/>
  <c r="J25" i="2"/>
  <c r="S24" i="2"/>
  <c r="O24" i="2"/>
  <c r="N24" i="2"/>
  <c r="M24" i="2"/>
  <c r="J24" i="2"/>
  <c r="S23" i="2"/>
  <c r="O23" i="2"/>
  <c r="N23" i="2"/>
  <c r="M23" i="2"/>
  <c r="J23" i="2"/>
  <c r="S22" i="2"/>
  <c r="O22" i="2"/>
  <c r="N22" i="2"/>
  <c r="M22" i="2"/>
  <c r="J22" i="2"/>
  <c r="S21" i="2"/>
  <c r="O21" i="2"/>
  <c r="N21" i="2"/>
  <c r="M21" i="2"/>
  <c r="J21" i="2"/>
  <c r="S20" i="2"/>
  <c r="O20" i="2"/>
  <c r="N20" i="2"/>
  <c r="M20" i="2"/>
  <c r="J20" i="2"/>
  <c r="S19" i="2"/>
  <c r="O19" i="2"/>
  <c r="N19" i="2"/>
  <c r="M19" i="2"/>
  <c r="J19" i="2"/>
  <c r="S18" i="2"/>
  <c r="O18" i="2"/>
  <c r="N18" i="2"/>
  <c r="M18" i="2"/>
  <c r="J18" i="2"/>
  <c r="S17" i="2"/>
  <c r="O17" i="2"/>
  <c r="N17" i="2"/>
  <c r="M17" i="2"/>
  <c r="J17" i="2"/>
  <c r="S16" i="2"/>
  <c r="O16" i="2"/>
  <c r="N16" i="2"/>
  <c r="M16" i="2"/>
  <c r="J16" i="2"/>
  <c r="S15" i="2"/>
  <c r="O15" i="2"/>
  <c r="N15" i="2"/>
  <c r="M15" i="2"/>
  <c r="J15" i="2"/>
  <c r="S14" i="2"/>
  <c r="O14" i="2"/>
  <c r="N14" i="2"/>
  <c r="M14" i="2"/>
  <c r="L14" i="2"/>
  <c r="J14" i="2"/>
  <c r="S13" i="2"/>
  <c r="O13" i="2"/>
  <c r="N13" i="2"/>
  <c r="M13" i="2"/>
  <c r="L13" i="2"/>
  <c r="J13" i="2"/>
  <c r="S12" i="2"/>
  <c r="O12" i="2"/>
  <c r="N12" i="2"/>
  <c r="M12" i="2"/>
  <c r="J12" i="2"/>
  <c r="S11" i="2"/>
  <c r="O11" i="2"/>
  <c r="N11" i="2"/>
  <c r="M11" i="2"/>
  <c r="J11" i="2"/>
  <c r="S10" i="2"/>
  <c r="O10" i="2"/>
  <c r="N10" i="2"/>
  <c r="M10" i="2"/>
  <c r="J10" i="2"/>
  <c r="S9" i="2"/>
  <c r="O9" i="2"/>
  <c r="N9" i="2"/>
  <c r="M9" i="2"/>
  <c r="J9" i="2"/>
  <c r="S8" i="2"/>
  <c r="O8" i="2"/>
  <c r="N8" i="2"/>
  <c r="M8" i="2"/>
  <c r="J8" i="2"/>
  <c r="S7" i="2"/>
  <c r="O7" i="2"/>
  <c r="N7" i="2"/>
  <c r="M7" i="2"/>
  <c r="J7" i="2"/>
  <c r="S6" i="2"/>
  <c r="O6" i="2"/>
  <c r="N6" i="2"/>
  <c r="M6" i="2"/>
  <c r="J6" i="2"/>
  <c r="S5" i="2"/>
  <c r="O5" i="2"/>
  <c r="N5" i="2"/>
  <c r="M5" i="2"/>
  <c r="J5" i="2"/>
  <c r="K440" i="2"/>
  <c r="L440" i="2"/>
  <c r="T440" i="2"/>
  <c r="T441" i="2"/>
  <c r="T442" i="2"/>
  <c r="K432" i="2"/>
  <c r="L432" i="2"/>
  <c r="K434" i="2"/>
  <c r="L434" i="2"/>
  <c r="K439" i="2"/>
  <c r="L439" i="2"/>
  <c r="K429" i="2"/>
  <c r="L429" i="2"/>
  <c r="K433" i="2"/>
  <c r="L433" i="2"/>
  <c r="K436" i="2"/>
  <c r="T438" i="2"/>
  <c r="K438" i="2"/>
  <c r="L438" i="2"/>
  <c r="T439" i="2"/>
  <c r="K431" i="2"/>
  <c r="L431" i="2"/>
  <c r="K430" i="2"/>
  <c r="L430" i="2"/>
  <c r="T434" i="2"/>
  <c r="T435" i="2"/>
  <c r="T436" i="2"/>
  <c r="T437" i="2"/>
  <c r="K437" i="2"/>
  <c r="L437" i="2"/>
  <c r="K435" i="2"/>
  <c r="L435" i="2"/>
  <c r="T433" i="2"/>
  <c r="K428" i="2"/>
  <c r="L428" i="2"/>
  <c r="T432" i="2"/>
  <c r="K425" i="2"/>
  <c r="L425" i="2"/>
  <c r="T427" i="2"/>
  <c r="T429" i="2"/>
  <c r="T430" i="2"/>
  <c r="T431" i="2"/>
  <c r="K427" i="2"/>
  <c r="L427" i="2"/>
  <c r="T428" i="2"/>
  <c r="K426" i="2"/>
  <c r="L426" i="2"/>
  <c r="K422" i="2"/>
  <c r="L422" i="2"/>
  <c r="K417" i="2"/>
  <c r="L417" i="2"/>
  <c r="T426" i="2"/>
  <c r="K420" i="2"/>
  <c r="L420" i="2"/>
  <c r="K423" i="2"/>
  <c r="L423" i="2"/>
  <c r="K421" i="2"/>
  <c r="L421" i="2"/>
  <c r="T423" i="2"/>
  <c r="T424" i="2"/>
  <c r="K424" i="2"/>
  <c r="L424" i="2"/>
  <c r="T425" i="2"/>
  <c r="K418" i="2"/>
  <c r="L418" i="2"/>
  <c r="T375" i="2"/>
  <c r="T376" i="2"/>
  <c r="T377" i="2"/>
  <c r="T408" i="2"/>
  <c r="T411" i="2"/>
  <c r="T420" i="2"/>
  <c r="T421" i="2"/>
  <c r="T422" i="2"/>
  <c r="K413" i="2"/>
  <c r="L413" i="2"/>
  <c r="K419" i="2"/>
  <c r="L419" i="2"/>
  <c r="K412" i="2"/>
  <c r="L412" i="2"/>
  <c r="T419" i="2"/>
  <c r="K415" i="2"/>
  <c r="L415" i="2"/>
  <c r="T418" i="2"/>
  <c r="K416" i="2"/>
  <c r="L416" i="2"/>
  <c r="K414" i="2"/>
  <c r="L414" i="2"/>
  <c r="K411" i="2"/>
  <c r="L411" i="2"/>
  <c r="T412" i="2"/>
  <c r="T413" i="2"/>
  <c r="T414" i="2"/>
  <c r="T415" i="2"/>
  <c r="T416" i="2"/>
  <c r="T417" i="2"/>
  <c r="K410" i="2"/>
  <c r="L410" i="2"/>
  <c r="K408" i="2"/>
  <c r="L408" i="2"/>
  <c r="T409" i="2"/>
  <c r="K409" i="2"/>
  <c r="L409" i="2"/>
  <c r="T410" i="2"/>
  <c r="K405" i="2"/>
  <c r="L405" i="2"/>
  <c r="K399" i="2"/>
  <c r="L399" i="2"/>
  <c r="K400" i="2"/>
  <c r="L400" i="2"/>
  <c r="K398" i="2"/>
  <c r="L398" i="2"/>
  <c r="K402" i="2"/>
  <c r="L402" i="2"/>
  <c r="K403" i="2"/>
  <c r="L403" i="2"/>
  <c r="T406" i="2"/>
  <c r="K407" i="2"/>
  <c r="L407" i="2"/>
  <c r="K406" i="2"/>
  <c r="L406" i="2"/>
  <c r="T407" i="2"/>
  <c r="K404" i="2"/>
  <c r="L404" i="2"/>
  <c r="T405" i="2"/>
  <c r="K401" i="2"/>
  <c r="L401" i="2"/>
  <c r="T402" i="2"/>
  <c r="T403" i="2"/>
  <c r="T404" i="2"/>
  <c r="K397" i="2"/>
  <c r="L397" i="2"/>
  <c r="T400" i="2"/>
  <c r="T401" i="2"/>
  <c r="T398" i="2"/>
  <c r="T399" i="2"/>
  <c r="T397" i="2"/>
  <c r="T393" i="2"/>
  <c r="K393" i="2"/>
  <c r="L393" i="2"/>
  <c r="T394" i="2"/>
  <c r="K395" i="2"/>
  <c r="L395" i="2"/>
  <c r="T396" i="2"/>
  <c r="K396" i="2"/>
  <c r="L396" i="2"/>
  <c r="K394" i="2"/>
  <c r="L394" i="2"/>
  <c r="T395" i="2"/>
  <c r="K392" i="2"/>
  <c r="L392" i="2"/>
  <c r="T391" i="2"/>
  <c r="K391" i="2"/>
  <c r="L391" i="2"/>
  <c r="T392" i="2"/>
  <c r="K390" i="2"/>
  <c r="L390" i="2"/>
  <c r="K388" i="2"/>
  <c r="L388" i="2"/>
  <c r="K384" i="2"/>
  <c r="L384" i="2"/>
  <c r="K389" i="2"/>
  <c r="K387" i="2"/>
  <c r="L387" i="2"/>
  <c r="K386" i="2"/>
  <c r="L386" i="2"/>
  <c r="K385" i="2"/>
  <c r="L385" i="2"/>
  <c r="K383" i="2"/>
  <c r="L383" i="2"/>
  <c r="K382" i="2"/>
  <c r="L382" i="2"/>
  <c r="K381" i="2"/>
  <c r="L381" i="2"/>
  <c r="K380" i="2"/>
  <c r="L380" i="2"/>
  <c r="T382" i="2"/>
  <c r="T383" i="2"/>
  <c r="T384" i="2"/>
  <c r="T385" i="2"/>
  <c r="T386" i="2"/>
  <c r="T387" i="2"/>
  <c r="T388" i="2"/>
  <c r="T389" i="2"/>
  <c r="T390" i="2"/>
  <c r="K377" i="2"/>
  <c r="L377" i="2"/>
  <c r="T378" i="2"/>
  <c r="K379" i="2"/>
  <c r="L379" i="2"/>
  <c r="K378" i="2"/>
  <c r="L378" i="2"/>
  <c r="T379" i="2"/>
  <c r="T380" i="2"/>
  <c r="T381" i="2"/>
  <c r="K376" i="2"/>
  <c r="L376" i="2"/>
  <c r="K375" i="2"/>
  <c r="L375" i="2"/>
  <c r="K374" i="2"/>
  <c r="L374" i="2"/>
  <c r="K369" i="2"/>
  <c r="L369" i="2"/>
  <c r="K371" i="2"/>
  <c r="L371" i="2"/>
  <c r="K372" i="2"/>
  <c r="L372" i="2"/>
  <c r="T373" i="2"/>
  <c r="T374" i="2"/>
  <c r="K373" i="2"/>
  <c r="N20" i="1"/>
  <c r="C20" i="1"/>
  <c r="D20" i="1"/>
  <c r="N24" i="1"/>
  <c r="N13" i="1"/>
  <c r="C13" i="1"/>
  <c r="C4" i="1"/>
  <c r="A4" i="1"/>
  <c r="L5" i="2"/>
  <c r="K5" i="2"/>
  <c r="T372" i="2"/>
  <c r="T371" i="2"/>
  <c r="T370" i="2"/>
  <c r="T369" i="2"/>
  <c r="T368" i="2"/>
  <c r="T367" i="2"/>
  <c r="T366" i="2"/>
  <c r="T365" i="2"/>
  <c r="T364" i="2"/>
  <c r="T363" i="2"/>
  <c r="T362" i="2"/>
  <c r="T361" i="2"/>
  <c r="T360" i="2"/>
  <c r="T359" i="2"/>
  <c r="T358" i="2"/>
  <c r="T357" i="2"/>
  <c r="T356" i="2"/>
  <c r="T355" i="2"/>
  <c r="T354" i="2"/>
  <c r="T353" i="2"/>
  <c r="T352" i="2"/>
  <c r="T351" i="2"/>
  <c r="T350" i="2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L6" i="2"/>
  <c r="K6" i="2"/>
  <c r="L7" i="2"/>
  <c r="K7" i="2"/>
  <c r="L8" i="2"/>
  <c r="K8" i="2"/>
  <c r="N11" i="1"/>
  <c r="C11" i="1"/>
  <c r="L9" i="2"/>
  <c r="K9" i="2"/>
  <c r="L10" i="2"/>
  <c r="K10" i="2"/>
  <c r="L11" i="2"/>
  <c r="K11" i="2"/>
  <c r="L12" i="2"/>
  <c r="K12" i="2"/>
  <c r="K13" i="2"/>
  <c r="K14" i="2"/>
  <c r="L15" i="2"/>
  <c r="K15" i="2"/>
  <c r="L16" i="2"/>
  <c r="K16" i="2"/>
  <c r="L17" i="2"/>
  <c r="K17" i="2"/>
  <c r="L18" i="2"/>
  <c r="K18" i="2"/>
  <c r="L19" i="2"/>
  <c r="K19" i="2"/>
  <c r="L20" i="2"/>
  <c r="K20" i="2"/>
  <c r="N14" i="1"/>
  <c r="C14" i="1"/>
  <c r="L21" i="2"/>
  <c r="K21" i="2"/>
  <c r="L22" i="2"/>
  <c r="K22" i="2"/>
  <c r="L23" i="2"/>
  <c r="K23" i="2"/>
  <c r="L24" i="2"/>
  <c r="K24" i="2"/>
  <c r="L25" i="2"/>
  <c r="K25" i="2"/>
  <c r="L26" i="2"/>
  <c r="K26" i="2"/>
  <c r="L27" i="2"/>
  <c r="K27" i="2"/>
  <c r="K28" i="2"/>
  <c r="L29" i="2"/>
  <c r="K29" i="2"/>
  <c r="L30" i="2"/>
  <c r="K30" i="2"/>
  <c r="L31" i="2"/>
  <c r="K31" i="2"/>
  <c r="L32" i="2"/>
  <c r="K32" i="2"/>
  <c r="L33" i="2"/>
  <c r="K33" i="2"/>
  <c r="L34" i="2"/>
  <c r="K34" i="2"/>
  <c r="L35" i="2"/>
  <c r="K35" i="2"/>
  <c r="L36" i="2"/>
  <c r="K36" i="2"/>
  <c r="N12" i="1"/>
  <c r="C12" i="1"/>
  <c r="L37" i="2"/>
  <c r="K37" i="2"/>
  <c r="L38" i="2"/>
  <c r="K38" i="2"/>
  <c r="L39" i="2"/>
  <c r="K39" i="2"/>
  <c r="L40" i="2"/>
  <c r="K40" i="2"/>
  <c r="L41" i="2"/>
  <c r="K41" i="2"/>
  <c r="L42" i="2"/>
  <c r="K42" i="2"/>
  <c r="L43" i="2"/>
  <c r="K43" i="2"/>
  <c r="L44" i="2"/>
  <c r="K44" i="2"/>
  <c r="L45" i="2"/>
  <c r="K45" i="2"/>
  <c r="L46" i="2"/>
  <c r="K46" i="2"/>
  <c r="L47" i="2"/>
  <c r="K47" i="2"/>
  <c r="L48" i="2"/>
  <c r="K48" i="2"/>
  <c r="L49" i="2"/>
  <c r="K49" i="2"/>
  <c r="L50" i="2"/>
  <c r="K50" i="2"/>
  <c r="L51" i="2"/>
  <c r="K51" i="2"/>
  <c r="L52" i="2"/>
  <c r="K52" i="2"/>
  <c r="L53" i="2"/>
  <c r="K53" i="2"/>
  <c r="L54" i="2"/>
  <c r="K54" i="2"/>
  <c r="L55" i="2"/>
  <c r="K55" i="2"/>
  <c r="L56" i="2"/>
  <c r="K56" i="2"/>
  <c r="L57" i="2"/>
  <c r="K57" i="2"/>
  <c r="L58" i="2"/>
  <c r="K58" i="2"/>
  <c r="L59" i="2"/>
  <c r="K59" i="2"/>
  <c r="L60" i="2"/>
  <c r="K60" i="2"/>
  <c r="L61" i="2"/>
  <c r="K61" i="2"/>
  <c r="L62" i="2"/>
  <c r="K62" i="2"/>
  <c r="L63" i="2"/>
  <c r="K63" i="2"/>
  <c r="L64" i="2"/>
  <c r="K64" i="2"/>
  <c r="L65" i="2"/>
  <c r="K65" i="2"/>
  <c r="L66" i="2"/>
  <c r="K66" i="2"/>
  <c r="L67" i="2"/>
  <c r="K67" i="2"/>
  <c r="L68" i="2"/>
  <c r="K68" i="2"/>
  <c r="L69" i="2"/>
  <c r="K69" i="2"/>
  <c r="L70" i="2"/>
  <c r="K70" i="2"/>
  <c r="L71" i="2"/>
  <c r="K71" i="2"/>
  <c r="L72" i="2"/>
  <c r="K72" i="2"/>
  <c r="L73" i="2"/>
  <c r="K73" i="2"/>
  <c r="L74" i="2"/>
  <c r="K74" i="2"/>
  <c r="L75" i="2"/>
  <c r="K75" i="2"/>
  <c r="L76" i="2"/>
  <c r="K76" i="2"/>
  <c r="L77" i="2"/>
  <c r="K77" i="2"/>
  <c r="L78" i="2"/>
  <c r="K78" i="2"/>
  <c r="L79" i="2"/>
  <c r="K79" i="2"/>
  <c r="L80" i="2"/>
  <c r="K80" i="2"/>
  <c r="L81" i="2"/>
  <c r="K81" i="2"/>
  <c r="L82" i="2"/>
  <c r="K82" i="2"/>
  <c r="L83" i="2"/>
  <c r="K83" i="2"/>
  <c r="L84" i="2"/>
  <c r="K84" i="2"/>
  <c r="L85" i="2"/>
  <c r="K85" i="2"/>
  <c r="L86" i="2"/>
  <c r="K86" i="2"/>
  <c r="L87" i="2"/>
  <c r="K87" i="2"/>
  <c r="L88" i="2"/>
  <c r="K88" i="2"/>
  <c r="L89" i="2"/>
  <c r="K89" i="2"/>
  <c r="L90" i="2"/>
  <c r="K90" i="2"/>
  <c r="L91" i="2"/>
  <c r="K91" i="2"/>
  <c r="L92" i="2"/>
  <c r="K92" i="2"/>
  <c r="L93" i="2"/>
  <c r="K93" i="2"/>
  <c r="L94" i="2"/>
  <c r="K94" i="2"/>
  <c r="L95" i="2"/>
  <c r="K95" i="2"/>
  <c r="L96" i="2"/>
  <c r="K96" i="2"/>
  <c r="L97" i="2"/>
  <c r="K97" i="2"/>
  <c r="L98" i="2"/>
  <c r="K98" i="2"/>
  <c r="L99" i="2"/>
  <c r="K99" i="2"/>
  <c r="L100" i="2"/>
  <c r="K100" i="2"/>
  <c r="N19" i="1"/>
  <c r="C19" i="1"/>
  <c r="L101" i="2"/>
  <c r="K101" i="2"/>
  <c r="L102" i="2"/>
  <c r="K102" i="2"/>
  <c r="L103" i="2"/>
  <c r="K103" i="2"/>
  <c r="L104" i="2"/>
  <c r="K104" i="2"/>
  <c r="L105" i="2"/>
  <c r="K105" i="2"/>
  <c r="L106" i="2"/>
  <c r="K106" i="2"/>
  <c r="L107" i="2"/>
  <c r="K107" i="2"/>
  <c r="L108" i="2"/>
  <c r="K108" i="2"/>
  <c r="L109" i="2"/>
  <c r="K109" i="2"/>
  <c r="L110" i="2"/>
  <c r="K110" i="2"/>
  <c r="L111" i="2"/>
  <c r="K111" i="2"/>
  <c r="L112" i="2"/>
  <c r="K112" i="2"/>
  <c r="L113" i="2"/>
  <c r="K113" i="2"/>
  <c r="L114" i="2"/>
  <c r="K114" i="2"/>
  <c r="L115" i="2"/>
  <c r="K115" i="2"/>
  <c r="L116" i="2"/>
  <c r="K116" i="2"/>
  <c r="N16" i="1"/>
  <c r="C16" i="1"/>
  <c r="L117" i="2"/>
  <c r="K117" i="2"/>
  <c r="L118" i="2"/>
  <c r="K118" i="2"/>
  <c r="L119" i="2"/>
  <c r="K119" i="2"/>
  <c r="L120" i="2"/>
  <c r="K120" i="2"/>
  <c r="L121" i="2"/>
  <c r="K121" i="2"/>
  <c r="L122" i="2"/>
  <c r="K122" i="2"/>
  <c r="L123" i="2"/>
  <c r="K123" i="2"/>
  <c r="L124" i="2"/>
  <c r="K124" i="2"/>
  <c r="L125" i="2"/>
  <c r="K125" i="2"/>
  <c r="L126" i="2"/>
  <c r="K126" i="2"/>
  <c r="L127" i="2"/>
  <c r="K127" i="2"/>
  <c r="L128" i="2"/>
  <c r="K128" i="2"/>
  <c r="L129" i="2"/>
  <c r="K129" i="2"/>
  <c r="L130" i="2"/>
  <c r="K130" i="2"/>
  <c r="L131" i="2"/>
  <c r="K131" i="2"/>
  <c r="L132" i="2"/>
  <c r="K132" i="2"/>
  <c r="L133" i="2"/>
  <c r="K133" i="2"/>
  <c r="L134" i="2"/>
  <c r="K134" i="2"/>
  <c r="L135" i="2"/>
  <c r="K135" i="2"/>
  <c r="L136" i="2"/>
  <c r="K136" i="2"/>
  <c r="L137" i="2"/>
  <c r="K137" i="2"/>
  <c r="L138" i="2"/>
  <c r="K138" i="2"/>
  <c r="L139" i="2"/>
  <c r="K139" i="2"/>
  <c r="L140" i="2"/>
  <c r="K140" i="2"/>
  <c r="L141" i="2"/>
  <c r="K141" i="2"/>
  <c r="L142" i="2"/>
  <c r="K142" i="2"/>
  <c r="L143" i="2"/>
  <c r="K143" i="2"/>
  <c r="L144" i="2"/>
  <c r="K144" i="2"/>
  <c r="L145" i="2"/>
  <c r="K145" i="2"/>
  <c r="L146" i="2"/>
  <c r="K146" i="2"/>
  <c r="L147" i="2"/>
  <c r="K147" i="2"/>
  <c r="L148" i="2"/>
  <c r="K148" i="2"/>
  <c r="L149" i="2"/>
  <c r="K149" i="2"/>
  <c r="L150" i="2"/>
  <c r="K150" i="2"/>
  <c r="L151" i="2"/>
  <c r="K151" i="2"/>
  <c r="L152" i="2"/>
  <c r="K152" i="2"/>
  <c r="L153" i="2"/>
  <c r="K153" i="2"/>
  <c r="L154" i="2"/>
  <c r="K154" i="2"/>
  <c r="L155" i="2"/>
  <c r="K155" i="2"/>
  <c r="L156" i="2"/>
  <c r="K156" i="2"/>
  <c r="L157" i="2"/>
  <c r="K157" i="2"/>
  <c r="N15" i="1"/>
  <c r="C15" i="1"/>
  <c r="L158" i="2"/>
  <c r="K158" i="2"/>
  <c r="L159" i="2"/>
  <c r="K159" i="2"/>
  <c r="L160" i="2"/>
  <c r="K160" i="2"/>
  <c r="L161" i="2"/>
  <c r="K161" i="2"/>
  <c r="L162" i="2"/>
  <c r="K162" i="2"/>
  <c r="L163" i="2"/>
  <c r="K163" i="2"/>
  <c r="L164" i="2"/>
  <c r="K164" i="2"/>
  <c r="L165" i="2"/>
  <c r="K165" i="2"/>
  <c r="L166" i="2"/>
  <c r="K166" i="2"/>
  <c r="L167" i="2"/>
  <c r="K167" i="2"/>
  <c r="L168" i="2"/>
  <c r="K168" i="2"/>
  <c r="L169" i="2"/>
  <c r="K169" i="2"/>
  <c r="L170" i="2"/>
  <c r="K170" i="2"/>
  <c r="L171" i="2"/>
  <c r="K171" i="2"/>
  <c r="L172" i="2"/>
  <c r="K172" i="2"/>
  <c r="L173" i="2"/>
  <c r="K173" i="2"/>
  <c r="L174" i="2"/>
  <c r="K174" i="2"/>
  <c r="L175" i="2"/>
  <c r="K175" i="2"/>
  <c r="L176" i="2"/>
  <c r="K176" i="2"/>
  <c r="L177" i="2"/>
  <c r="K177" i="2"/>
  <c r="L178" i="2"/>
  <c r="K178" i="2"/>
  <c r="L179" i="2"/>
  <c r="K179" i="2"/>
  <c r="L180" i="2"/>
  <c r="K180" i="2"/>
  <c r="L181" i="2"/>
  <c r="K181" i="2"/>
  <c r="L182" i="2"/>
  <c r="K182" i="2"/>
  <c r="L183" i="2"/>
  <c r="K183" i="2"/>
  <c r="L184" i="2"/>
  <c r="K184" i="2"/>
  <c r="L185" i="2"/>
  <c r="K185" i="2"/>
  <c r="L186" i="2"/>
  <c r="K186" i="2"/>
  <c r="L187" i="2"/>
  <c r="K187" i="2"/>
  <c r="L188" i="2"/>
  <c r="K188" i="2"/>
  <c r="L189" i="2"/>
  <c r="K189" i="2"/>
  <c r="L190" i="2"/>
  <c r="K190" i="2"/>
  <c r="L191" i="2"/>
  <c r="K191" i="2"/>
  <c r="L192" i="2"/>
  <c r="K192" i="2"/>
  <c r="L193" i="2"/>
  <c r="K193" i="2"/>
  <c r="L194" i="2"/>
  <c r="K194" i="2"/>
  <c r="L195" i="2"/>
  <c r="K195" i="2"/>
  <c r="L196" i="2"/>
  <c r="K196" i="2"/>
  <c r="L197" i="2"/>
  <c r="K197" i="2"/>
  <c r="L198" i="2"/>
  <c r="K198" i="2"/>
  <c r="L199" i="2"/>
  <c r="K199" i="2"/>
  <c r="L200" i="2"/>
  <c r="K200" i="2"/>
  <c r="L201" i="2"/>
  <c r="K201" i="2"/>
  <c r="L202" i="2"/>
  <c r="K202" i="2"/>
  <c r="L203" i="2"/>
  <c r="K203" i="2"/>
  <c r="L204" i="2"/>
  <c r="K204" i="2"/>
  <c r="L205" i="2"/>
  <c r="K205" i="2"/>
  <c r="L206" i="2"/>
  <c r="K206" i="2"/>
  <c r="L207" i="2"/>
  <c r="K207" i="2"/>
  <c r="L208" i="2"/>
  <c r="K208" i="2"/>
  <c r="L209" i="2"/>
  <c r="K209" i="2"/>
  <c r="L210" i="2"/>
  <c r="K210" i="2"/>
  <c r="L211" i="2"/>
  <c r="K211" i="2"/>
  <c r="L212" i="2"/>
  <c r="K212" i="2"/>
  <c r="L213" i="2"/>
  <c r="K213" i="2"/>
  <c r="L214" i="2"/>
  <c r="K214" i="2"/>
  <c r="L215" i="2"/>
  <c r="K215" i="2"/>
  <c r="L216" i="2"/>
  <c r="K216" i="2"/>
  <c r="L217" i="2"/>
  <c r="K217" i="2"/>
  <c r="L218" i="2"/>
  <c r="K218" i="2"/>
  <c r="L219" i="2"/>
  <c r="K219" i="2"/>
  <c r="L220" i="2"/>
  <c r="K220" i="2"/>
  <c r="L221" i="2"/>
  <c r="K221" i="2"/>
  <c r="L222" i="2"/>
  <c r="K222" i="2"/>
  <c r="L223" i="2"/>
  <c r="K223" i="2"/>
  <c r="L224" i="2"/>
  <c r="K224" i="2"/>
  <c r="L225" i="2"/>
  <c r="K225" i="2"/>
  <c r="L226" i="2"/>
  <c r="K226" i="2"/>
  <c r="L227" i="2"/>
  <c r="K227" i="2"/>
  <c r="L228" i="2"/>
  <c r="K228" i="2"/>
  <c r="L229" i="2"/>
  <c r="K229" i="2"/>
  <c r="L230" i="2"/>
  <c r="K230" i="2"/>
  <c r="L231" i="2"/>
  <c r="K231" i="2"/>
  <c r="L232" i="2"/>
  <c r="K232" i="2"/>
  <c r="L233" i="2"/>
  <c r="K233" i="2"/>
  <c r="L234" i="2"/>
  <c r="K234" i="2"/>
  <c r="L235" i="2"/>
  <c r="K235" i="2"/>
  <c r="L236" i="2"/>
  <c r="K236" i="2"/>
  <c r="L237" i="2"/>
  <c r="K237" i="2"/>
  <c r="L238" i="2"/>
  <c r="K238" i="2"/>
  <c r="L239" i="2"/>
  <c r="K239" i="2"/>
  <c r="L240" i="2"/>
  <c r="K240" i="2"/>
  <c r="L241" i="2"/>
  <c r="K241" i="2"/>
  <c r="L242" i="2"/>
  <c r="K242" i="2"/>
  <c r="L243" i="2"/>
  <c r="K243" i="2"/>
  <c r="K244" i="2"/>
  <c r="L245" i="2"/>
  <c r="K245" i="2"/>
  <c r="L246" i="2"/>
  <c r="K246" i="2"/>
  <c r="L247" i="2"/>
  <c r="K247" i="2"/>
  <c r="L248" i="2"/>
  <c r="K248" i="2"/>
  <c r="L249" i="2"/>
  <c r="K249" i="2"/>
  <c r="L250" i="2"/>
  <c r="K250" i="2"/>
  <c r="L251" i="2"/>
  <c r="K251" i="2"/>
  <c r="L252" i="2"/>
  <c r="K252" i="2"/>
  <c r="L253" i="2"/>
  <c r="K253" i="2"/>
  <c r="L254" i="2"/>
  <c r="K254" i="2"/>
  <c r="L255" i="2"/>
  <c r="K255" i="2"/>
  <c r="L256" i="2"/>
  <c r="K256" i="2"/>
  <c r="L257" i="2"/>
  <c r="K257" i="2"/>
  <c r="L258" i="2"/>
  <c r="K258" i="2"/>
  <c r="L259" i="2"/>
  <c r="K259" i="2"/>
  <c r="L260" i="2"/>
  <c r="K260" i="2"/>
  <c r="L261" i="2"/>
  <c r="K261" i="2"/>
  <c r="L262" i="2"/>
  <c r="K262" i="2"/>
  <c r="L263" i="2"/>
  <c r="K263" i="2"/>
  <c r="L264" i="2"/>
  <c r="K264" i="2"/>
  <c r="L265" i="2"/>
  <c r="K265" i="2"/>
  <c r="L266" i="2"/>
  <c r="K266" i="2"/>
  <c r="L267" i="2"/>
  <c r="K267" i="2"/>
  <c r="L268" i="2"/>
  <c r="K268" i="2"/>
  <c r="L269" i="2"/>
  <c r="K269" i="2"/>
  <c r="L270" i="2"/>
  <c r="K270" i="2"/>
  <c r="K271" i="2"/>
  <c r="L272" i="2"/>
  <c r="K272" i="2"/>
  <c r="L273" i="2"/>
  <c r="K273" i="2"/>
  <c r="L274" i="2"/>
  <c r="K274" i="2"/>
  <c r="L275" i="2"/>
  <c r="K275" i="2"/>
  <c r="L276" i="2"/>
  <c r="K276" i="2"/>
  <c r="L277" i="2"/>
  <c r="K277" i="2"/>
  <c r="L278" i="2"/>
  <c r="K278" i="2"/>
  <c r="L279" i="2"/>
  <c r="K279" i="2"/>
  <c r="L280" i="2"/>
  <c r="K280" i="2"/>
  <c r="L281" i="2"/>
  <c r="K281" i="2"/>
  <c r="L282" i="2"/>
  <c r="K282" i="2"/>
  <c r="L283" i="2"/>
  <c r="K283" i="2"/>
  <c r="L284" i="2"/>
  <c r="K284" i="2"/>
  <c r="L285" i="2"/>
  <c r="K285" i="2"/>
  <c r="L286" i="2"/>
  <c r="K286" i="2"/>
  <c r="L287" i="2"/>
  <c r="K287" i="2"/>
  <c r="L288" i="2"/>
  <c r="K288" i="2"/>
  <c r="L289" i="2"/>
  <c r="K289" i="2"/>
  <c r="L290" i="2"/>
  <c r="K290" i="2"/>
  <c r="L291" i="2"/>
  <c r="K291" i="2"/>
  <c r="L292" i="2"/>
  <c r="K292" i="2"/>
  <c r="L293" i="2"/>
  <c r="K293" i="2"/>
  <c r="L294" i="2"/>
  <c r="K294" i="2"/>
  <c r="L295" i="2"/>
  <c r="K295" i="2"/>
  <c r="L296" i="2"/>
  <c r="K296" i="2"/>
  <c r="L297" i="2"/>
  <c r="K297" i="2"/>
  <c r="L298" i="2"/>
  <c r="K298" i="2"/>
  <c r="L299" i="2"/>
  <c r="K299" i="2"/>
  <c r="K300" i="2"/>
  <c r="L301" i="2"/>
  <c r="K301" i="2"/>
  <c r="L302" i="2"/>
  <c r="K302" i="2"/>
  <c r="L303" i="2"/>
  <c r="K303" i="2"/>
  <c r="L304" i="2"/>
  <c r="K304" i="2"/>
  <c r="L305" i="2"/>
  <c r="K305" i="2"/>
  <c r="L306" i="2"/>
  <c r="K306" i="2"/>
  <c r="L307" i="2"/>
  <c r="K307" i="2"/>
  <c r="L308" i="2"/>
  <c r="K308" i="2"/>
  <c r="L309" i="2"/>
  <c r="K309" i="2"/>
  <c r="L310" i="2"/>
  <c r="K310" i="2"/>
  <c r="L311" i="2"/>
  <c r="K311" i="2"/>
  <c r="L312" i="2"/>
  <c r="K312" i="2"/>
  <c r="L313" i="2"/>
  <c r="K313" i="2"/>
  <c r="L314" i="2"/>
  <c r="K314" i="2"/>
  <c r="L315" i="2"/>
  <c r="K315" i="2"/>
  <c r="L316" i="2"/>
  <c r="K316" i="2"/>
  <c r="L317" i="2"/>
  <c r="K317" i="2"/>
  <c r="N17" i="1"/>
  <c r="C17" i="1"/>
  <c r="L318" i="2"/>
  <c r="K318" i="2"/>
  <c r="L319" i="2"/>
  <c r="K319" i="2"/>
  <c r="L320" i="2"/>
  <c r="K320" i="2"/>
  <c r="L321" i="2"/>
  <c r="K321" i="2"/>
  <c r="L322" i="2"/>
  <c r="K322" i="2"/>
  <c r="L323" i="2"/>
  <c r="K323" i="2"/>
  <c r="L324" i="2"/>
  <c r="K324" i="2"/>
  <c r="L325" i="2"/>
  <c r="K325" i="2"/>
  <c r="L326" i="2"/>
  <c r="K326" i="2"/>
  <c r="L327" i="2"/>
  <c r="K327" i="2"/>
  <c r="L328" i="2"/>
  <c r="K328" i="2"/>
  <c r="L329" i="2"/>
  <c r="K329" i="2"/>
  <c r="L330" i="2"/>
  <c r="K330" i="2"/>
  <c r="K331" i="2"/>
  <c r="L332" i="2"/>
  <c r="K332" i="2"/>
  <c r="L333" i="2"/>
  <c r="K333" i="2"/>
  <c r="L334" i="2"/>
  <c r="K334" i="2"/>
  <c r="K335" i="2"/>
  <c r="L336" i="2"/>
  <c r="K336" i="2"/>
  <c r="L337" i="2"/>
  <c r="K337" i="2"/>
  <c r="L338" i="2"/>
  <c r="K338" i="2"/>
  <c r="L339" i="2"/>
  <c r="K339" i="2"/>
  <c r="L340" i="2"/>
  <c r="K340" i="2"/>
  <c r="L341" i="2"/>
  <c r="K341" i="2"/>
  <c r="L342" i="2"/>
  <c r="K342" i="2"/>
  <c r="L343" i="2"/>
  <c r="K343" i="2"/>
  <c r="K344" i="2"/>
  <c r="K345" i="2"/>
  <c r="L346" i="2"/>
  <c r="K346" i="2"/>
  <c r="L347" i="2"/>
  <c r="K347" i="2"/>
  <c r="L348" i="2"/>
  <c r="K348" i="2"/>
  <c r="L349" i="2"/>
  <c r="K349" i="2"/>
  <c r="K350" i="2"/>
  <c r="L351" i="2"/>
  <c r="K351" i="2"/>
  <c r="L352" i="2"/>
  <c r="K352" i="2"/>
  <c r="L353" i="2"/>
  <c r="K353" i="2"/>
  <c r="L354" i="2"/>
  <c r="K354" i="2"/>
  <c r="L355" i="2"/>
  <c r="K355" i="2"/>
  <c r="L356" i="2"/>
  <c r="K356" i="2"/>
  <c r="L357" i="2"/>
  <c r="K357" i="2"/>
  <c r="L358" i="2"/>
  <c r="K358" i="2"/>
  <c r="L359" i="2"/>
  <c r="K359" i="2"/>
  <c r="L360" i="2"/>
  <c r="K360" i="2"/>
  <c r="L361" i="2"/>
  <c r="K361" i="2"/>
  <c r="L362" i="2"/>
  <c r="K362" i="2"/>
  <c r="L363" i="2"/>
  <c r="K363" i="2"/>
  <c r="L364" i="2"/>
  <c r="K364" i="2"/>
  <c r="L365" i="2"/>
  <c r="K365" i="2"/>
  <c r="L366" i="2"/>
  <c r="K366" i="2"/>
  <c r="L367" i="2"/>
  <c r="K367" i="2"/>
  <c r="L368" i="2"/>
  <c r="K368" i="2"/>
  <c r="P369" i="2"/>
  <c r="Q369" i="2"/>
  <c r="L370" i="2"/>
  <c r="K370" i="2"/>
  <c r="P371" i="2"/>
  <c r="Q371" i="2"/>
  <c r="P372" i="2"/>
  <c r="Q372" i="2"/>
  <c r="P373" i="2"/>
  <c r="Q373" i="2"/>
  <c r="P374" i="2"/>
  <c r="Q374" i="2"/>
  <c r="P375" i="2"/>
  <c r="Q375" i="2"/>
  <c r="P376" i="2"/>
  <c r="Q376" i="2"/>
  <c r="P377" i="2"/>
  <c r="Q377" i="2"/>
  <c r="P378" i="2"/>
  <c r="Q378" i="2"/>
  <c r="P379" i="2"/>
  <c r="Q379" i="2"/>
  <c r="P380" i="2"/>
  <c r="Q380" i="2"/>
  <c r="P381" i="2"/>
  <c r="Q381" i="2"/>
  <c r="P382" i="2"/>
  <c r="Q382" i="2"/>
  <c r="P383" i="2"/>
  <c r="Q383" i="2"/>
  <c r="P384" i="2"/>
  <c r="Q384" i="2"/>
  <c r="P385" i="2"/>
  <c r="Q385" i="2"/>
  <c r="P386" i="2"/>
  <c r="Q386" i="2"/>
  <c r="P387" i="2"/>
  <c r="Q387" i="2"/>
  <c r="P388" i="2"/>
  <c r="Q388" i="2"/>
  <c r="P389" i="2"/>
  <c r="Q389" i="2"/>
  <c r="P390" i="2"/>
  <c r="Q390" i="2"/>
  <c r="P391" i="2"/>
  <c r="Q391" i="2"/>
  <c r="P392" i="2"/>
  <c r="Q392" i="2"/>
  <c r="P393" i="2"/>
  <c r="Q393" i="2"/>
  <c r="P394" i="2"/>
  <c r="Q394" i="2"/>
  <c r="P395" i="2"/>
  <c r="Q395" i="2"/>
  <c r="P396" i="2"/>
  <c r="Q396" i="2"/>
  <c r="P397" i="2"/>
  <c r="Q397" i="2"/>
  <c r="P398" i="2"/>
  <c r="Q398" i="2"/>
  <c r="P399" i="2"/>
  <c r="Q399" i="2"/>
  <c r="P400" i="2"/>
  <c r="Q400" i="2"/>
  <c r="P401" i="2"/>
  <c r="Q401" i="2"/>
  <c r="P402" i="2"/>
  <c r="Q402" i="2"/>
  <c r="P403" i="2"/>
  <c r="Q403" i="2"/>
  <c r="P404" i="2"/>
  <c r="Q404" i="2"/>
  <c r="P405" i="2"/>
  <c r="Q405" i="2"/>
  <c r="P406" i="2"/>
  <c r="Q406" i="2"/>
  <c r="P407" i="2"/>
  <c r="Q407" i="2"/>
  <c r="P408" i="2"/>
  <c r="Q408" i="2"/>
  <c r="P409" i="2"/>
  <c r="Q409" i="2"/>
  <c r="P410" i="2"/>
  <c r="Q410" i="2"/>
  <c r="P411" i="2"/>
  <c r="Q411" i="2"/>
  <c r="P412" i="2"/>
  <c r="Q412" i="2"/>
  <c r="P413" i="2"/>
  <c r="Q413" i="2"/>
  <c r="P414" i="2"/>
  <c r="Q414" i="2"/>
  <c r="P415" i="2"/>
  <c r="Q415" i="2"/>
  <c r="P416" i="2"/>
  <c r="Q416" i="2"/>
  <c r="P417" i="2"/>
  <c r="Q417" i="2"/>
  <c r="P418" i="2"/>
  <c r="Q418" i="2"/>
  <c r="P419" i="2"/>
  <c r="Q419" i="2"/>
  <c r="P420" i="2"/>
  <c r="Q420" i="2"/>
  <c r="P421" i="2"/>
  <c r="Q421" i="2"/>
  <c r="P422" i="2"/>
  <c r="Q422" i="2"/>
  <c r="P423" i="2"/>
  <c r="Q423" i="2"/>
  <c r="P424" i="2"/>
  <c r="Q424" i="2"/>
  <c r="P425" i="2"/>
  <c r="Q425" i="2"/>
  <c r="P426" i="2"/>
  <c r="Q426" i="2"/>
  <c r="P427" i="2"/>
  <c r="Q427" i="2"/>
  <c r="P428" i="2"/>
  <c r="Q428" i="2"/>
  <c r="P429" i="2"/>
  <c r="Q429" i="2"/>
  <c r="P430" i="2"/>
  <c r="Q430" i="2"/>
  <c r="P431" i="2"/>
  <c r="Q431" i="2"/>
  <c r="P432" i="2"/>
  <c r="Q432" i="2"/>
  <c r="P433" i="2"/>
  <c r="Q433" i="2"/>
  <c r="P434" i="2"/>
  <c r="Q434" i="2"/>
  <c r="P435" i="2"/>
  <c r="Q435" i="2"/>
  <c r="P436" i="2"/>
  <c r="Q436" i="2"/>
  <c r="P437" i="2"/>
  <c r="Q437" i="2"/>
  <c r="P438" i="2"/>
  <c r="Q438" i="2"/>
  <c r="P439" i="2"/>
  <c r="Q439" i="2"/>
  <c r="P440" i="2"/>
  <c r="Q440" i="2"/>
  <c r="P491" i="2"/>
  <c r="Q491" i="2" s="1"/>
  <c r="P492" i="2"/>
  <c r="Q492" i="2" s="1"/>
  <c r="P494" i="2"/>
  <c r="Q494" i="2" s="1"/>
  <c r="P496" i="2"/>
  <c r="Q496" i="2" s="1"/>
  <c r="P504" i="2"/>
  <c r="Q504" i="2" s="1"/>
  <c r="P505" i="2"/>
  <c r="Q505" i="2" s="1"/>
  <c r="P508" i="2"/>
  <c r="Q508" i="2" s="1"/>
  <c r="P509" i="2"/>
  <c r="Q509" i="2" s="1"/>
  <c r="Q513" i="2"/>
  <c r="P513" i="2"/>
  <c r="Q514" i="2"/>
  <c r="P514" i="2"/>
  <c r="Q515" i="2"/>
  <c r="P515" i="2"/>
  <c r="Q516" i="2"/>
  <c r="P516" i="2"/>
  <c r="Q517" i="2"/>
  <c r="P517" i="2"/>
  <c r="Q518" i="2"/>
  <c r="P518" i="2"/>
  <c r="Q519" i="2"/>
  <c r="P519" i="2"/>
  <c r="Q520" i="2"/>
  <c r="P520" i="2"/>
  <c r="Q521" i="2"/>
  <c r="P521" i="2"/>
  <c r="Q522" i="2"/>
  <c r="P522" i="2"/>
  <c r="Q523" i="2"/>
  <c r="P523" i="2"/>
  <c r="Q524" i="2"/>
  <c r="P524" i="2"/>
  <c r="Q525" i="2"/>
  <c r="P525" i="2"/>
  <c r="Q526" i="2"/>
  <c r="P526" i="2"/>
  <c r="Q527" i="2"/>
  <c r="P527" i="2"/>
  <c r="Q528" i="2"/>
  <c r="P528" i="2"/>
  <c r="Q529" i="2"/>
  <c r="P529" i="2"/>
  <c r="Q530" i="2"/>
  <c r="P530" i="2"/>
  <c r="Q531" i="2"/>
  <c r="P531" i="2"/>
  <c r="Q532" i="2"/>
  <c r="P532" i="2"/>
  <c r="Q533" i="2"/>
  <c r="P533" i="2"/>
  <c r="Q534" i="2"/>
  <c r="P534" i="2"/>
  <c r="Q535" i="2"/>
  <c r="P535" i="2"/>
  <c r="Q536" i="2"/>
  <c r="P536" i="2"/>
  <c r="Q537" i="2"/>
  <c r="P537" i="2"/>
  <c r="Q538" i="2"/>
  <c r="P538" i="2"/>
  <c r="Q539" i="2"/>
  <c r="P539" i="2"/>
  <c r="Q540" i="2"/>
  <c r="P540" i="2"/>
  <c r="Q541" i="2"/>
  <c r="P541" i="2"/>
  <c r="Q542" i="2"/>
  <c r="P542" i="2"/>
  <c r="Q543" i="2"/>
  <c r="P543" i="2"/>
  <c r="Q544" i="2"/>
  <c r="P544" i="2"/>
  <c r="Q545" i="2"/>
  <c r="P545" i="2"/>
  <c r="Q546" i="2"/>
  <c r="P546" i="2"/>
  <c r="Q547" i="2"/>
  <c r="P547" i="2"/>
  <c r="Q548" i="2"/>
  <c r="P548" i="2"/>
  <c r="Q549" i="2"/>
  <c r="P549" i="2"/>
  <c r="Q550" i="2"/>
  <c r="P550" i="2"/>
  <c r="Q551" i="2"/>
  <c r="P551" i="2"/>
  <c r="Q552" i="2"/>
  <c r="P552" i="2"/>
  <c r="Q553" i="2"/>
  <c r="P553" i="2"/>
  <c r="Q554" i="2"/>
  <c r="P554" i="2"/>
  <c r="Q555" i="2"/>
  <c r="P555" i="2"/>
  <c r="Q556" i="2"/>
  <c r="P556" i="2"/>
  <c r="Q557" i="2"/>
  <c r="P557" i="2"/>
  <c r="Q558" i="2"/>
  <c r="P558" i="2"/>
  <c r="Q559" i="2"/>
  <c r="P559" i="2"/>
  <c r="Q560" i="2"/>
  <c r="P560" i="2"/>
  <c r="Q561" i="2"/>
  <c r="P561" i="2"/>
  <c r="Q562" i="2"/>
  <c r="P562" i="2"/>
  <c r="Q563" i="2"/>
  <c r="P563" i="2"/>
  <c r="Q564" i="2"/>
  <c r="P564" i="2"/>
  <c r="Q565" i="2"/>
  <c r="P565" i="2"/>
  <c r="Q566" i="2"/>
  <c r="P566" i="2"/>
  <c r="Q567" i="2"/>
  <c r="P567" i="2"/>
  <c r="Q568" i="2"/>
  <c r="P568" i="2"/>
  <c r="Q569" i="2"/>
  <c r="P569" i="2"/>
  <c r="Q570" i="2"/>
  <c r="P570" i="2"/>
  <c r="Q571" i="2"/>
  <c r="P571" i="2"/>
  <c r="Q572" i="2"/>
  <c r="P572" i="2"/>
  <c r="Q573" i="2"/>
  <c r="P573" i="2"/>
  <c r="Q574" i="2"/>
  <c r="P574" i="2"/>
  <c r="Q575" i="2"/>
  <c r="P575" i="2"/>
  <c r="Q576" i="2"/>
  <c r="P576" i="2"/>
  <c r="Q577" i="2"/>
  <c r="P577" i="2"/>
  <c r="Q578" i="2"/>
  <c r="P578" i="2"/>
  <c r="Q579" i="2"/>
  <c r="P579" i="2"/>
  <c r="Q580" i="2"/>
  <c r="P580" i="2"/>
  <c r="Q581" i="2"/>
  <c r="P581" i="2"/>
  <c r="Q582" i="2"/>
  <c r="P582" i="2"/>
  <c r="Q583" i="2"/>
  <c r="P583" i="2"/>
  <c r="Q584" i="2"/>
  <c r="P584" i="2"/>
  <c r="Q585" i="2"/>
  <c r="P585" i="2"/>
  <c r="Q586" i="2"/>
  <c r="P586" i="2"/>
  <c r="Q587" i="2"/>
  <c r="P587" i="2"/>
  <c r="Q588" i="2"/>
  <c r="P588" i="2"/>
  <c r="Q589" i="2"/>
  <c r="P589" i="2"/>
  <c r="Q590" i="2"/>
  <c r="P590" i="2"/>
  <c r="Q591" i="2"/>
  <c r="P591" i="2"/>
  <c r="Q592" i="2"/>
  <c r="P592" i="2"/>
  <c r="Q593" i="2"/>
  <c r="P593" i="2"/>
  <c r="Q594" i="2"/>
  <c r="P594" i="2"/>
  <c r="Q595" i="2"/>
  <c r="P595" i="2"/>
  <c r="Q596" i="2"/>
  <c r="P596" i="2"/>
  <c r="Q597" i="2"/>
  <c r="P597" i="2"/>
  <c r="Q598" i="2"/>
  <c r="P598" i="2"/>
  <c r="Q599" i="2"/>
  <c r="P599" i="2"/>
  <c r="Q600" i="2"/>
  <c r="P600" i="2"/>
  <c r="Q601" i="2"/>
  <c r="P601" i="2"/>
  <c r="Q602" i="2"/>
  <c r="P602" i="2"/>
  <c r="Q603" i="2"/>
  <c r="P603" i="2"/>
  <c r="Q604" i="2"/>
  <c r="P604" i="2"/>
  <c r="G24" i="1"/>
  <c r="K24" i="1"/>
  <c r="K11" i="1"/>
  <c r="O24" i="1"/>
  <c r="P11" i="1"/>
  <c r="E18" i="1"/>
  <c r="D18" i="1"/>
  <c r="E21" i="1"/>
  <c r="D21" i="1"/>
  <c r="E22" i="1"/>
  <c r="D22" i="1"/>
  <c r="E23" i="1"/>
  <c r="D23" i="1"/>
  <c r="P370" i="2"/>
  <c r="Q370" i="2"/>
  <c r="P368" i="2"/>
  <c r="Q368" i="2"/>
  <c r="P367" i="2"/>
  <c r="Q367" i="2"/>
  <c r="P366" i="2"/>
  <c r="Q366" i="2"/>
  <c r="P365" i="2"/>
  <c r="Q365" i="2"/>
  <c r="P364" i="2"/>
  <c r="Q364" i="2"/>
  <c r="P363" i="2"/>
  <c r="Q363" i="2"/>
  <c r="P362" i="2"/>
  <c r="Q362" i="2"/>
  <c r="P361" i="2"/>
  <c r="Q361" i="2"/>
  <c r="P360" i="2"/>
  <c r="Q360" i="2"/>
  <c r="P359" i="2"/>
  <c r="Q359" i="2"/>
  <c r="P358" i="2"/>
  <c r="Q358" i="2"/>
  <c r="P357" i="2"/>
  <c r="Q357" i="2"/>
  <c r="P356" i="2"/>
  <c r="Q356" i="2"/>
  <c r="P355" i="2"/>
  <c r="Q355" i="2"/>
  <c r="P354" i="2"/>
  <c r="Q354" i="2"/>
  <c r="P353" i="2"/>
  <c r="Q353" i="2"/>
  <c r="P352" i="2"/>
  <c r="Q352" i="2"/>
  <c r="P351" i="2"/>
  <c r="Q351" i="2"/>
  <c r="P350" i="2"/>
  <c r="Q350" i="2"/>
  <c r="P349" i="2"/>
  <c r="Q349" i="2"/>
  <c r="P348" i="2"/>
  <c r="Q348" i="2"/>
  <c r="P347" i="2"/>
  <c r="Q347" i="2"/>
  <c r="P346" i="2"/>
  <c r="Q346" i="2"/>
  <c r="P345" i="2"/>
  <c r="Q345" i="2"/>
  <c r="P344" i="2"/>
  <c r="Q344" i="2"/>
  <c r="P343" i="2"/>
  <c r="Q343" i="2"/>
  <c r="P342" i="2"/>
  <c r="Q342" i="2"/>
  <c r="P341" i="2"/>
  <c r="Q341" i="2"/>
  <c r="P340" i="2"/>
  <c r="Q340" i="2"/>
  <c r="P339" i="2"/>
  <c r="Q339" i="2"/>
  <c r="P338" i="2"/>
  <c r="Q338" i="2"/>
  <c r="P337" i="2"/>
  <c r="Q337" i="2"/>
  <c r="P336" i="2"/>
  <c r="Q336" i="2"/>
  <c r="P335" i="2"/>
  <c r="Q335" i="2"/>
  <c r="P334" i="2"/>
  <c r="Q334" i="2"/>
  <c r="P333" i="2"/>
  <c r="Q333" i="2"/>
  <c r="P332" i="2"/>
  <c r="Q332" i="2"/>
  <c r="P331" i="2"/>
  <c r="Q331" i="2"/>
  <c r="P330" i="2"/>
  <c r="Q330" i="2"/>
  <c r="P329" i="2"/>
  <c r="Q329" i="2"/>
  <c r="P328" i="2"/>
  <c r="Q328" i="2"/>
  <c r="P327" i="2"/>
  <c r="Q327" i="2"/>
  <c r="P326" i="2"/>
  <c r="Q326" i="2"/>
  <c r="P325" i="2"/>
  <c r="Q325" i="2"/>
  <c r="P324" i="2"/>
  <c r="Q324" i="2"/>
  <c r="P323" i="2"/>
  <c r="Q323" i="2"/>
  <c r="P322" i="2"/>
  <c r="Q322" i="2"/>
  <c r="P321" i="2"/>
  <c r="Q321" i="2"/>
  <c r="P320" i="2"/>
  <c r="Q320" i="2"/>
  <c r="P319" i="2"/>
  <c r="Q319" i="2"/>
  <c r="P318" i="2"/>
  <c r="Q318" i="2"/>
  <c r="E17" i="1"/>
  <c r="D17" i="1"/>
  <c r="P317" i="2"/>
  <c r="Q317" i="2"/>
  <c r="P316" i="2"/>
  <c r="Q316" i="2"/>
  <c r="P315" i="2"/>
  <c r="Q315" i="2"/>
  <c r="P314" i="2"/>
  <c r="Q314" i="2"/>
  <c r="P313" i="2"/>
  <c r="Q313" i="2"/>
  <c r="P312" i="2"/>
  <c r="Q312" i="2"/>
  <c r="P311" i="2"/>
  <c r="Q311" i="2"/>
  <c r="P310" i="2"/>
  <c r="Q310" i="2"/>
  <c r="P309" i="2"/>
  <c r="Q309" i="2"/>
  <c r="P308" i="2"/>
  <c r="Q308" i="2"/>
  <c r="P307" i="2"/>
  <c r="Q307" i="2"/>
  <c r="P306" i="2"/>
  <c r="Q306" i="2"/>
  <c r="P305" i="2"/>
  <c r="Q305" i="2"/>
  <c r="P304" i="2"/>
  <c r="Q304" i="2"/>
  <c r="P303" i="2"/>
  <c r="Q303" i="2"/>
  <c r="P302" i="2"/>
  <c r="Q302" i="2"/>
  <c r="P301" i="2"/>
  <c r="Q301" i="2"/>
  <c r="P300" i="2"/>
  <c r="Q300" i="2"/>
  <c r="P299" i="2"/>
  <c r="Q299" i="2"/>
  <c r="P298" i="2"/>
  <c r="Q298" i="2"/>
  <c r="P297" i="2"/>
  <c r="Q297" i="2"/>
  <c r="P296" i="2"/>
  <c r="Q296" i="2"/>
  <c r="P295" i="2"/>
  <c r="Q295" i="2"/>
  <c r="P294" i="2"/>
  <c r="Q294" i="2"/>
  <c r="P293" i="2"/>
  <c r="Q293" i="2"/>
  <c r="P292" i="2"/>
  <c r="Q292" i="2"/>
  <c r="P291" i="2"/>
  <c r="Q291" i="2"/>
  <c r="P290" i="2"/>
  <c r="Q290" i="2"/>
  <c r="P289" i="2"/>
  <c r="Q289" i="2"/>
  <c r="P288" i="2"/>
  <c r="Q288" i="2"/>
  <c r="P287" i="2"/>
  <c r="Q287" i="2"/>
  <c r="P286" i="2"/>
  <c r="Q286" i="2"/>
  <c r="P285" i="2"/>
  <c r="Q285" i="2"/>
  <c r="P284" i="2"/>
  <c r="Q284" i="2"/>
  <c r="P283" i="2"/>
  <c r="Q283" i="2"/>
  <c r="P282" i="2"/>
  <c r="Q282" i="2"/>
  <c r="P281" i="2"/>
  <c r="Q281" i="2"/>
  <c r="P280" i="2"/>
  <c r="Q280" i="2"/>
  <c r="P279" i="2"/>
  <c r="Q279" i="2"/>
  <c r="P278" i="2"/>
  <c r="Q278" i="2"/>
  <c r="P277" i="2"/>
  <c r="Q277" i="2"/>
  <c r="P276" i="2"/>
  <c r="Q276" i="2"/>
  <c r="P275" i="2"/>
  <c r="Q275" i="2"/>
  <c r="P274" i="2"/>
  <c r="Q274" i="2"/>
  <c r="P273" i="2"/>
  <c r="Q273" i="2"/>
  <c r="P272" i="2"/>
  <c r="Q272" i="2"/>
  <c r="P271" i="2"/>
  <c r="Q271" i="2"/>
  <c r="P270" i="2"/>
  <c r="Q270" i="2"/>
  <c r="P269" i="2"/>
  <c r="Q269" i="2"/>
  <c r="P268" i="2"/>
  <c r="Q268" i="2"/>
  <c r="P267" i="2"/>
  <c r="Q267" i="2"/>
  <c r="P266" i="2"/>
  <c r="Q266" i="2"/>
  <c r="P265" i="2"/>
  <c r="Q265" i="2"/>
  <c r="P264" i="2"/>
  <c r="Q264" i="2"/>
  <c r="P263" i="2"/>
  <c r="Q263" i="2"/>
  <c r="P262" i="2"/>
  <c r="Q262" i="2"/>
  <c r="P261" i="2"/>
  <c r="Q261" i="2"/>
  <c r="P260" i="2"/>
  <c r="Q260" i="2"/>
  <c r="P259" i="2"/>
  <c r="Q259" i="2"/>
  <c r="P258" i="2"/>
  <c r="Q258" i="2"/>
  <c r="P257" i="2"/>
  <c r="Q257" i="2"/>
  <c r="P256" i="2"/>
  <c r="Q256" i="2"/>
  <c r="P255" i="2"/>
  <c r="Q255" i="2"/>
  <c r="P254" i="2"/>
  <c r="Q254" i="2"/>
  <c r="P253" i="2"/>
  <c r="Q253" i="2"/>
  <c r="P252" i="2"/>
  <c r="Q252" i="2"/>
  <c r="P251" i="2"/>
  <c r="Q251" i="2"/>
  <c r="P250" i="2"/>
  <c r="Q250" i="2"/>
  <c r="P249" i="2"/>
  <c r="Q249" i="2"/>
  <c r="P248" i="2"/>
  <c r="Q248" i="2"/>
  <c r="P247" i="2"/>
  <c r="Q247" i="2"/>
  <c r="P246" i="2"/>
  <c r="Q246" i="2"/>
  <c r="P245" i="2"/>
  <c r="Q245" i="2"/>
  <c r="P244" i="2"/>
  <c r="Q244" i="2"/>
  <c r="P243" i="2"/>
  <c r="Q243" i="2"/>
  <c r="P242" i="2"/>
  <c r="Q242" i="2"/>
  <c r="P241" i="2"/>
  <c r="Q241" i="2"/>
  <c r="P240" i="2"/>
  <c r="Q240" i="2"/>
  <c r="P239" i="2"/>
  <c r="Q239" i="2"/>
  <c r="P238" i="2"/>
  <c r="Q238" i="2"/>
  <c r="P237" i="2"/>
  <c r="Q237" i="2"/>
  <c r="P236" i="2"/>
  <c r="Q236" i="2"/>
  <c r="P235" i="2"/>
  <c r="Q235" i="2"/>
  <c r="P234" i="2"/>
  <c r="Q234" i="2"/>
  <c r="P233" i="2"/>
  <c r="Q233" i="2"/>
  <c r="P232" i="2"/>
  <c r="Q232" i="2"/>
  <c r="P231" i="2"/>
  <c r="Q231" i="2"/>
  <c r="P230" i="2"/>
  <c r="Q230" i="2"/>
  <c r="P229" i="2"/>
  <c r="Q229" i="2"/>
  <c r="P228" i="2"/>
  <c r="Q228" i="2"/>
  <c r="P227" i="2"/>
  <c r="Q227" i="2"/>
  <c r="P226" i="2"/>
  <c r="Q226" i="2"/>
  <c r="P225" i="2"/>
  <c r="Q225" i="2"/>
  <c r="P224" i="2"/>
  <c r="Q224" i="2"/>
  <c r="P223" i="2"/>
  <c r="Q223" i="2"/>
  <c r="P222" i="2"/>
  <c r="Q222" i="2"/>
  <c r="P221" i="2"/>
  <c r="Q221" i="2"/>
  <c r="P220" i="2"/>
  <c r="Q220" i="2"/>
  <c r="P219" i="2"/>
  <c r="Q219" i="2"/>
  <c r="P218" i="2"/>
  <c r="Q218" i="2"/>
  <c r="P217" i="2"/>
  <c r="Q217" i="2"/>
  <c r="P216" i="2"/>
  <c r="Q216" i="2"/>
  <c r="P215" i="2"/>
  <c r="Q215" i="2"/>
  <c r="P214" i="2"/>
  <c r="Q214" i="2"/>
  <c r="P213" i="2"/>
  <c r="Q213" i="2"/>
  <c r="P212" i="2"/>
  <c r="Q212" i="2"/>
  <c r="P211" i="2"/>
  <c r="Q211" i="2"/>
  <c r="P210" i="2"/>
  <c r="Q210" i="2"/>
  <c r="P209" i="2"/>
  <c r="Q209" i="2"/>
  <c r="P208" i="2"/>
  <c r="Q208" i="2"/>
  <c r="P207" i="2"/>
  <c r="Q207" i="2"/>
  <c r="P206" i="2"/>
  <c r="Q206" i="2"/>
  <c r="P205" i="2"/>
  <c r="Q205" i="2"/>
  <c r="P204" i="2"/>
  <c r="Q204" i="2"/>
  <c r="P203" i="2"/>
  <c r="Q203" i="2"/>
  <c r="P202" i="2"/>
  <c r="Q202" i="2"/>
  <c r="P201" i="2"/>
  <c r="Q201" i="2"/>
  <c r="P200" i="2"/>
  <c r="Q200" i="2"/>
  <c r="P199" i="2"/>
  <c r="Q199" i="2"/>
  <c r="P198" i="2"/>
  <c r="Q198" i="2"/>
  <c r="P197" i="2"/>
  <c r="Q197" i="2"/>
  <c r="P196" i="2"/>
  <c r="Q196" i="2"/>
  <c r="P195" i="2"/>
  <c r="Q195" i="2"/>
  <c r="P194" i="2"/>
  <c r="Q194" i="2"/>
  <c r="P193" i="2"/>
  <c r="Q193" i="2"/>
  <c r="P192" i="2"/>
  <c r="Q192" i="2"/>
  <c r="P191" i="2"/>
  <c r="Q191" i="2"/>
  <c r="P190" i="2"/>
  <c r="Q190" i="2"/>
  <c r="P189" i="2"/>
  <c r="Q189" i="2"/>
  <c r="P188" i="2"/>
  <c r="Q188" i="2"/>
  <c r="P187" i="2"/>
  <c r="Q187" i="2"/>
  <c r="P186" i="2"/>
  <c r="Q186" i="2"/>
  <c r="P185" i="2"/>
  <c r="Q185" i="2"/>
  <c r="P184" i="2"/>
  <c r="Q184" i="2"/>
  <c r="P183" i="2"/>
  <c r="Q183" i="2"/>
  <c r="P182" i="2"/>
  <c r="Q182" i="2"/>
  <c r="P181" i="2"/>
  <c r="Q181" i="2"/>
  <c r="P180" i="2"/>
  <c r="Q180" i="2"/>
  <c r="P179" i="2"/>
  <c r="Q179" i="2"/>
  <c r="P178" i="2"/>
  <c r="Q178" i="2"/>
  <c r="P177" i="2"/>
  <c r="Q177" i="2"/>
  <c r="P176" i="2"/>
  <c r="Q176" i="2"/>
  <c r="P175" i="2"/>
  <c r="Q175" i="2"/>
  <c r="P174" i="2"/>
  <c r="Q174" i="2"/>
  <c r="P173" i="2"/>
  <c r="Q173" i="2"/>
  <c r="P172" i="2"/>
  <c r="Q172" i="2"/>
  <c r="P171" i="2"/>
  <c r="Q171" i="2"/>
  <c r="P170" i="2"/>
  <c r="Q170" i="2"/>
  <c r="P169" i="2"/>
  <c r="Q169" i="2"/>
  <c r="P168" i="2"/>
  <c r="Q168" i="2"/>
  <c r="P167" i="2"/>
  <c r="Q167" i="2"/>
  <c r="P166" i="2"/>
  <c r="Q166" i="2"/>
  <c r="P165" i="2"/>
  <c r="Q165" i="2"/>
  <c r="P164" i="2"/>
  <c r="Q164" i="2"/>
  <c r="P163" i="2"/>
  <c r="Q163" i="2"/>
  <c r="P162" i="2"/>
  <c r="Q162" i="2"/>
  <c r="P161" i="2"/>
  <c r="Q161" i="2"/>
  <c r="P160" i="2"/>
  <c r="Q160" i="2"/>
  <c r="P159" i="2"/>
  <c r="Q159" i="2"/>
  <c r="P158" i="2"/>
  <c r="Q158" i="2"/>
  <c r="E15" i="1"/>
  <c r="D15" i="1"/>
  <c r="P157" i="2"/>
  <c r="Q157" i="2"/>
  <c r="P156" i="2"/>
  <c r="Q156" i="2"/>
  <c r="P155" i="2"/>
  <c r="Q155" i="2"/>
  <c r="P154" i="2"/>
  <c r="Q154" i="2"/>
  <c r="P153" i="2"/>
  <c r="Q153" i="2"/>
  <c r="P152" i="2"/>
  <c r="Q152" i="2"/>
  <c r="P151" i="2"/>
  <c r="Q151" i="2"/>
  <c r="P150" i="2"/>
  <c r="Q150" i="2"/>
  <c r="P149" i="2"/>
  <c r="Q149" i="2"/>
  <c r="P148" i="2"/>
  <c r="Q148" i="2"/>
  <c r="P147" i="2"/>
  <c r="Q147" i="2"/>
  <c r="P146" i="2"/>
  <c r="Q146" i="2"/>
  <c r="P145" i="2"/>
  <c r="Q145" i="2"/>
  <c r="P144" i="2"/>
  <c r="Q144" i="2"/>
  <c r="P143" i="2"/>
  <c r="Q143" i="2"/>
  <c r="P142" i="2"/>
  <c r="Q142" i="2"/>
  <c r="P141" i="2"/>
  <c r="Q141" i="2"/>
  <c r="P140" i="2"/>
  <c r="Q140" i="2"/>
  <c r="P139" i="2"/>
  <c r="Q139" i="2"/>
  <c r="P138" i="2"/>
  <c r="Q138" i="2"/>
  <c r="P137" i="2"/>
  <c r="Q137" i="2"/>
  <c r="P136" i="2"/>
  <c r="Q136" i="2"/>
  <c r="P135" i="2"/>
  <c r="Q135" i="2"/>
  <c r="P134" i="2"/>
  <c r="Q134" i="2"/>
  <c r="P133" i="2"/>
  <c r="Q133" i="2"/>
  <c r="P132" i="2"/>
  <c r="Q132" i="2"/>
  <c r="P131" i="2"/>
  <c r="Q131" i="2"/>
  <c r="P130" i="2"/>
  <c r="Q130" i="2"/>
  <c r="P129" i="2"/>
  <c r="Q129" i="2"/>
  <c r="P128" i="2"/>
  <c r="Q128" i="2"/>
  <c r="P127" i="2"/>
  <c r="Q127" i="2"/>
  <c r="P126" i="2"/>
  <c r="Q126" i="2"/>
  <c r="P125" i="2"/>
  <c r="Q125" i="2"/>
  <c r="P124" i="2"/>
  <c r="Q124" i="2"/>
  <c r="P123" i="2"/>
  <c r="Q123" i="2"/>
  <c r="P122" i="2"/>
  <c r="Q122" i="2"/>
  <c r="P121" i="2"/>
  <c r="Q121" i="2"/>
  <c r="P120" i="2"/>
  <c r="Q120" i="2"/>
  <c r="P119" i="2"/>
  <c r="Q119" i="2"/>
  <c r="P118" i="2"/>
  <c r="Q118" i="2"/>
  <c r="P117" i="2"/>
  <c r="Q117" i="2"/>
  <c r="E16" i="1"/>
  <c r="D16" i="1"/>
  <c r="P116" i="2"/>
  <c r="Q116" i="2"/>
  <c r="P115" i="2"/>
  <c r="Q115" i="2"/>
  <c r="P114" i="2"/>
  <c r="Q114" i="2"/>
  <c r="P113" i="2"/>
  <c r="Q113" i="2"/>
  <c r="P112" i="2"/>
  <c r="Q112" i="2"/>
  <c r="P111" i="2"/>
  <c r="Q111" i="2"/>
  <c r="P110" i="2"/>
  <c r="Q110" i="2"/>
  <c r="P109" i="2"/>
  <c r="Q109" i="2"/>
  <c r="P108" i="2"/>
  <c r="Q108" i="2"/>
  <c r="P107" i="2"/>
  <c r="Q107" i="2"/>
  <c r="P106" i="2"/>
  <c r="Q106" i="2"/>
  <c r="P105" i="2"/>
  <c r="Q105" i="2"/>
  <c r="P104" i="2"/>
  <c r="Q104" i="2"/>
  <c r="P103" i="2"/>
  <c r="Q103" i="2"/>
  <c r="P102" i="2"/>
  <c r="Q102" i="2"/>
  <c r="P101" i="2"/>
  <c r="Q101" i="2"/>
  <c r="E19" i="1"/>
  <c r="D19" i="1"/>
  <c r="P100" i="2"/>
  <c r="Q100" i="2"/>
  <c r="P99" i="2"/>
  <c r="Q99" i="2"/>
  <c r="P98" i="2"/>
  <c r="Q98" i="2"/>
  <c r="P97" i="2"/>
  <c r="Q97" i="2"/>
  <c r="P96" i="2"/>
  <c r="Q96" i="2"/>
  <c r="P95" i="2"/>
  <c r="Q95" i="2"/>
  <c r="P94" i="2"/>
  <c r="Q94" i="2"/>
  <c r="P93" i="2"/>
  <c r="Q93" i="2"/>
  <c r="P92" i="2"/>
  <c r="Q92" i="2"/>
  <c r="P91" i="2"/>
  <c r="Q91" i="2"/>
  <c r="P90" i="2"/>
  <c r="Q90" i="2"/>
  <c r="P89" i="2"/>
  <c r="Q89" i="2"/>
  <c r="P88" i="2"/>
  <c r="Q88" i="2"/>
  <c r="P87" i="2"/>
  <c r="Q87" i="2"/>
  <c r="P86" i="2"/>
  <c r="Q86" i="2"/>
  <c r="P85" i="2"/>
  <c r="Q85" i="2"/>
  <c r="P84" i="2"/>
  <c r="Q84" i="2"/>
  <c r="P83" i="2"/>
  <c r="Q83" i="2"/>
  <c r="P82" i="2"/>
  <c r="Q82" i="2"/>
  <c r="P81" i="2"/>
  <c r="Q81" i="2"/>
  <c r="P80" i="2"/>
  <c r="Q80" i="2"/>
  <c r="P79" i="2"/>
  <c r="Q79" i="2"/>
  <c r="P78" i="2"/>
  <c r="Q78" i="2"/>
  <c r="P77" i="2"/>
  <c r="Q77" i="2"/>
  <c r="P76" i="2"/>
  <c r="Q76" i="2"/>
  <c r="P75" i="2"/>
  <c r="Q75" i="2"/>
  <c r="P74" i="2"/>
  <c r="Q74" i="2"/>
  <c r="P73" i="2"/>
  <c r="Q73" i="2"/>
  <c r="P72" i="2"/>
  <c r="Q72" i="2"/>
  <c r="P71" i="2"/>
  <c r="Q71" i="2"/>
  <c r="P70" i="2"/>
  <c r="Q70" i="2"/>
  <c r="P69" i="2"/>
  <c r="Q69" i="2"/>
  <c r="P68" i="2"/>
  <c r="Q68" i="2"/>
  <c r="P67" i="2"/>
  <c r="Q67" i="2"/>
  <c r="P66" i="2"/>
  <c r="Q66" i="2"/>
  <c r="P65" i="2"/>
  <c r="Q65" i="2"/>
  <c r="P64" i="2"/>
  <c r="Q64" i="2"/>
  <c r="P63" i="2"/>
  <c r="Q63" i="2"/>
  <c r="P62" i="2"/>
  <c r="Q62" i="2"/>
  <c r="P61" i="2"/>
  <c r="Q61" i="2"/>
  <c r="P60" i="2"/>
  <c r="Q60" i="2"/>
  <c r="P59" i="2"/>
  <c r="Q59" i="2"/>
  <c r="P58" i="2"/>
  <c r="Q58" i="2"/>
  <c r="P57" i="2"/>
  <c r="Q57" i="2"/>
  <c r="P56" i="2"/>
  <c r="Q56" i="2"/>
  <c r="P55" i="2"/>
  <c r="Q55" i="2"/>
  <c r="P54" i="2"/>
  <c r="Q54" i="2"/>
  <c r="P53" i="2"/>
  <c r="Q53" i="2"/>
  <c r="P52" i="2"/>
  <c r="Q52" i="2"/>
  <c r="P51" i="2"/>
  <c r="Q51" i="2"/>
  <c r="P50" i="2"/>
  <c r="Q50" i="2"/>
  <c r="P49" i="2"/>
  <c r="Q49" i="2"/>
  <c r="P48" i="2"/>
  <c r="Q48" i="2"/>
  <c r="P47" i="2"/>
  <c r="Q47" i="2"/>
  <c r="P46" i="2"/>
  <c r="Q46" i="2"/>
  <c r="P45" i="2"/>
  <c r="Q45" i="2"/>
  <c r="P44" i="2"/>
  <c r="Q44" i="2"/>
  <c r="P43" i="2"/>
  <c r="Q43" i="2"/>
  <c r="P42" i="2"/>
  <c r="Q42" i="2"/>
  <c r="P41" i="2"/>
  <c r="Q41" i="2"/>
  <c r="P40" i="2"/>
  <c r="Q40" i="2"/>
  <c r="P39" i="2"/>
  <c r="Q39" i="2"/>
  <c r="P38" i="2"/>
  <c r="Q38" i="2"/>
  <c r="P37" i="2"/>
  <c r="Q37" i="2"/>
  <c r="E12" i="1"/>
  <c r="D12" i="1"/>
  <c r="P36" i="2"/>
  <c r="Q36" i="2"/>
  <c r="P35" i="2"/>
  <c r="Q35" i="2"/>
  <c r="P34" i="2"/>
  <c r="Q34" i="2"/>
  <c r="P33" i="2"/>
  <c r="Q33" i="2"/>
  <c r="P32" i="2"/>
  <c r="Q32" i="2"/>
  <c r="P31" i="2"/>
  <c r="Q31" i="2"/>
  <c r="P30" i="2"/>
  <c r="Q30" i="2"/>
  <c r="P29" i="2"/>
  <c r="Q29" i="2"/>
  <c r="P28" i="2"/>
  <c r="Q28" i="2"/>
  <c r="P27" i="2"/>
  <c r="Q27" i="2"/>
  <c r="P26" i="2"/>
  <c r="Q26" i="2"/>
  <c r="P25" i="2"/>
  <c r="Q25" i="2"/>
  <c r="P24" i="2"/>
  <c r="Q24" i="2"/>
  <c r="P23" i="2"/>
  <c r="Q23" i="2"/>
  <c r="P22" i="2"/>
  <c r="Q22" i="2"/>
  <c r="P21" i="2"/>
  <c r="Q21" i="2"/>
  <c r="E14" i="1"/>
  <c r="D14" i="1"/>
  <c r="P20" i="2"/>
  <c r="Q20" i="2"/>
  <c r="P19" i="2"/>
  <c r="Q19" i="2"/>
  <c r="P18" i="2"/>
  <c r="Q18" i="2"/>
  <c r="P17" i="2"/>
  <c r="Q17" i="2"/>
  <c r="P16" i="2"/>
  <c r="Q16" i="2"/>
  <c r="P15" i="2"/>
  <c r="Q15" i="2"/>
  <c r="P14" i="2"/>
  <c r="Q14" i="2"/>
  <c r="P13" i="2"/>
  <c r="Q13" i="2"/>
  <c r="P12" i="2"/>
  <c r="Q12" i="2"/>
  <c r="P11" i="2"/>
  <c r="Q11" i="2"/>
  <c r="P10" i="2"/>
  <c r="Q10" i="2"/>
  <c r="P9" i="2"/>
  <c r="Q9" i="2"/>
  <c r="C24" i="1"/>
  <c r="E11" i="1"/>
  <c r="D11" i="1"/>
  <c r="P8" i="2"/>
  <c r="Q8" i="2"/>
  <c r="P7" i="2"/>
  <c r="Q7" i="2"/>
  <c r="P6" i="2"/>
  <c r="Q6" i="2"/>
  <c r="P5" i="2"/>
  <c r="Q5" i="2"/>
  <c r="O4" i="1"/>
  <c r="E4" i="1"/>
  <c r="E13" i="1"/>
  <c r="D13" i="1"/>
  <c r="E24" i="1"/>
  <c r="D24" i="1"/>
  <c r="K467" i="2"/>
  <c r="K481" i="2"/>
  <c r="K479" i="2"/>
  <c r="K477" i="2"/>
  <c r="K474" i="2"/>
  <c r="K472" i="2"/>
  <c r="K471" i="2"/>
  <c r="K468" i="2"/>
  <c r="T479" i="2"/>
  <c r="T480" i="2"/>
  <c r="T481" i="2"/>
  <c r="T484" i="2"/>
  <c r="T485" i="2"/>
  <c r="T486" i="2"/>
  <c r="T487" i="2"/>
  <c r="T482" i="2"/>
  <c r="T483" i="2"/>
  <c r="K478" i="2"/>
  <c r="L477" i="2"/>
  <c r="T478" i="2"/>
  <c r="K475" i="2"/>
  <c r="L474" i="2"/>
  <c r="K476" i="2"/>
  <c r="L475" i="2"/>
  <c r="T476" i="2"/>
  <c r="T477" i="2"/>
  <c r="K473" i="2"/>
  <c r="L472" i="2"/>
  <c r="T475" i="2"/>
  <c r="T472" i="2"/>
  <c r="T473" i="2"/>
  <c r="T474" i="2"/>
  <c r="K466" i="2"/>
  <c r="K465" i="2"/>
  <c r="K464" i="2"/>
  <c r="K462" i="2"/>
  <c r="T465" i="2"/>
  <c r="T466" i="2"/>
  <c r="T471" i="2"/>
  <c r="K469" i="2"/>
  <c r="L466" i="2"/>
  <c r="T467" i="2"/>
  <c r="T468" i="2"/>
  <c r="T469" i="2"/>
  <c r="K470" i="2"/>
  <c r="L469" i="2"/>
  <c r="T470" i="2"/>
  <c r="K463" i="2"/>
  <c r="K444" i="2"/>
  <c r="T463" i="2"/>
  <c r="T464" i="2"/>
  <c r="L444" i="2"/>
  <c r="K461" i="2"/>
  <c r="T461" i="2"/>
  <c r="T462" i="2"/>
  <c r="K460" i="2"/>
  <c r="K459" i="2"/>
  <c r="K458" i="2"/>
  <c r="T459" i="2"/>
  <c r="T460" i="2"/>
  <c r="K455" i="2"/>
  <c r="K453" i="2"/>
  <c r="K452" i="2"/>
  <c r="K442" i="2"/>
  <c r="K441" i="2"/>
  <c r="T453" i="2"/>
  <c r="K456" i="2"/>
  <c r="L455" i="2"/>
  <c r="K457" i="2"/>
  <c r="L456" i="2"/>
  <c r="K454" i="2"/>
  <c r="L453" i="2"/>
  <c r="T454" i="2"/>
  <c r="T455" i="2"/>
  <c r="T456" i="2"/>
  <c r="T457" i="2"/>
  <c r="T458" i="2"/>
  <c r="K445" i="2"/>
  <c r="K443" i="2"/>
  <c r="P443" i="2"/>
  <c r="Q443" i="2"/>
  <c r="L442" i="2"/>
  <c r="T443" i="2"/>
  <c r="T444" i="2"/>
  <c r="T445" i="2"/>
  <c r="K448" i="2"/>
  <c r="K447" i="2"/>
  <c r="K446" i="2"/>
  <c r="P446" i="2"/>
  <c r="Q446" i="2"/>
  <c r="L445" i="2"/>
  <c r="T446" i="2"/>
  <c r="T447" i="2"/>
  <c r="L448" i="2"/>
  <c r="K451" i="2"/>
  <c r="K450" i="2"/>
  <c r="K449" i="2"/>
  <c r="P449" i="2"/>
  <c r="Q449" i="2"/>
  <c r="T452" i="2"/>
  <c r="T450" i="2"/>
  <c r="T451" i="2"/>
  <c r="T448" i="2"/>
  <c r="T449" i="2"/>
  <c r="P473" i="2"/>
  <c r="Q473" i="2"/>
  <c r="P476" i="2"/>
  <c r="Q476" i="2"/>
  <c r="P475" i="2"/>
  <c r="Q475" i="2"/>
  <c r="P478" i="2"/>
  <c r="Q478" i="2"/>
  <c r="P468" i="2"/>
  <c r="Q468" i="2"/>
  <c r="P471" i="2"/>
  <c r="Q471" i="2"/>
  <c r="P472" i="2"/>
  <c r="Q472" i="2"/>
  <c r="P474" i="2"/>
  <c r="Q474" i="2"/>
  <c r="P477" i="2"/>
  <c r="Q477" i="2"/>
  <c r="P479" i="2"/>
  <c r="Q479" i="2"/>
  <c r="P467" i="2"/>
  <c r="Q467" i="2"/>
  <c r="P470" i="2"/>
  <c r="Q470" i="2"/>
  <c r="P469" i="2"/>
  <c r="Q469" i="2"/>
  <c r="P462" i="2"/>
  <c r="Q462" i="2"/>
  <c r="P464" i="2"/>
  <c r="Q464" i="2"/>
  <c r="P465" i="2"/>
  <c r="Q465" i="2"/>
  <c r="P466" i="2"/>
  <c r="Q466" i="2"/>
  <c r="P444" i="2"/>
  <c r="Q444" i="2"/>
  <c r="P463" i="2"/>
  <c r="Q463" i="2"/>
  <c r="P461" i="2"/>
  <c r="Q461" i="2"/>
  <c r="P458" i="2"/>
  <c r="Q458" i="2"/>
  <c r="P459" i="2"/>
  <c r="Q459" i="2"/>
  <c r="P460" i="2"/>
  <c r="Q460" i="2"/>
  <c r="P454" i="2"/>
  <c r="Q454" i="2"/>
  <c r="P457" i="2"/>
  <c r="Q457" i="2"/>
  <c r="P456" i="2"/>
  <c r="Q456" i="2"/>
  <c r="P441" i="2"/>
  <c r="Q441" i="2"/>
  <c r="P442" i="2"/>
  <c r="Q442" i="2"/>
  <c r="P452" i="2"/>
  <c r="Q452" i="2"/>
  <c r="P453" i="2"/>
  <c r="Q453" i="2"/>
  <c r="P455" i="2"/>
  <c r="Q455" i="2"/>
  <c r="P445" i="2"/>
  <c r="Q445" i="2"/>
  <c r="P447" i="2"/>
  <c r="Q447" i="2"/>
  <c r="P448" i="2"/>
  <c r="Q448" i="2"/>
  <c r="P450" i="2"/>
  <c r="Q450" i="2"/>
  <c r="P451" i="2"/>
  <c r="Q451" i="2"/>
  <c r="L508" i="2" l="1"/>
  <c r="K512" i="2"/>
  <c r="T512" i="2"/>
  <c r="T511" i="2"/>
  <c r="L505" i="2"/>
  <c r="K510" i="2"/>
  <c r="T508" i="2"/>
  <c r="T509" i="2"/>
  <c r="T510" i="2"/>
  <c r="K507" i="2"/>
  <c r="K506" i="2"/>
  <c r="P511" i="2" s="1"/>
  <c r="Q511" i="2" s="1"/>
  <c r="K503" i="2"/>
  <c r="K501" i="2"/>
  <c r="K498" i="2"/>
  <c r="K497" i="2"/>
  <c r="P497" i="2" s="1"/>
  <c r="Q497" i="2" s="1"/>
  <c r="T505" i="2"/>
  <c r="T506" i="2"/>
  <c r="T507" i="2"/>
  <c r="K502" i="2"/>
  <c r="K500" i="2"/>
  <c r="L494" i="2"/>
  <c r="K499" i="2"/>
  <c r="K495" i="2"/>
  <c r="K493" i="2"/>
  <c r="P493" i="2" s="1"/>
  <c r="Q493" i="2" s="1"/>
  <c r="L492" i="2"/>
  <c r="T500" i="2"/>
  <c r="T501" i="2"/>
  <c r="T502" i="2"/>
  <c r="T503" i="2"/>
  <c r="T504" i="2"/>
  <c r="T496" i="2"/>
  <c r="T497" i="2"/>
  <c r="T498" i="2"/>
  <c r="T499" i="2"/>
  <c r="T495" i="2"/>
  <c r="T494" i="2"/>
  <c r="K490" i="2"/>
  <c r="K488" i="2"/>
  <c r="K487" i="2"/>
  <c r="K485" i="2"/>
  <c r="K483" i="2"/>
  <c r="K480" i="2"/>
  <c r="K489" i="2"/>
  <c r="T490" i="2"/>
  <c r="T492" i="2"/>
  <c r="T493" i="2"/>
  <c r="T491" i="2"/>
  <c r="T489" i="2"/>
  <c r="T488" i="2"/>
  <c r="K486" i="2"/>
  <c r="L483" i="2"/>
  <c r="K484" i="2"/>
  <c r="K482" i="2"/>
  <c r="L480" i="2"/>
  <c r="P512" i="2" l="1"/>
  <c r="Q512" i="2" s="1"/>
  <c r="P510" i="2"/>
  <c r="Q510" i="2" s="1"/>
  <c r="P498" i="2"/>
  <c r="Q498" i="2" s="1"/>
  <c r="P501" i="2"/>
  <c r="Q501" i="2" s="1"/>
  <c r="P503" i="2"/>
  <c r="Q503" i="2" s="1"/>
  <c r="P506" i="2"/>
  <c r="Q506" i="2" s="1"/>
  <c r="P507" i="2"/>
  <c r="Q507" i="2" s="1"/>
  <c r="P500" i="2"/>
  <c r="Q500" i="2" s="1"/>
  <c r="P502" i="2"/>
  <c r="Q502" i="2" s="1"/>
  <c r="P495" i="2"/>
  <c r="Q495" i="2" s="1"/>
  <c r="P499" i="2"/>
  <c r="Q499" i="2" s="1"/>
  <c r="P489" i="2"/>
  <c r="Q489" i="2" s="1"/>
  <c r="P480" i="2"/>
  <c r="Q480" i="2" s="1"/>
  <c r="P481" i="2"/>
  <c r="Q481" i="2" s="1"/>
  <c r="P483" i="2"/>
  <c r="Q483" i="2" s="1"/>
  <c r="P485" i="2"/>
  <c r="Q485" i="2" s="1"/>
  <c r="P487" i="2"/>
  <c r="Q487" i="2" s="1"/>
  <c r="P488" i="2"/>
  <c r="Q488" i="2" s="1"/>
  <c r="P490" i="2"/>
  <c r="Q490" i="2" s="1"/>
  <c r="P486" i="2"/>
  <c r="Q486" i="2" s="1"/>
  <c r="P482" i="2"/>
  <c r="Q482" i="2"/>
  <c r="P484" i="2"/>
  <c r="Q484" i="2"/>
  <c r="M4" i="1" l="1"/>
  <c r="Q4" i="1" s="1"/>
</calcChain>
</file>

<file path=xl/sharedStrings.xml><?xml version="1.0" encoding="utf-8"?>
<sst xmlns="http://schemas.openxmlformats.org/spreadsheetml/2006/main" count="3077" uniqueCount="856">
  <si>
    <t>DASHBOARD —</t>
  </si>
  <si>
    <t>banca inicial</t>
  </si>
  <si>
    <t>BANK ACTUAL (€)</t>
  </si>
  <si>
    <t>BENEFICIO TOTAL (€)</t>
  </si>
  <si>
    <t>ROI GLOBAL</t>
  </si>
  <si>
    <t>APUESTAS TOTALES</t>
  </si>
  <si>
    <t>CUOTA MEDIA</t>
  </si>
  <si>
    <t>STAKE MEDIO (€)</t>
  </si>
  <si>
    <t>DRAWDOWN MÁXIMO (€)</t>
  </si>
  <si>
    <t>YIELD</t>
  </si>
  <si>
    <t>DRAWDOWN %</t>
  </si>
  <si>
    <t>RESUMEN POR CASA</t>
  </si>
  <si>
    <t>Casa</t>
  </si>
  <si>
    <t>Bank inicial (€)</t>
  </si>
  <si>
    <t>Beneficio (€)</t>
  </si>
  <si>
    <t>Bank actual (€)</t>
  </si>
  <si>
    <t>ROI casa</t>
  </si>
  <si>
    <t>Apuestas totales</t>
  </si>
  <si>
    <t>Ganadas</t>
  </si>
  <si>
    <t>Perdidas</t>
  </si>
  <si>
    <t>Anuladas</t>
  </si>
  <si>
    <t>Pendientes</t>
  </si>
  <si>
    <t>Win rate</t>
  </si>
  <si>
    <t>Cuota media</t>
  </si>
  <si>
    <t>Stake medio (€)</t>
  </si>
  <si>
    <t>Beneficio medio (€)</t>
  </si>
  <si>
    <t>Apuestas HOY</t>
  </si>
  <si>
    <t>Límite 10/día</t>
  </si>
  <si>
    <t>Winamax</t>
  </si>
  <si>
    <t>Yosport</t>
  </si>
  <si>
    <t>Paf</t>
  </si>
  <si>
    <t>Pokerstars</t>
  </si>
  <si>
    <t>Sportium</t>
  </si>
  <si>
    <t>SpeedyBet</t>
  </si>
  <si>
    <t>Casumo</t>
  </si>
  <si>
    <t>Retabet</t>
  </si>
  <si>
    <t>GoldenBull</t>
  </si>
  <si>
    <t>Bet365</t>
  </si>
  <si>
    <t>Botemania</t>
  </si>
  <si>
    <t>Paston</t>
  </si>
  <si>
    <t>Casino Gran Madrid</t>
  </si>
  <si>
    <t>TOTAL</t>
  </si>
  <si>
    <t>🏦 Banco (reserva)</t>
  </si>
  <si>
    <t>← actualiza A3 cuando hagas ingresos</t>
  </si>
  <si>
    <t>Columna1</t>
  </si>
  <si>
    <t xml:space="preserve"> </t>
  </si>
  <si>
    <t xml:space="preserve">REGISTRO DE APUESTAS </t>
  </si>
  <si>
    <t>Bank global: 1.800€ | 9 casas x 200€ | Máx. 10 apuestas/día/casa</t>
  </si>
  <si>
    <t>Fecha</t>
  </si>
  <si>
    <t>Evento</t>
  </si>
  <si>
    <t>Mercado</t>
  </si>
  <si>
    <t>Selección</t>
  </si>
  <si>
    <t>Cuota</t>
  </si>
  <si>
    <t>Stake (€)</t>
  </si>
  <si>
    <t>Tipo</t>
  </si>
  <si>
    <t>Resultado</t>
  </si>
  <si>
    <t>Bank acum. (€)</t>
  </si>
  <si>
    <t>ROI apuesta</t>
  </si>
  <si>
    <t>Apuestas hoy (casa)</t>
  </si>
  <si>
    <t>Notas</t>
  </si>
  <si>
    <t>Nº apuesta</t>
  </si>
  <si>
    <t>Bank máx. acum. (€)</t>
  </si>
  <si>
    <t>Drawdown (€)</t>
  </si>
  <si>
    <t>Importe Cash Out (€)</t>
  </si>
  <si>
    <t>EV+ por apuesta (€)</t>
  </si>
  <si>
    <t>EV+ acumulado (€)</t>
  </si>
  <si>
    <t>Egersund - Haugesund</t>
  </si>
  <si>
    <t>Totales O/U</t>
  </si>
  <si>
    <t>corners: Menos de 10.5</t>
  </si>
  <si>
    <t>Normal</t>
  </si>
  <si>
    <t>Ganada</t>
  </si>
  <si>
    <t>Raufoss - Sogndal</t>
  </si>
  <si>
    <t>corners: Más de 9.5</t>
  </si>
  <si>
    <t>Strømmen - Stabæk</t>
  </si>
  <si>
    <t>corners: Menos de 11.5</t>
  </si>
  <si>
    <t>Perdida</t>
  </si>
  <si>
    <t>1X2/ML</t>
  </si>
  <si>
    <t>Strømmen</t>
  </si>
  <si>
    <t>crac go- tombense mg</t>
  </si>
  <si>
    <t>menos de 2 goles</t>
  </si>
  <si>
    <t>R.Safiullin-J.McCabe</t>
  </si>
  <si>
    <t>+22,5 juegos</t>
  </si>
  <si>
    <t>Andrade, Andres - Smith, Connor</t>
  </si>
  <si>
    <t>Total Under(21.5) - regular time</t>
  </si>
  <si>
    <t>Leones De Ponce - Osos de Manati</t>
  </si>
  <si>
    <t>Team1 Win - with OT</t>
  </si>
  <si>
    <t>Independencia AC - Manauara AM</t>
  </si>
  <si>
    <t>Total Under(1) - 1s</t>
  </si>
  <si>
    <t>Anulada</t>
  </si>
  <si>
    <t>Talleres Remedios - Comunicaciones</t>
  </si>
  <si>
    <t>DNB</t>
  </si>
  <si>
    <t>AH1(0.0)/DNB</t>
  </si>
  <si>
    <t>Klugman, Hannah - Valentova, Tereza</t>
  </si>
  <si>
    <t>Total Over(19.5)</t>
  </si>
  <si>
    <t>Jay Clarke – Andrea Pellegrino</t>
  </si>
  <si>
    <t>Hándicap</t>
  </si>
  <si>
    <t>Hándicap asiático 2 4.5 juegos</t>
  </si>
  <si>
    <t>Sachko, Vitaliy - Mochizuki, Shintaro</t>
  </si>
  <si>
    <t>Total Over(21.5</t>
  </si>
  <si>
    <t>FH Hafnarfjördur - Thór Akureyri</t>
  </si>
  <si>
    <t>Resultado Final: FH Hafnarfjördur</t>
  </si>
  <si>
    <t>REKONIX – OG</t>
  </si>
  <si>
    <t xml:space="preserve"> 2 mapa</t>
  </si>
  <si>
    <t>Al Tadhamon - Al Nasr (KWT)</t>
  </si>
  <si>
    <t>Total Over(1.5)</t>
  </si>
  <si>
    <t>ferro carril oeste - deportivo moron</t>
  </si>
  <si>
    <t>Total Under(0.5)</t>
  </si>
  <si>
    <t>Detroit Tigers - Chicago White Sox</t>
  </si>
  <si>
    <t>Total Under(8.5)</t>
  </si>
  <si>
    <t>ASA-AL - Sergipe-SE</t>
  </si>
  <si>
    <t>Total Under(0.5) for Team2</t>
  </si>
  <si>
    <t>Serra Branca EC - SD Juazeirense</t>
  </si>
  <si>
    <t>1 - regular time</t>
  </si>
  <si>
    <t>CA CENTRAL NORTE - godoy cruz</t>
  </si>
  <si>
    <t>Sao Bernardo SP - Juventude RS</t>
  </si>
  <si>
    <t>Handicap2(0.0)/Draw No Bet</t>
  </si>
  <si>
    <t xml:space="preserve"> HK Kopavogur - UMF Grindavik</t>
  </si>
  <si>
    <t>Total Over(4.5)</t>
  </si>
  <si>
    <t>Belgium - Iran</t>
  </si>
  <si>
    <t>Asian Handicap1(0.0)/Draw No Bet</t>
  </si>
  <si>
    <t>Francia – Irak</t>
  </si>
  <si>
    <t>Menos de 5.5 tiros visitante</t>
  </si>
  <si>
    <t>Linda Fruhvirtova – Emerson Jones</t>
  </si>
  <si>
    <t xml:space="preserve"> 2 sets</t>
  </si>
  <si>
    <t>Radovcic Sun, Lulu - Klimovicova, Linda</t>
  </si>
  <si>
    <t>Total Under(21.5)</t>
  </si>
  <si>
    <t>Lulu Sun – Linda Klimovicova</t>
  </si>
  <si>
    <t>Menos de 21.5 juegos</t>
  </si>
  <si>
    <t>Quevedo, Kaitlin - Ishii, Sayaka</t>
  </si>
  <si>
    <t>Total Under(20.5)</t>
  </si>
  <si>
    <t>Gorgodze, Ekaterine - Valdmannova, Vendula</t>
  </si>
  <si>
    <t>Total Under(19.5)</t>
  </si>
  <si>
    <t>Fana - Sogndal II</t>
  </si>
  <si>
    <t>Angela Fita Boluda – Lina Gjorcheska</t>
  </si>
  <si>
    <t>1 sets</t>
  </si>
  <si>
    <t>IK Oddevold - Ljungskile SK</t>
  </si>
  <si>
    <t>Total Under(1.5)</t>
  </si>
  <si>
    <t xml:space="preserve">portugal </t>
  </si>
  <si>
    <t>+17,5 titos</t>
  </si>
  <si>
    <t xml:space="preserve">VP.Prodigy – Bald
</t>
  </si>
  <si>
    <t xml:space="preserve"> 2 mapa
</t>
  </si>
  <si>
    <t>Xiyu Wang – Hanyu Guo</t>
  </si>
  <si>
    <t>Varbergs BoIS - Landskrona BoIS</t>
  </si>
  <si>
    <t>Total Over(5.5)</t>
  </si>
  <si>
    <t>Al Qadsia - Kazma</t>
  </si>
  <si>
    <t>European Handicap2(1.0)</t>
  </si>
  <si>
    <t>Escuela Municipal Deportivo Binacional - Cusco FC</t>
  </si>
  <si>
    <t>Pick: 1</t>
  </si>
  <si>
    <t>Shamrock Rovers - Derry City</t>
  </si>
  <si>
    <t xml:space="preserve">Total Under(9.5) - Corners </t>
  </si>
  <si>
    <t>Francia - Irak</t>
  </si>
  <si>
    <t>Total de goles - 1.ª parte: Más de 1.5</t>
  </si>
  <si>
    <t>Baton Rouge United (W) - Little Rock Rangers (F)</t>
  </si>
  <si>
    <t>Total de goles: Más de 4.5</t>
  </si>
  <si>
    <t>Talleres Cordoba Women - Huracan Women</t>
  </si>
  <si>
    <t>Total Over(0.5) - 1st</t>
  </si>
  <si>
    <t>Ponte Preta SP - Gremio Novorizontino SP</t>
  </si>
  <si>
    <t>AD Confianca-SE - Guarani-SP</t>
  </si>
  <si>
    <t>Americano-RJ - Macaé-RJ</t>
  </si>
  <si>
    <t>England - Ghana</t>
  </si>
  <si>
    <t xml:space="preserve">Total Over(3) - regular time
</t>
  </si>
  <si>
    <t>Corpus Christi - AV Alta FC</t>
  </si>
  <si>
    <t xml:space="preserve">Total Under(1.5) for Team2 - regular time
</t>
  </si>
  <si>
    <t>Perolas Negras - Santa Cruz FC (RJ)</t>
  </si>
  <si>
    <t>Total Over(5.5) - regular time</t>
  </si>
  <si>
    <t>Total Over(6.5) - Corners</t>
  </si>
  <si>
    <t>Cayetana Gay - Carolyn Ansari</t>
  </si>
  <si>
    <t>Team2 Win - regular time</t>
  </si>
  <si>
    <t>Dukla Banská Bystrica – 1. FC Tatran Presov</t>
  </si>
  <si>
    <t>Menos de 1.5 local</t>
  </si>
  <si>
    <t>Vitoria FC ES – Vilavelhense ES</t>
  </si>
  <si>
    <t>Más de 2.5</t>
  </si>
  <si>
    <t>Resende RJ – SE Belford Roxo RJ</t>
  </si>
  <si>
    <t xml:space="preserve"> Menos de 4</t>
  </si>
  <si>
    <t>Mamore - AA Caldense</t>
  </si>
  <si>
    <t xml:space="preserve"> 1 - regular time</t>
  </si>
  <si>
    <t xml:space="preserve"> ONSIDE – T1 Academy</t>
  </si>
  <si>
    <t>1 mapa prórroga</t>
  </si>
  <si>
    <t>Vaishnavi Adkar - Han Shi</t>
  </si>
  <si>
    <t>Grebbestads IF – IFK Kumla FK</t>
  </si>
  <si>
    <t>2/DNB</t>
  </si>
  <si>
    <t>corpus christy Av Alta Fc</t>
  </si>
  <si>
    <t>corpus christy fc 01 st</t>
  </si>
  <si>
    <t>Annapolis Blues FC - santos laguna</t>
  </si>
  <si>
    <t xml:space="preserve">Total Under(3.5) </t>
  </si>
  <si>
    <t>Albatros - Club Atlético Tabaré</t>
  </si>
  <si>
    <t>Team2 Win - with OT</t>
  </si>
  <si>
    <t>Toronto Blue Jays - Houston Astros</t>
  </si>
  <si>
    <t>Team2 Win</t>
  </si>
  <si>
    <t>Bianca Andreescu - Jil Teichmann</t>
  </si>
  <si>
    <t>Team2 Win - 1 set, 09 game</t>
  </si>
  <si>
    <t>Team2 Win - 1 set, 11 game</t>
  </si>
  <si>
    <t>LePa II - EPS/Reservi</t>
  </si>
  <si>
    <t>1 - 1st</t>
  </si>
  <si>
    <t>JJK Jyvaskyla 2 - FC Metso</t>
  </si>
  <si>
    <t>2 - regular time</t>
  </si>
  <si>
    <t>fc freienbach - Rapperswil-Jona</t>
  </si>
  <si>
    <t>Caroline Werner - Alina Charaeva</t>
  </si>
  <si>
    <t>Team1 Win - 1 set, 07 game</t>
  </si>
  <si>
    <t>Malta - Gibraltar</t>
  </si>
  <si>
    <t>Asian Handicap1(-15.5) - with OT</t>
  </si>
  <si>
    <t>Kubikenborgs IF - Fransta IK</t>
  </si>
  <si>
    <t>European Handicap1(-2.0)</t>
  </si>
  <si>
    <t>Greenisland FC (W) - Ballyclare Comrades FC (W)</t>
  </si>
  <si>
    <t>Ballymena United (W) - Strabane Athletic FC (W)</t>
  </si>
  <si>
    <t>Zamora FC – Atlético EL Vigia</t>
  </si>
  <si>
    <t>Más de 3</t>
  </si>
  <si>
    <t>San Francisco Glens (W) - San Ramon FC (W)</t>
  </si>
  <si>
    <t>Al-Ansar - Jwaya SC</t>
  </si>
  <si>
    <t xml:space="preserve">La Real Frontera - Club Atletico Barinas
</t>
  </si>
  <si>
    <t>Pick: 2</t>
  </si>
  <si>
    <t>PiPS - Peimari United</t>
  </si>
  <si>
    <t>Pittsburgh Pirates - Seattle Mariners</t>
  </si>
  <si>
    <t>Asian Handicap1(-2.5) - with OT</t>
  </si>
  <si>
    <t>Urunday Universitario Women - Tabare Women</t>
  </si>
  <si>
    <t>Total Over(119.5) - with OT</t>
  </si>
  <si>
    <t>Curacao - Ivory Coast</t>
  </si>
  <si>
    <t xml:space="preserve"> 2 - 1st</t>
  </si>
  <si>
    <t>RB Keflavik - Bf 108</t>
  </si>
  <si>
    <t>European Handicap1(-1.0)</t>
  </si>
  <si>
    <t>Paraguay – Australia</t>
  </si>
  <si>
    <t>Menos de 9.5 tiros visitante</t>
  </si>
  <si>
    <t>Rockingham Flames - South West Slammers</t>
  </si>
  <si>
    <t>Asian Handicap1(-30.5) - with OT</t>
  </si>
  <si>
    <t>holland park hawks - redlands united</t>
  </si>
  <si>
    <t>Total Over(3.5) - regular time</t>
  </si>
  <si>
    <t>Qingdao Hainiu - Yunnan Yukun</t>
  </si>
  <si>
    <t>Total Under(6.5) - Corners</t>
  </si>
  <si>
    <t xml:space="preserve"> Klubi 04 - SJK Akatemia</t>
  </si>
  <si>
    <t>Lps - FC KONTU</t>
  </si>
  <si>
    <t>Total Under(7.5) - regular time</t>
  </si>
  <si>
    <t>FK IMT Novi Beograd ⇄ Borac Banja Luka</t>
  </si>
  <si>
    <t>Total Under(2.5) - regular time</t>
  </si>
  <si>
    <t>Bankstown Bruins - Norths Bears</t>
  </si>
  <si>
    <t>Asian Handicap1(2.5) - with OT</t>
  </si>
  <si>
    <t>Vaprus Pärnu - Kuressaare FC</t>
  </si>
  <si>
    <t xml:space="preserve"> Asian Handicap2(1.5) - regular time</t>
  </si>
  <si>
    <t>Liepajas Metalurgs - Rigas Futbola Skola</t>
  </si>
  <si>
    <t xml:space="preserve"> Lucas Andrade Da Silva - Thiago Seyboth Wild</t>
  </si>
  <si>
    <t>Asian Handicap1(2.5) - regular time</t>
  </si>
  <si>
    <t xml:space="preserve"> Weiz - Marchfeld Mannsdorf Grossenzersdorf</t>
  </si>
  <si>
    <t>European Handicap2(-2.0)</t>
  </si>
  <si>
    <t>Onsala BK - Landvetter IS</t>
  </si>
  <si>
    <t>Dundalk - Waterford FC</t>
  </si>
  <si>
    <t>Total Under(10.5) - Corners - regular time</t>
  </si>
  <si>
    <t>Union La Calera - Santiago Wanderers</t>
  </si>
  <si>
    <t>Total Under(1.5) for Team1 - regular time</t>
  </si>
  <si>
    <t>Audax Rio RJ - Resende RJ [Regular time</t>
  </si>
  <si>
    <t xml:space="preserve"> AH2(0.0)/DNB</t>
  </si>
  <si>
    <t>Athlone Town - Finn Harps</t>
  </si>
  <si>
    <t>Otro</t>
  </si>
  <si>
    <t>One scoreless</t>
  </si>
  <si>
    <t>Norway - France</t>
  </si>
  <si>
    <t>Lokomotiva Zagreb - NK Varazdin</t>
  </si>
  <si>
    <t>Asian Handicap1(0) - 1st</t>
  </si>
  <si>
    <t>Heidelberg United Women - Boroondara Eagles FC Women</t>
  </si>
  <si>
    <t>Asian Handicap1(0.25) - 1st</t>
  </si>
  <si>
    <t>Bohemians Dublin - St. Patricks Athletic</t>
  </si>
  <si>
    <t>Total Under(2.5)</t>
  </si>
  <si>
    <t xml:space="preserve"> NEW VISION – Julie&amp;cie</t>
  </si>
  <si>
    <t>Hándicap asiático 1 -1.5 mapa</t>
  </si>
  <si>
    <t>Povazska Bystrica – FC Banik Ostrava B</t>
  </si>
  <si>
    <t>Novorizontino-SP - Vila Nova-GO</t>
  </si>
  <si>
    <t>Total Under(1.5) for Team2 - regular time</t>
  </si>
  <si>
    <t>Chicago Sky (W) - Portland Fire (W</t>
  </si>
  <si>
    <t>Total Over(85.5) for Team2 - with OT</t>
  </si>
  <si>
    <t>Detroit Tigers - Houston Astros</t>
  </si>
  <si>
    <t>Total Over(9.5) for Team1 - with OT</t>
  </si>
  <si>
    <t>ga FC Kunoichi (F) - Viamaterasu Miyazaki (F)</t>
  </si>
  <si>
    <t>Menos de 0.5 goles</t>
  </si>
  <si>
    <t>Free Bet</t>
  </si>
  <si>
    <t>Alana Subasic - Kateryna Lazarenko</t>
  </si>
  <si>
    <t>Team1 Win - regular time</t>
  </si>
  <si>
    <t>Beijing Guoan - Wuhan Three Towns</t>
  </si>
  <si>
    <t xml:space="preserve"> Ljungskile SK - Örebro SK</t>
  </si>
  <si>
    <t>Total Over(8.5) - Corners - regular time</t>
  </si>
  <si>
    <t>Zhetysu Taldykorgan - FK Aktobe</t>
  </si>
  <si>
    <t>Total Under(0.5) for Team2 - regular time</t>
  </si>
  <si>
    <t>HJK Helsinki - KuPS</t>
  </si>
  <si>
    <t>Asian Handicap2(-0.5)</t>
  </si>
  <si>
    <t>Inter de Limeira-SP - Maringá-PR</t>
  </si>
  <si>
    <t>Haugesund - Kongsvinger</t>
  </si>
  <si>
    <t>TPS Turku - Jaro</t>
  </si>
  <si>
    <t>united ik nordic - Oddevold</t>
  </si>
  <si>
    <t xml:space="preserve"> Total Under(6.5) - regular time</t>
  </si>
  <si>
    <t>spartak varna - Dunav Ruse</t>
  </si>
  <si>
    <t>Total Under(0.5) - regular time</t>
  </si>
  <si>
    <t>Gnistan - VPS</t>
  </si>
  <si>
    <t xml:space="preserve"> Total Under(3.5) - regular time</t>
  </si>
  <si>
    <t>Total Under(8.5) - Corners - regular time</t>
  </si>
  <si>
    <t>FC Dila Gori - Torpedo Kutaisi</t>
  </si>
  <si>
    <t>Boston Red Sox - New York Yankees</t>
  </si>
  <si>
    <t>Asian Handicap1(-2.5)</t>
  </si>
  <si>
    <t>Sligo Rovers - Shelbourne</t>
  </si>
  <si>
    <t>Slovenia - Italy</t>
  </si>
  <si>
    <t>Portuguesa SP - Sampaio Correa RJ</t>
  </si>
  <si>
    <t>Croatia - Ghana</t>
  </si>
  <si>
    <t xml:space="preserve">Total Under(9.5) - Corners - regular time
</t>
  </si>
  <si>
    <t>Panama - England</t>
  </si>
  <si>
    <t>SE Gama DF - Mixto MT</t>
  </si>
  <si>
    <t>European Handicap2(2.0)</t>
  </si>
  <si>
    <t>Colombia - Portugal</t>
  </si>
  <si>
    <t>Asian Handicap2(-1.5) - Corners - regular time</t>
  </si>
  <si>
    <t>atleticos de san german - capitanes de arecibo</t>
  </si>
  <si>
    <t>Asian Handicap2(5.5) - 1st half</t>
  </si>
  <si>
    <t>Indiana Fever (W) - Los Angeles Sparks (W)</t>
  </si>
  <si>
    <t>Total Over(87.5) for Team2 - with OT</t>
  </si>
  <si>
    <t>Algeria - Austria</t>
  </si>
  <si>
    <t>Score (0.0) - 1s</t>
  </si>
  <si>
    <t>Dalian Yingbo - Shanghai Shenhua</t>
  </si>
  <si>
    <t>Total Under(5.5) - regular time</t>
  </si>
  <si>
    <t>Brodd - Haugesund II</t>
  </si>
  <si>
    <t>Asian Handicap2(0) - 1st</t>
  </si>
  <si>
    <t>SexyPoxyt - MPS Malmin Palloseura</t>
  </si>
  <si>
    <t>Caneros del Este - Metros de Santiago</t>
  </si>
  <si>
    <t>Vindbjart FK – Stabaek IF 2</t>
  </si>
  <si>
    <t>Hándicap asiático 1 -1.5</t>
  </si>
  <si>
    <t>Stjørdals/Blink - Junkeren</t>
  </si>
  <si>
    <t>Tobol Kostanay - FC Altai Oskemen</t>
  </si>
  <si>
    <t>Total Over(3.5)</t>
  </si>
  <si>
    <t>Aland United Women - HPS Women</t>
  </si>
  <si>
    <t>Villanueva, Gonzalo - Seyboth Wild, Thiago</t>
  </si>
  <si>
    <t>Total Over(17.5) - regular time</t>
  </si>
  <si>
    <t>Follo - Levanger</t>
  </si>
  <si>
    <t>Total Over(2.5)</t>
  </si>
  <si>
    <t>Kfum 2 - Heming</t>
  </si>
  <si>
    <t>Guapore RO – Monte Roraima RR</t>
  </si>
  <si>
    <t>Menos de 3</t>
  </si>
  <si>
    <t>KFUM Oslo Fotball II - Heming</t>
  </si>
  <si>
    <t>Total Over(3.5) - regular tim</t>
  </si>
  <si>
    <t>Varhaug - Odds BK 2</t>
  </si>
  <si>
    <t>UAI Urquiza - Sportivo Italiano</t>
  </si>
  <si>
    <t>Náutico-PE - Goiás-GO</t>
  </si>
  <si>
    <t>Total Under(11.5) - Corners - regular time</t>
  </si>
  <si>
    <t>Brooklyn City FC (W) - Force FC New York (W)</t>
  </si>
  <si>
    <t>Confianca</t>
  </si>
  <si>
    <t>Fenty, Andrew - Imamura, Masamichi</t>
  </si>
  <si>
    <t>Asian Handicap1(-3.5) - regular time</t>
  </si>
  <si>
    <t>Cilic, Marin - Medvedev, Daniil</t>
  </si>
  <si>
    <t>Asian Handicap1(6.5) - regular time</t>
  </si>
  <si>
    <t>Leylah Annie Fernandez - Janice Tjen</t>
  </si>
  <si>
    <t>Team1Win - 1 set, 08 game</t>
  </si>
  <si>
    <t>Auda - Riga FC</t>
  </si>
  <si>
    <t>Marin Cilic - Daniil Medvedev</t>
  </si>
  <si>
    <t>Total Over(12.5) - 3rd</t>
  </si>
  <si>
    <t>catar -arabia saudi</t>
  </si>
  <si>
    <t>over6,5 team 1</t>
  </si>
  <si>
    <t>Oleksandra Oliynykova (CRO) v Mccartney Kessler (USA)</t>
  </si>
  <si>
    <t>2 Ganador v (Set 2, Juego 6)</t>
  </si>
  <si>
    <t>IA Akranes - Fram Reykjavik</t>
  </si>
  <si>
    <t xml:space="preserve"> Total Under(2.5)</t>
  </si>
  <si>
    <t>Germany - Paraguay</t>
  </si>
  <si>
    <t>Otto Virtanen - Ben Shelton</t>
  </si>
  <si>
    <t>Iryna Shymanovich - Viktorija Golubic</t>
  </si>
  <si>
    <t>Team2 Win - 3 set</t>
  </si>
  <si>
    <t>Birrell, Kimberly - Korneeva, Alina</t>
  </si>
  <si>
    <t>Team2 Win - 3 set, 01 game</t>
  </si>
  <si>
    <t>Navone, Mariano - Cobolli, Flavio</t>
  </si>
  <si>
    <t>Williams, Serena - Joint, Maya</t>
  </si>
  <si>
    <t>Shamrock Rovers - Hibernian</t>
  </si>
  <si>
    <t>Frances Tiafoe - Terence Atmane</t>
  </si>
  <si>
    <t>FC Eindhoven - UNA</t>
  </si>
  <si>
    <t>Caerau Ely - Cardiff Corinthians</t>
  </si>
  <si>
    <t>France - Sweden</t>
  </si>
  <si>
    <t>Asian Handicap2(2.5) - regular time</t>
  </si>
  <si>
    <t>Piast Gliwice – GKS Katowice</t>
  </si>
  <si>
    <t>1/DNB</t>
  </si>
  <si>
    <t>Daniel Merida Aguilar - Daniil Medvedev</t>
  </si>
  <si>
    <t>Asian Handicap2(-5.5) - regular time</t>
  </si>
  <si>
    <t>Club Comunicaciones Reserves - Club Social y Deportivo Camioneros Reserves</t>
  </si>
  <si>
    <t>Total Over(2.5) - regular time</t>
  </si>
  <si>
    <t>De Jong, Jesper - Fonseca, Joao</t>
  </si>
  <si>
    <t>Asian Handicap1(9.5) - regular time</t>
  </si>
  <si>
    <t>erzgebirge - vysocina jihlava</t>
  </si>
  <si>
    <t>Total Over(1.5) - 1st</t>
  </si>
  <si>
    <t>Parry, Diane - Kalinskaya, Anna</t>
  </si>
  <si>
    <t>Asian Handicap1(4.5) - regular time</t>
  </si>
  <si>
    <t xml:space="preserve">England - Congo DR </t>
  </si>
  <si>
    <t xml:space="preserve"> Total Under(9.5) - Corners</t>
  </si>
  <si>
    <t>Tatjana Maria - Iva Jovic</t>
  </si>
  <si>
    <t>Team1 Win - 1 set, 06 game</t>
  </si>
  <si>
    <t xml:space="preserve"> EBK (W) - FC Honka (W)</t>
  </si>
  <si>
    <t>Britt Du Pree - Emma Kamper</t>
  </si>
  <si>
    <t>Winterthur - St. Gallen</t>
  </si>
  <si>
    <t>Total Under(0.5) - 1st</t>
  </si>
  <si>
    <t>eintracht teamorange</t>
  </si>
  <si>
    <t>teamorange-7,5 mapa1 kills</t>
  </si>
  <si>
    <t>sigma olomouc - mfk skalica</t>
  </si>
  <si>
    <t>Omonia Nicosia - Dinamo Bucuresti 1948</t>
  </si>
  <si>
    <t>Brandon Nakashima - Jan-Lennard Struff</t>
  </si>
  <si>
    <t>Bencic, Belinda - Wang, Xinyu</t>
  </si>
  <si>
    <t>Asian Handicap2(5.5) - regular timev</t>
  </si>
  <si>
    <t>Varillas Patino-Samudio, Juan Pablo - Magadan, Alan</t>
  </si>
  <si>
    <t xml:space="preserve"> Team2 Win - 2 set, 08 game</t>
  </si>
  <si>
    <t>Denmark U19 - Spain U19</t>
  </si>
  <si>
    <t>Solothurn - Young Boys II</t>
  </si>
  <si>
    <t>KORNEUBURG ASC MARATHON - Wiener Victoria</t>
  </si>
  <si>
    <t xml:space="preserve"> Boston Red Sox - Washington Nationals</t>
  </si>
  <si>
    <t>Rafael Jodar - Pablo Carreno Busta</t>
  </si>
  <si>
    <t>New York Yankees - Detroit Tigers</t>
  </si>
  <si>
    <t xml:space="preserve"> Total Over(3.5)</t>
  </si>
  <si>
    <t>Kairat Almaty - Okzhetpes Kokshetau</t>
  </si>
  <si>
    <t>Catry, Robin - Lemire, Clement</t>
  </si>
  <si>
    <t>Asian Handicap1(-2.5) - regular time</t>
  </si>
  <si>
    <t>Anisimova, Amanda - Kenin, Sofia</t>
  </si>
  <si>
    <t>Team2 Win - 2nd</t>
  </si>
  <si>
    <t>James Duckworth - Flavio Cobolli</t>
  </si>
  <si>
    <t>Grenier, Hugo - Inchauspe, Paul</t>
  </si>
  <si>
    <t>Switzerland - Serbia</t>
  </si>
  <si>
    <t>Total Under(166.5)</t>
  </si>
  <si>
    <t>Colorado Rockies - Miami Marlins</t>
  </si>
  <si>
    <t>Spain - Austria</t>
  </si>
  <si>
    <t>Total Under(10.5) - Corners</t>
  </si>
  <si>
    <t>IH Hafnarfjordur - Vaengir Jupiters</t>
  </si>
  <si>
    <t>Kelly Keller - Kate Fakih</t>
  </si>
  <si>
    <t>Asian Handicap2(-4.5) - regular time</t>
  </si>
  <si>
    <t>Sweden - Czech Republic</t>
  </si>
  <si>
    <t>Asian Handicap2(24.5) - with OT</t>
  </si>
  <si>
    <t>Bartunkova, Nikola - Krejcikova, Barbora</t>
  </si>
  <si>
    <t>Team1 Win - 2nd</t>
  </si>
  <si>
    <t>Magadan, Alan - Pucinelli De Almeida, Matheus</t>
  </si>
  <si>
    <t>Asian Handicap2(-3.5) - regular time</t>
  </si>
  <si>
    <t>Visscher, Stephanie Judith - Inoue, Hina</t>
  </si>
  <si>
    <t>Team2 Win - 1 set, 02 game</t>
  </si>
  <si>
    <t>Liu, Claire - Gauff, Coco</t>
  </si>
  <si>
    <t>felix auger-aliassime - Michael Zheng</t>
  </si>
  <si>
    <t>Asian Handicap2(5.5) - regular time</t>
  </si>
  <si>
    <t>Sligo Rovers - Shamrock Rovers</t>
  </si>
  <si>
    <t>Total Under(9.5) - Corners - regular time</t>
  </si>
  <si>
    <t>Shelbourne - Dundalk</t>
  </si>
  <si>
    <t>Pick: Asian Handicap2(0.0)/Draw No Bet</t>
  </si>
  <si>
    <t>De Minaur, Alex - Svajda, Zachary</t>
  </si>
  <si>
    <t>Asian Handicap2(8.5) - regular time</t>
  </si>
  <si>
    <t>Yanbian Longding - Heilongjiang Ice City</t>
  </si>
  <si>
    <t xml:space="preserve"> Total Over(0.5) for Team2 - regular time</t>
  </si>
  <si>
    <t>Daejeon Citizen - Bucheon FC 1995</t>
  </si>
  <si>
    <t>Guangzhou Dandelion Alpha - Guangdong Mingtu</t>
  </si>
  <si>
    <t xml:space="preserve"> Liaoning Shenyang Urban Tieren - Chongqing</t>
  </si>
  <si>
    <t xml:space="preserve"> Asian Handicap1(0.0)/Draw No Bet</t>
  </si>
  <si>
    <t>Dalian Zhixing - Wuhan Three Towns</t>
  </si>
  <si>
    <t xml:space="preserve"> Beijing Guoan - Shandong Luneng Taishan</t>
  </si>
  <si>
    <t>OLS - FC Inter Turku II</t>
  </si>
  <si>
    <t>OLS - Inter Turku II</t>
  </si>
  <si>
    <t>Talleres Cordoba Women - Union de Santa Fe Women</t>
  </si>
  <si>
    <t>FC Politehnica Chisinau - Sheriff Tiraspol</t>
  </si>
  <si>
    <t>ÍB Vestmennaeyjar - Valur Reykjavík</t>
  </si>
  <si>
    <t>CA Lugano - Justo Jose Urquiza</t>
  </si>
  <si>
    <t>marcos giron - alexander zverev</t>
  </si>
  <si>
    <t>Total Over(33.5) - regular time</t>
  </si>
  <si>
    <t>Tiafoe, Frances - Bublik, Alexander</t>
  </si>
  <si>
    <t>Ituzaingo - Villa San Carlos</t>
  </si>
  <si>
    <t>Criciuma SC - Sport Recife PE</t>
  </si>
  <si>
    <t>Paraguay - France</t>
  </si>
  <si>
    <t>Theo Papamalamis - Nicolas Parizzia</t>
  </si>
  <si>
    <t>Thiago Seyboth Wild - Oliver Majdandzic</t>
  </si>
  <si>
    <t>Team1 Win - 1 set, 02 game</t>
  </si>
  <si>
    <t>Marysko, Vincent - Durasovic, Viktor</t>
  </si>
  <si>
    <t>Team2 Win - 2 set, 05 game</t>
  </si>
  <si>
    <t>Gimcheon Sangmu Sangju - Jeju Unitedv</t>
  </si>
  <si>
    <t>Total Under(8.5) - Corners</t>
  </si>
  <si>
    <t>Leonardo Iemmi - Henry Bernet</t>
  </si>
  <si>
    <t>Total Under(17.5) - regular time</t>
  </si>
  <si>
    <t>Taian Tiankuang - Changchun Xidu</t>
  </si>
  <si>
    <t>European Handicap1(1.0)</t>
  </si>
  <si>
    <t>Wydad Sportif Temara - USM Oujda [Regular time]</t>
  </si>
  <si>
    <t>1 dnb</t>
  </si>
  <si>
    <t>IFK Goteborg - AIK</t>
  </si>
  <si>
    <t>Total Under(11.5) - Corners</t>
  </si>
  <si>
    <t>Rapid de Viena – FK Pardubice</t>
  </si>
  <si>
    <t>IFK Göteborg - AIK</t>
  </si>
  <si>
    <t>Gyeongnam FC - Cheonan City</t>
  </si>
  <si>
    <t>TPV - JJK Jyvaskyla</t>
  </si>
  <si>
    <t>RoPS - PKKU</t>
  </si>
  <si>
    <t>Total Under(3.5) - regular time</t>
  </si>
  <si>
    <t>Kuzmanov, Dimitar - Matos, Rafael</t>
  </si>
  <si>
    <t>Asian Handicap2(7.5) - regular time</t>
  </si>
  <si>
    <t>Ramkumar Ramanathan - Maximilian Neuchrist</t>
  </si>
  <si>
    <t>Team1 Win - 1 set, 04 game</t>
  </si>
  <si>
    <t>Metropolitano-SC - Caravaggio</t>
  </si>
  <si>
    <t>Goity Zapico, Segundo - Andrade Da Silva, Lucas</t>
  </si>
  <si>
    <t xml:space="preserve"> Sets (0:2)</t>
  </si>
  <si>
    <t>Daniel Antonio Nunez – Lorenzo Claverie</t>
  </si>
  <si>
    <t>2 sets</t>
  </si>
  <si>
    <t>Elfsborg - Hammarby IF</t>
  </si>
  <si>
    <t xml:space="preserve"> Great Britain - Iceland</t>
  </si>
  <si>
    <t>Team1 Win</t>
  </si>
  <si>
    <t>Egypt - Uganda</t>
  </si>
  <si>
    <t>Total Under(65.5) - 1st half</t>
  </si>
  <si>
    <t>West Indies - Sri Lanka</t>
  </si>
  <si>
    <t>x</t>
  </si>
  <si>
    <t>Tammeka Tartu - Harju JK Laagri</t>
  </si>
  <si>
    <t>Victoriano Arenas - Deportivo Paraguayo</t>
  </si>
  <si>
    <t>Total Under(4.5) - regular time</t>
  </si>
  <si>
    <t>India - Lebanon</t>
  </si>
  <si>
    <t>Asian Handicap1(32.5) - with OT</t>
  </si>
  <si>
    <t>Boston Legacy FC (W) - Bay FC (W)</t>
  </si>
  <si>
    <t>Total Over(2.5) for Team2 - regular time</t>
  </si>
  <si>
    <t>KRU Spark – BESTIA</t>
  </si>
  <si>
    <t>CA Estudiantes Caseros - Racing Cordoba</t>
  </si>
  <si>
    <t>San Martin De Burzaco - CSD Liniers</t>
  </si>
  <si>
    <t>Total Under(1.5) - regular time</t>
  </si>
  <si>
    <t>Deportivo Madryn - Colon de Santa Fe</t>
  </si>
  <si>
    <t>Danubio - Juventud de Las Piedras</t>
  </si>
  <si>
    <t>Total Under(1.5) for Team2</t>
  </si>
  <si>
    <t>Cincinnati Reds - Baltimore Orioles</t>
  </si>
  <si>
    <t>Asian Handicap2(2.5)</t>
  </si>
  <si>
    <t>Chaco For Ever - Acassusov</t>
  </si>
  <si>
    <t>Gimnasia y Esgrima De Concepción Del Uruguay - 9 De Julio</t>
  </si>
  <si>
    <t>Canuelas - Central Cordoba de Rosario</t>
  </si>
  <si>
    <t>Supra Du Quebec - Forge FC</t>
  </si>
  <si>
    <t>San Martin De San Juan - Chacarita Juniors</t>
  </si>
  <si>
    <t>Kym, Jerome - Faurel, Thomas</t>
  </si>
  <si>
    <t>Team2Win - 1 set, 01 game</t>
  </si>
  <si>
    <t>LYON – Secret Whales</t>
  </si>
  <si>
    <t>Menos de 32.5 kill mapa 1</t>
  </si>
  <si>
    <t>Marina Bassols Ribera - Paula Badosa</t>
  </si>
  <si>
    <t>Dimitrov, Grigor - Fery, Arthur</t>
  </si>
  <si>
    <t>Asian Handicap2(4.5)</t>
  </si>
  <si>
    <t>Hungary - Belgium</t>
  </si>
  <si>
    <t>Asian Handicap2(12.5) - with OT</t>
  </si>
  <si>
    <t>Brommapojkarna - GAIS Goteborg</t>
  </si>
  <si>
    <t>Total Under(9.5) - Corners</t>
  </si>
  <si>
    <t>Poland - Netherlands</t>
  </si>
  <si>
    <t>FK Progress Super Nova - Ogre United</t>
  </si>
  <si>
    <t>Patrick Zahraj - Henry Searle</t>
  </si>
  <si>
    <t>Ararat-Armenia FC - Riga FC</t>
  </si>
  <si>
    <t>Dalma Galfi - Kajsa Rinaldo Persson</t>
  </si>
  <si>
    <t xml:space="preserve"> Inner Circle – 1W</t>
  </si>
  <si>
    <t xml:space="preserve"> Hándicap asiático 1 15.5 kill mapa 1</t>
  </si>
  <si>
    <t>FC Una Strassen - La Fiorita</t>
  </si>
  <si>
    <t>Asian Handicap1(-1.5) - regular time</t>
  </si>
  <si>
    <t>Floriana - Shamrock Rovers</t>
  </si>
  <si>
    <t>Put, Stan - Vasa, Eero</t>
  </si>
  <si>
    <t>Lorenzo Joaquin Rodriguez - Lucas Andrade Da Silva</t>
  </si>
  <si>
    <t>Team1 Win - 1 set, 03 game</t>
  </si>
  <si>
    <t>mei yamaguchi-greet minnen</t>
  </si>
  <si>
    <t>over 17,5 games. regular time</t>
  </si>
  <si>
    <t>Juan Pablo Varillas - Luis Carlos Alvarez Valdes</t>
  </si>
  <si>
    <t>Petrocub - Egnatia Rrogozhine</t>
  </si>
  <si>
    <t>Felipe Meligeni Rodrigues Alves - Lucas Andrade Da Silva</t>
  </si>
  <si>
    <t>Total Over(12.5) - 1st</t>
  </si>
  <si>
    <t>Connah's Quay FC - KF Ballkani</t>
  </si>
  <si>
    <t>Asian Handicap1(0.5) - regular time</t>
  </si>
  <si>
    <t>Differdange 03 - Ilves</t>
  </si>
  <si>
    <t xml:space="preserve"> Total Under(1.5)</t>
  </si>
  <si>
    <t>Connahs Quay - KF Ballkani</t>
  </si>
  <si>
    <t>1x</t>
  </si>
  <si>
    <t>San Luis Women - Talleres Cordoba Women</t>
  </si>
  <si>
    <t>Union de Santa Fe Women - San Lorenzo de Almagro Women</t>
  </si>
  <si>
    <t>European Handicap1(2.0)</t>
  </si>
  <si>
    <t>Albania U20 Women - Bosnia-Herzegovina U20 Women</t>
  </si>
  <si>
    <t>Total Over(152.5) - with OT</t>
  </si>
  <si>
    <t>Feistel, Gina - Bertea, Elena Ruxandra</t>
  </si>
  <si>
    <t>Team1 Win - 1 set, 09 game</t>
  </si>
  <si>
    <t>Black Rock - Boston Bolts</t>
  </si>
  <si>
    <t>Total Under(3) - regular time</t>
  </si>
  <si>
    <t>Mananchaya Sawangkaew - Caroline Dolehide</t>
  </si>
  <si>
    <t>TeamOrangeGaming – BIG</t>
  </si>
  <si>
    <t>Hándicap asiático 1 10.5 kill mapa 1</t>
  </si>
  <si>
    <t>Nicod, Jakub - Al Azmeh, Taym</t>
  </si>
  <si>
    <t>Team2 Win - 1 set, 07 game</t>
  </si>
  <si>
    <t>República Checa (F) – Países Bajos (F)</t>
  </si>
  <si>
    <t xml:space="preserve"> Hándicap asiático 2 -1.5 sets</t>
  </si>
  <si>
    <t xml:space="preserve"> CGN – MIR</t>
  </si>
  <si>
    <t>William Manning - Gavin Young</t>
  </si>
  <si>
    <t>Francoise Abanda - Ana Grubor</t>
  </si>
  <si>
    <t>Liepajas Metalurgs - Decic Tuzi</t>
  </si>
  <si>
    <t>Jones, Francesca - Jeanjean, Leolia</t>
  </si>
  <si>
    <t>Mondorf-les-Bains - Dinamo Tbilisi</t>
  </si>
  <si>
    <t>Asian Handicap1(1.5)</t>
  </si>
  <si>
    <t>Dynamo Kyiv - Universitatea Cluj</t>
  </si>
  <si>
    <t xml:space="preserve"> M.Polmans / S.Hunter – M.Arevalo / J.Ostapenko</t>
  </si>
  <si>
    <t>Thor KA – Grindavik/Njarovik</t>
  </si>
  <si>
    <t xml:space="preserve"> 1/DNB</t>
  </si>
  <si>
    <t>Vojvodina - Ferencvarosi TC</t>
  </si>
  <si>
    <t>Vllaznia Shkoder - Malisheva</t>
  </si>
  <si>
    <t>Total Under(3.5)</t>
  </si>
  <si>
    <t>VPS - SJK Seinäjoki</t>
  </si>
  <si>
    <t>VPS Vaasa - Seinajoen JK</t>
  </si>
  <si>
    <t>AIFK - Tampereen IIves II</t>
  </si>
  <si>
    <t>Eintracht Frankfurt – FOKUS</t>
  </si>
  <si>
    <t>CSD Liniers - Sportivo Italiano</t>
  </si>
  <si>
    <t xml:space="preserve"> Paulton Rovers - Chippenham Town</t>
  </si>
  <si>
    <t>Total Under(2.5) for Team2 - regular time</t>
  </si>
  <si>
    <t>St. James Swifts (W) - Sion Swifts LFC (W)</t>
  </si>
  <si>
    <t>Wiener Viktoria - Vorwarts Steyr</t>
  </si>
  <si>
    <t>Dundalk - Drogheda United</t>
  </si>
  <si>
    <t xml:space="preserve"> Total Under(11.5) - Corners - regular time</t>
  </si>
  <si>
    <t>Cork City - Longford Town</t>
  </si>
  <si>
    <t>Ukraine U20 - Georgia U20/elizabeth mandilik-katie volynets</t>
  </si>
  <si>
    <t>Total Over(75.5) - 1st half/team 1 win regura time(combinada</t>
  </si>
  <si>
    <t>Waterford FC - St Patrick's Athletic</t>
  </si>
  <si>
    <t>Under(11.5) - Corners - regular time</t>
  </si>
  <si>
    <t>Excursionistas - Comunicaciones</t>
  </si>
  <si>
    <t xml:space="preserve"> Alianza Atletico - Molinos El Pirata</t>
  </si>
  <si>
    <t>SK Austria Klagenfurt – ASK Voitsberg</t>
  </si>
  <si>
    <t>Bosnia And Herzegovina Sub-20 – Suecia Sub-20</t>
  </si>
  <si>
    <t>Menos de 70.5</t>
  </si>
  <si>
    <t>Shibuya City FC - Tokyo United FC</t>
  </si>
  <si>
    <t>Sutherland Sharks - Illawarra Hawks II</t>
  </si>
  <si>
    <t>Cherno More – FC Dunav Ruse</t>
  </si>
  <si>
    <t>Lahti - HJK Helsinki</t>
  </si>
  <si>
    <t>Ansan Greeners - Suwon Bluewings</t>
  </si>
  <si>
    <t xml:space="preserve"> Total Over(3.5</t>
  </si>
  <si>
    <t>Shenzhen Peng City FC - Qingdao West Coast FC</t>
  </si>
  <si>
    <t>Fredrikstad - Lillestrom</t>
  </si>
  <si>
    <t>Aalesund - Molde</t>
  </si>
  <si>
    <t>Stranraer - Ayr United</t>
  </si>
  <si>
    <t>Tukums 2000 – Super Nova</t>
  </si>
  <si>
    <t xml:space="preserve"> Mjällby AIF - AIK</t>
  </si>
  <si>
    <t>Total Over(6.5) - Corners - regular time</t>
  </si>
  <si>
    <t>Slask Wroclaw - Odra Opole</t>
  </si>
  <si>
    <t>Viimsi JK – Nomme JK Kalju</t>
  </si>
  <si>
    <t>Más de 4</t>
  </si>
  <si>
    <t>Nurmijarven Jalkapalloseura - EBK</t>
  </si>
  <si>
    <t>Galway United - Sligo Rovers</t>
  </si>
  <si>
    <t>Deportivo Paraguayo - Berazategui FC</t>
  </si>
  <si>
    <t>Total Under(0.5) for Team1 - regular time</t>
  </si>
  <si>
    <t>Minnesota Lynx Women - New York Liberty Women</t>
  </si>
  <si>
    <t>1 - 2nd</t>
  </si>
  <si>
    <t>Manta FC - Orense SC</t>
  </si>
  <si>
    <t>2(0.0)/Draw No Bet</t>
  </si>
  <si>
    <t>Nicolas Mejia - Juan Pablo Varillas</t>
  </si>
  <si>
    <t>Team2 Win - 1 set, 06 game</t>
  </si>
  <si>
    <t>Danubio - Nacional Montevideo</t>
  </si>
  <si>
    <t>El Porvenir - Club Lujan</t>
  </si>
  <si>
    <t>Central Córdoba de Rosario - Club Atlético Atlas</t>
  </si>
  <si>
    <t>San Telmo - Chaco For Ever</t>
  </si>
  <si>
    <t>Resende RJ - Marica RJ</t>
  </si>
  <si>
    <t>Total Under(1.5</t>
  </si>
  <si>
    <t>Atlanta Dream Women - Portland Fire Women</t>
  </si>
  <si>
    <t>Total Under(180.5</t>
  </si>
  <si>
    <t>XV de Piracicaba SP - Cianorte PR</t>
  </si>
  <si>
    <t>x2</t>
  </si>
  <si>
    <t>San Luis Quillota - Universidad Católica (CHI)</t>
  </si>
  <si>
    <t>Pittsburgh Pirates - Milwaukee Brewers</t>
  </si>
  <si>
    <t>Asian Handicap1(1.0)</t>
  </si>
  <si>
    <t>New York Mets - Boston Red Sox</t>
  </si>
  <si>
    <t>Total Over(5.0)</t>
  </si>
  <si>
    <t>Guayaquil City - Delfin SC</t>
  </si>
  <si>
    <t>1/Draw No Bet</t>
  </si>
  <si>
    <t>Argentina - Switzerland</t>
  </si>
  <si>
    <t>Asian Handicap2(0.5) - 1st</t>
  </si>
  <si>
    <t>Deportes Valdivia - Deportes Castro</t>
  </si>
  <si>
    <t>Asian Handicap2(28.5) - with OT</t>
  </si>
  <si>
    <t>Fort Wayne - Detroit City</t>
  </si>
  <si>
    <t>St. Louis Cardinals - Atlanta Braves</t>
  </si>
  <si>
    <t>Total Under(1.5) for Team2 - with OT</t>
  </si>
  <si>
    <t>Brandon Royval – Loneer Kavanagh</t>
  </si>
  <si>
    <t xml:space="preserve"> DECICION JUEZ</t>
  </si>
  <si>
    <t>San Antonio FC - Chattanooga Red Wolves SC</t>
  </si>
  <si>
    <t>San Diego Wave FC (W) - Angel City FC (W)</t>
  </si>
  <si>
    <t>Texas Rangers - Houston Astros</t>
  </si>
  <si>
    <t>Total Over(9.5)</t>
  </si>
  <si>
    <t>Nelson Suburbs - Northern AFC</t>
  </si>
  <si>
    <t>Total Over(2.5) for Team1 - regular time</t>
  </si>
  <si>
    <t>Gigantes de Carolina - Bayamon</t>
  </si>
  <si>
    <t>Total Under(153.5) - with OT</t>
  </si>
  <si>
    <t>argentina-suiza</t>
  </si>
  <si>
    <t>1corners regular time</t>
  </si>
  <si>
    <t>San Diego Padres - Toronto Blue Jays</t>
  </si>
  <si>
    <t>Total Under(0.5) - 8th</t>
  </si>
  <si>
    <t xml:space="preserve"> Los Angeles Dodgers - Arizona Diamondbacks</t>
  </si>
  <si>
    <t>Asian Handicap2(-6.5)</t>
  </si>
  <si>
    <t>Mateus Alves - Fons Van Sambeek</t>
  </si>
  <si>
    <t>Incheon United - Anyang FC</t>
  </si>
  <si>
    <t>FA Tartu Kalev – Tallinna JK Legion</t>
  </si>
  <si>
    <t>Hándicap asiático 2 1 1 periodo</t>
  </si>
  <si>
    <t>Greece U20 - Belgium U20</t>
  </si>
  <si>
    <t>Asian Handicap2(13.5) - with OT</t>
  </si>
  <si>
    <t>Hammarby IF - Kalmar FF</t>
  </si>
  <si>
    <t>Vasteras SK - Degerfors IF</t>
  </si>
  <si>
    <t>Elmer Moller - Thomas Faurel</t>
  </si>
  <si>
    <t>Irina Fetecau - Tatiana Pieri</t>
  </si>
  <si>
    <t>Kuzmanov, Dimitar - De Jonge, Daniel</t>
  </si>
  <si>
    <t>Asian Handicap2(3.5) - regular time</t>
  </si>
  <si>
    <t>Matyas Fuele - Leonardo Rossi</t>
  </si>
  <si>
    <t>Margaux Rouvroy - Dalila Jakupovic</t>
  </si>
  <si>
    <t>Mayar Sherif - Jeline Vandromme</t>
  </si>
  <si>
    <t>Amit Vales - Ryan Nijboer</t>
  </si>
  <si>
    <t>Team1 Win - 1 set, 11 game</t>
  </si>
  <si>
    <t>SJK Akatemia 2 - TP-47</t>
  </si>
  <si>
    <t>Under(1.5) - regular time</t>
  </si>
  <si>
    <t>Alex Marti Pujolras - Abel Forger</t>
  </si>
  <si>
    <t>Team2 Win - 1 set, 10 game</t>
  </si>
  <si>
    <t>Gurenko, Volodymyr - Dalmasso, Guillaume</t>
  </si>
  <si>
    <t>Team1 Win - 2 set, 09 game</t>
  </si>
  <si>
    <t>Brommapojkarna - Sirius</t>
  </si>
  <si>
    <t>Asian Handicap2(-3.5) - Corners - regular time</t>
  </si>
  <si>
    <t>Nikola Slavic - Miguel Damas</t>
  </si>
  <si>
    <t xml:space="preserve"> Team1 Win - 2 set, 05 game</t>
  </si>
  <si>
    <t>Valmiera FC - Ogre United</t>
  </si>
  <si>
    <t>under 4</t>
  </si>
  <si>
    <t xml:space="preserve"> Dan Martin - Mikael Arseneault</t>
  </si>
  <si>
    <t>Toronto Tempo Women - New York Liberty Women</t>
  </si>
  <si>
    <t>Total Over(44.5) - 3rd</t>
  </si>
  <si>
    <t>Godoy Cruz - Defensores de Belgrano</t>
  </si>
  <si>
    <t>ASA-AL - Ivinhema - MS</t>
  </si>
  <si>
    <t>Treze PB - CRAC GO</t>
  </si>
  <si>
    <t>Gimnasia Y Tiro - Patronato de Paraná</t>
  </si>
  <si>
    <t>UTC Cajamarca - Asociacion Deportiva Agropecuaria</t>
  </si>
  <si>
    <t>Club Gimnasia Y Esgrima Chivilcoy - Gimnasia y Esgrima De Concepción Del Uruguay</t>
  </si>
  <si>
    <t>Siancha Borlenghi, Agustin - Ivashka, Ilya</t>
  </si>
  <si>
    <t>Team2 Win - 2 set, 01 game</t>
  </si>
  <si>
    <t>Asian Handicap1(-1.5) - with OT</t>
  </si>
  <si>
    <t xml:space="preserve"> Kenta Miyoshi - Bruno Kuzuhara</t>
  </si>
  <si>
    <t>Team2 Win - 1 set, 04 game</t>
  </si>
  <si>
    <t>Kody Pearson - Strong Kirchheimer</t>
  </si>
  <si>
    <t>JyPK (W) - FC Honka (W)</t>
  </si>
  <si>
    <t>Total Under(2) - regular time</t>
  </si>
  <si>
    <t>Dominic Stricker - Jaume Munar</t>
  </si>
  <si>
    <t>Dusan Lajovic - Luca Van Assche</t>
  </si>
  <si>
    <t>Pick: Total Under(8.5) - 1st</t>
  </si>
  <si>
    <t>Edward Winter - Strong Kirchheimer</t>
  </si>
  <si>
    <t>Djurgardens IF - Halmstads BK</t>
  </si>
  <si>
    <t>Lansere, Sofya - Malygina, Elena</t>
  </si>
  <si>
    <t>Mina Hodzic - Harriet Dart</t>
  </si>
  <si>
    <t>Total Under(8.5) - 2nd</t>
  </si>
  <si>
    <t>Clara Burel - Varvara Lepchenko</t>
  </si>
  <si>
    <t>Lajovic, Dusan - Van Assche, Luca</t>
  </si>
  <si>
    <t>Team21Win - 3 set, 02 game</t>
  </si>
  <si>
    <t>Alexandre Muller – Alexander Shevchenko</t>
  </si>
  <si>
    <t xml:space="preserve">Gimnasia y Esgrima de Mendoza Reserves - CA Sarmiento de Junin Reserves
</t>
  </si>
  <si>
    <t>Asian Handicap1(0.0)</t>
  </si>
  <si>
    <t>Gasanova, Anastasia - Bandecchi, Susan</t>
  </si>
  <si>
    <t>tom gentzsch-mika petkovic</t>
  </si>
  <si>
    <t>hynek barton-joao lucas reis da silva</t>
  </si>
  <si>
    <t>Más de 21.5 juegos</t>
  </si>
  <si>
    <t>Movistar KOI Fenix – Barça eSports</t>
  </si>
  <si>
    <t>1 mapa</t>
  </si>
  <si>
    <t>New York Knicks - Detroit Pistons</t>
  </si>
  <si>
    <t>Asian Handicap2(-4.5) - with OT</t>
  </si>
  <si>
    <t>Mona Barthel – Arabella Koller</t>
  </si>
  <si>
    <t>Más de 16.5 juegos</t>
  </si>
  <si>
    <t xml:space="preserve"> Juventud de Bernal - CU Deportivo Provincial Lobos</t>
  </si>
  <si>
    <t>Team2 Win - 1 set, 03 game</t>
  </si>
  <si>
    <t>Inter Club d'Escaldes - Lincoln Red Imps</t>
  </si>
  <si>
    <t>Blaise Bicknell - Kenta Miyoshi</t>
  </si>
  <si>
    <t>Gyori ETO - Vikingur Reykjavik</t>
  </si>
  <si>
    <t>The New Saints - Sabah FK</t>
  </si>
  <si>
    <t>otal Under(8.5) - 1st</t>
  </si>
  <si>
    <t>St Patrick's – Doncaster Rovers</t>
  </si>
  <si>
    <t>Levski Sofia - Borac Banja Luka</t>
  </si>
  <si>
    <t>Asian Handicap1(-4.5) - Corners - regular time</t>
  </si>
  <si>
    <t>Club Atletico Social y Deportivo Camioneros - CSD Liniers</t>
  </si>
  <si>
    <t>Ashley Lahey - Dasha Ivanova</t>
  </si>
  <si>
    <t>Team1 Win - 1 set, 05 game</t>
  </si>
  <si>
    <t>Francesca Pace - Eva Vedder</t>
  </si>
  <si>
    <t>Ekaterina Ovcharenko - Alexandra Vagramov</t>
  </si>
  <si>
    <t>Francia – España</t>
  </si>
  <si>
    <t>Más de 11.5 tiros visitante</t>
  </si>
  <si>
    <t>Sportivo Limpeno - General Caballero JLM</t>
  </si>
  <si>
    <t>Macara - Mushuc Runa</t>
  </si>
  <si>
    <t>Gomez, Federico Agustin - Arnaldi, Matteo</t>
  </si>
  <si>
    <t>Total Over(20.5) - regular time</t>
  </si>
  <si>
    <t>ex-mana - inner circle academy</t>
  </si>
  <si>
    <t>2 mapa</t>
  </si>
  <si>
    <t xml:space="preserve">Resende RJ - Sampaio Correa FE RJ
</t>
  </si>
  <si>
    <t>croacia sub 20- R.checa sub 20</t>
  </si>
  <si>
    <t>total under 147,5</t>
  </si>
  <si>
    <t>Katarina Kuzmova - Alba Rey Garcia</t>
  </si>
  <si>
    <t>Jerald Carroll - Lev Seidman</t>
  </si>
  <si>
    <t>Carroll, Jerald - Seidman, Lev</t>
  </si>
  <si>
    <t>Team1 Win - 1 set, 08 game</t>
  </si>
  <si>
    <t>Rebecca Marino - Mei Yamaguchi</t>
  </si>
  <si>
    <t>Elena Micic - Qinwen Zheng</t>
  </si>
  <si>
    <t>Chloe Noel - Meritxell Teixido Garcia</t>
  </si>
  <si>
    <t>Chicago Sky (W) - Seattle Storm (W)</t>
  </si>
  <si>
    <t>Total Under(172.5) - with OT</t>
  </si>
  <si>
    <t>Anastasiya Kuparev - Kateryna Lazarenko</t>
  </si>
  <si>
    <t>Luxembourg U20 - Ukraine U20</t>
  </si>
  <si>
    <t>Chicago Sky Women - Seattle Storm Women</t>
  </si>
  <si>
    <t>Asian Handicap2(9.5)</t>
  </si>
  <si>
    <t>Slovakia U20 - Ireland Republic U20</t>
  </si>
  <si>
    <t>Total Over(128.5) - with OT</t>
  </si>
  <si>
    <t>Flavio Cobolli - Roman Andres Burruchaga</t>
  </si>
  <si>
    <t>Minnesota Lynx (W) - Los Angeles Sparks (W)</t>
  </si>
  <si>
    <t>Perez Alarcon, Lucciana - Di Genova, Chiara</t>
  </si>
  <si>
    <t>Bassols Ribera, Marina - Rus, Arantxa</t>
  </si>
  <si>
    <t>CD Maxaquene - Vilankulo FC</t>
  </si>
  <si>
    <t>Total Under(1) - regular time</t>
  </si>
  <si>
    <t>Lucciana Perez Alarcon - Carolina Xavier Laydner</t>
  </si>
  <si>
    <t>Rottgering, Mees - Seidman, Lev</t>
  </si>
  <si>
    <t>Team1 Win - 2 set, 01 game</t>
  </si>
  <si>
    <t>Yelimay Semey - Alashkert FC</t>
  </si>
  <si>
    <t>Paide Linnameeskond - FK Hegelmann Litauen</t>
  </si>
  <si>
    <t>Asian Handicap2(0.5)</t>
  </si>
  <si>
    <t xml:space="preserve"> Pyunik Yerevan - Marsaxlokk</t>
  </si>
  <si>
    <t>Asian Handicap2(1.5)</t>
  </si>
  <si>
    <t>Chepelev, Andrey - Fita Juan, Sergi</t>
  </si>
  <si>
    <t xml:space="preserve"> Damir Dzumhur - Matteo Arnaldi</t>
  </si>
  <si>
    <t>Vålerenga - Aalesund</t>
  </si>
  <si>
    <t>Total Under(12.5) - Corners - regular time</t>
  </si>
  <si>
    <t>Milsami - Velez Mostar</t>
  </si>
  <si>
    <t>Omonia Nicosia - Panaitolikos</t>
  </si>
  <si>
    <t>1/dnb</t>
  </si>
  <si>
    <t>Derry City - CSKA Sofia</t>
  </si>
  <si>
    <t>Universitatea Cluj - Dynamo Kyiv</t>
  </si>
  <si>
    <t>Koike, Ena - Kuramochi, Miho</t>
  </si>
  <si>
    <t>Team1 Win - 2 set, 05 game</t>
  </si>
  <si>
    <t xml:space="preserve"> Sileks Kratovo - Dinamo Minsk</t>
  </si>
  <si>
    <t>Team2 Win - to qualify</t>
  </si>
  <si>
    <t>Kylie Collins - Rebecca Marino</t>
  </si>
  <si>
    <t>Team1 Win - 2 set, 05 gam</t>
  </si>
  <si>
    <t>Eslovaquia Sub-20 – Estonia Sub-20</t>
  </si>
  <si>
    <t>2 prórroga</t>
  </si>
  <si>
    <t>FK Mornar - atletic club escaldes</t>
  </si>
  <si>
    <t>Total Over(1.5) - regular time</t>
  </si>
  <si>
    <t>Molcan, Alex - Davidovich Fokina, Alejandro</t>
  </si>
  <si>
    <t>Asian Handicap1(5.5) - regular time</t>
  </si>
  <si>
    <t>Juan Manuel Cerundolo – Casper Ruud</t>
  </si>
  <si>
    <t>Palan, Dominik - Almazan Valiente, Izan</t>
  </si>
  <si>
    <t>Anastasia Zakharova – Tatiana Prozorova</t>
  </si>
  <si>
    <t>Julia Grabher – Jeline Vandromme</t>
  </si>
  <si>
    <t>Más de 20.5 juegos</t>
  </si>
  <si>
    <t xml:space="preserve"> FC Cajamarca – Juan Pablo II</t>
  </si>
  <si>
    <t>Grecia Sub-20 – República Checa Sub-20</t>
  </si>
  <si>
    <t>de 62.5</t>
  </si>
  <si>
    <t>Jan Kumstat - Thijs Boogaard</t>
  </si>
  <si>
    <t>Team2 Win - 2 set, 02 game</t>
  </si>
  <si>
    <t>js hercules - jbk</t>
  </si>
  <si>
    <t>Total Under(2.5) - 1st</t>
  </si>
  <si>
    <t>Hipfl, Nico - Giustino, Lorenzo</t>
  </si>
  <si>
    <t xml:space="preserve"> Team1 Win - 2 set, 09 game</t>
  </si>
  <si>
    <t>Incheon United - Jeonbuk Motors</t>
  </si>
  <si>
    <t>Goldfields Giants - Joondalup Wolves (AUS)</t>
  </si>
  <si>
    <t>Meizhou Hakka - Dalian K'un City</t>
  </si>
  <si>
    <t>Cina, Federico - Michalski, Daniel</t>
  </si>
  <si>
    <t>Asian Handicap2(4.5) - regular time</t>
  </si>
  <si>
    <t>Cardiff Metropolitan - Brackley Town</t>
  </si>
  <si>
    <t>Dalian Yingbo - Shandong Taishan</t>
  </si>
  <si>
    <t>Dalian Zhixing - Shandong Luneng Taishan</t>
  </si>
  <si>
    <t>Legia Warszawa - Pogon Grodzisk Mazowieck</t>
  </si>
  <si>
    <t>Suwon City - Seoul E-Land</t>
  </si>
  <si>
    <t>HamKam - Tromsø</t>
  </si>
  <si>
    <t>Guangxi Hengchen - Shaanxi Union FC</t>
  </si>
  <si>
    <t>Total Over(0.5) for Team1 - regular time</t>
  </si>
  <si>
    <t>Wuhan Three Towns - Shenzhen Peng City FC</t>
  </si>
  <si>
    <t>All Gamers – XLG Esports</t>
  </si>
  <si>
    <t>Tallinna JK Legion – JK Tabasalu</t>
  </si>
  <si>
    <t>Hándicap asiático 1 1 1 periodo</t>
  </si>
  <si>
    <t>Östersunds FK - Landskrona BoIS</t>
  </si>
  <si>
    <t>AIK - GAIS Goteborgv</t>
  </si>
  <si>
    <t>HEROIC – K27</t>
  </si>
  <si>
    <t>1 rondas map3 + prórroga</t>
  </si>
  <si>
    <t>Daniel Mérida – Damir Dzumhur</t>
  </si>
  <si>
    <t>Menos de 22.5 juegos</t>
  </si>
  <si>
    <t>Pendiente</t>
  </si>
  <si>
    <t>Rasheeda McAdoo - Isabella Shinikova</t>
  </si>
  <si>
    <t xml:space="preserve"> Team2 Win - 1 set, 08 game</t>
  </si>
  <si>
    <t>biel-bienne - Kriens</t>
  </si>
  <si>
    <t xml:space="preserve"> Total Under(1.5) - regular time</t>
  </si>
  <si>
    <t>Evolución del Bankroll</t>
  </si>
  <si>
    <t>Drawdown — Picos y Valles</t>
  </si>
  <si>
    <t>EV+ Histórico Acumulado</t>
  </si>
  <si>
    <t>Beneficio por Casa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</si>
</sst>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#,##0.00;\-#,##0.00"/>
    <numFmt numFmtId="165" formatCode="0.0%"/>
    <numFmt numFmtId="166" formatCode="m/d/yyyy"/>
  </numFmts>
  <fonts count="76">
    <font>
      <sz val="11"/>
      <color theme="1"/>
      <name val="Calibri"/>
      <family val="2"/>
      <charset val="1"/>
    </font>
    <font>
      <b/>
      <sz val="16"/>
      <color rgb="FF1F2937"/>
      <name val="Arial"/>
      <charset val="1"/>
    </font>
    <font>
      <i/>
      <sz val="10"/>
      <color rgb="FF6B7280"/>
      <name val="Arial"/>
      <charset val="1"/>
    </font>
    <font>
      <b/>
      <sz val="18"/>
      <color rgb="FF1F2937"/>
      <name val="Arial"/>
      <charset val="1"/>
    </font>
    <font>
      <b/>
      <sz val="18"/>
      <color rgb="FF16A34A"/>
      <name val="Arial"/>
      <charset val="1"/>
    </font>
    <font>
      <b/>
      <sz val="18"/>
      <color rgb="FF2563EB"/>
      <name val="Arial"/>
      <charset val="1"/>
    </font>
    <font>
      <b/>
      <sz val="18"/>
      <color rgb="FFD97706"/>
      <name val="Arial"/>
      <charset val="1"/>
    </font>
    <font>
      <b/>
      <sz val="16"/>
      <color rgb="FF16A34A"/>
      <name val="Cambria"/>
      <charset val="1"/>
    </font>
    <font>
      <b/>
      <sz val="16"/>
      <color rgb="FFDC2626"/>
      <name val="Cambria"/>
      <charset val="1"/>
    </font>
    <font>
      <sz val="9"/>
      <color rgb="FF6B7280"/>
      <name val="Arial"/>
      <charset val="1"/>
    </font>
    <font>
      <sz val="9"/>
      <color rgb="FF94A3B8"/>
      <name val="Cambria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  <font>
      <b/>
      <sz val="11"/>
      <color rgb="FF7B3F00"/>
      <name val="Cambria"/>
      <charset val="1"/>
    </font>
    <font>
      <sz val="10"/>
      <color rgb="FF7B3F00"/>
      <name val="Cambria"/>
      <charset val="1"/>
    </font>
    <font>
      <b/>
      <sz val="11"/>
      <color rgb="FF155724"/>
      <name val="Cambria"/>
      <charset val="1"/>
    </font>
    <font>
      <sz val="10"/>
      <color rgb="FF155724"/>
      <name val="Cambria"/>
      <charset val="1"/>
    </font>
    <font>
      <b/>
      <sz val="11"/>
      <color rgb="FF0C5460"/>
      <name val="Cambria"/>
      <charset val="1"/>
    </font>
    <font>
      <sz val="10"/>
      <color rgb="FF0C5460"/>
      <name val="Cambria"/>
      <charset val="1"/>
    </font>
    <font>
      <b/>
      <sz val="11"/>
      <color rgb="FF4B0082"/>
      <name val="Cambria"/>
      <charset val="1"/>
    </font>
    <font>
      <sz val="10"/>
      <color rgb="FF4B0082"/>
      <name val="Cambria"/>
      <charset val="1"/>
    </font>
    <font>
      <b/>
      <sz val="11"/>
      <color rgb="FF721C24"/>
      <name val="Cambria"/>
      <charset val="1"/>
    </font>
    <font>
      <sz val="10"/>
      <color rgb="FF721C24"/>
      <name val="Cambria"/>
      <charset val="1"/>
    </font>
    <font>
      <b/>
      <sz val="11"/>
      <color rgb="FF856404"/>
      <name val="Cambria"/>
      <charset val="1"/>
    </font>
    <font>
      <sz val="10"/>
      <color rgb="FF856404"/>
      <name val="Cambria"/>
      <charset val="1"/>
    </font>
    <font>
      <b/>
      <sz val="11"/>
      <color rgb="FF491217"/>
      <name val="Cambria"/>
      <charset val="1"/>
    </font>
    <font>
      <sz val="10"/>
      <color rgb="FF491217"/>
      <name val="Cambria"/>
      <charset val="1"/>
    </font>
    <font>
      <b/>
      <sz val="11"/>
      <color rgb="FF1E4620"/>
      <name val="Cambria"/>
      <charset val="1"/>
    </font>
    <font>
      <sz val="10"/>
      <color rgb="FF1E4620"/>
      <name val="Cambria"/>
      <charset val="1"/>
    </font>
    <font>
      <b/>
      <sz val="11"/>
      <color rgb="FF1B5E20"/>
      <name val="Cambria"/>
      <charset val="1"/>
    </font>
    <font>
      <sz val="10"/>
      <color rgb="FF1B5E20"/>
      <name val="Cambria"/>
      <charset val="1"/>
    </font>
    <font>
      <b/>
      <sz val="11"/>
      <color rgb="FF0D47A1"/>
      <name val="Cambria"/>
      <charset val="1"/>
    </font>
    <font>
      <sz val="10"/>
      <color rgb="FF0D47A1"/>
      <name val="Cambria"/>
      <charset val="1"/>
    </font>
    <font>
      <b/>
      <sz val="11"/>
      <color rgb="FFE65100"/>
      <name val="Cambria"/>
      <charset val="1"/>
    </font>
    <font>
      <sz val="10"/>
      <color rgb="FFE65100"/>
      <name val="Cambria"/>
      <charset val="1"/>
    </font>
    <font>
      <b/>
      <sz val="11"/>
      <color rgb="FF880E4F"/>
      <name val="Cambria"/>
      <charset val="1"/>
    </font>
    <font>
      <sz val="10"/>
      <color rgb="FF880E4F"/>
      <name val="Cambria"/>
      <charset val="1"/>
    </font>
    <font>
      <b/>
      <sz val="11"/>
      <name val="Cambria"/>
      <charset val="1"/>
    </font>
    <font>
      <sz val="10"/>
      <name val="Arial"/>
      <charset val="1"/>
    </font>
    <font>
      <i/>
      <sz val="10"/>
      <color rgb="FF64748B"/>
      <name val="Cambria"/>
      <charset val="1"/>
    </font>
    <font>
      <i/>
      <sz val="11"/>
      <color rgb="FF64748B"/>
      <name val="Cambria"/>
      <charset val="1"/>
    </font>
    <font>
      <i/>
      <sz val="9"/>
      <color rgb="FF94A3B8"/>
      <name val="Cambria"/>
      <charset val="1"/>
    </font>
    <font>
      <b/>
      <sz val="10"/>
      <color rgb="FF000000"/>
      <name val="Arial"/>
      <charset val="1"/>
    </font>
    <font>
      <sz val="10"/>
      <color rgb="FF2563EB"/>
      <name val="Arial"/>
      <charset val="1"/>
    </font>
    <font>
      <b/>
      <sz val="10"/>
      <color rgb="FF0C5460"/>
      <name val="Cambria"/>
      <charset val="1"/>
    </font>
    <font>
      <i/>
      <sz val="9"/>
      <color theme="1"/>
      <name val="Calibri"/>
      <charset val="1"/>
    </font>
    <font>
      <b/>
      <sz val="9"/>
      <color theme="1"/>
      <name val="Calibri"/>
      <charset val="1"/>
    </font>
    <font>
      <b/>
      <sz val="10"/>
      <color rgb="FF7B3F00"/>
      <name val="Cambria"/>
      <charset val="1"/>
    </font>
    <font>
      <b/>
      <sz val="9"/>
      <color theme="1"/>
      <name val="Roboto"/>
      <charset val="1"/>
    </font>
    <font>
      <b/>
      <sz val="10"/>
      <color rgb="FF4B0082"/>
      <name val="Cambria"/>
      <charset val="1"/>
    </font>
    <font>
      <b/>
      <sz val="9"/>
      <color theme="1"/>
      <name val="Calibri"/>
      <family val="2"/>
      <charset val="1"/>
    </font>
    <font>
      <b/>
      <sz val="10"/>
      <color rgb="FF155724"/>
      <name val="Cambria"/>
      <charset val="1"/>
    </font>
    <font>
      <i/>
      <sz val="9"/>
      <color theme="1"/>
      <name val="Arial"/>
      <charset val="1"/>
    </font>
    <font>
      <i/>
      <sz val="9"/>
      <color theme="1"/>
      <name val="Montserrat"/>
      <family val="1"/>
      <charset val="1"/>
    </font>
    <font>
      <b/>
      <sz val="9"/>
      <color theme="1"/>
      <name val="Montserrat"/>
      <family val="1"/>
      <charset val="1"/>
    </font>
    <font>
      <b/>
      <sz val="9"/>
      <color theme="1"/>
      <name val="Arial"/>
      <charset val="1"/>
    </font>
    <font>
      <b/>
      <sz val="10"/>
      <color theme="1"/>
      <name val="Arial"/>
      <charset val="1"/>
    </font>
    <font>
      <i/>
      <sz val="9"/>
      <color theme="1"/>
      <name val="Roboto"/>
      <charset val="1"/>
    </font>
    <font>
      <b/>
      <sz val="12"/>
      <color theme="1"/>
      <name val="Roboto"/>
      <charset val="1"/>
    </font>
    <font>
      <i/>
      <sz val="10"/>
      <color theme="1"/>
      <name val="Arial"/>
      <charset val="1"/>
    </font>
    <font>
      <i/>
      <sz val="12"/>
      <color theme="1"/>
      <name val="Roboto"/>
      <charset val="1"/>
    </font>
    <font>
      <b/>
      <sz val="10"/>
      <color rgb="FF856404"/>
      <name val="Cambria"/>
      <charset val="1"/>
    </font>
    <font>
      <b/>
      <sz val="10"/>
      <color rgb="FF721C24"/>
      <name val="Cambria"/>
      <charset val="1"/>
    </font>
    <font>
      <i/>
      <sz val="9"/>
      <color theme="1"/>
      <name val="Calibri"/>
      <family val="2"/>
      <charset val="1"/>
    </font>
    <font>
      <sz val="12"/>
      <color rgb="FF000000"/>
      <name val="Roboto"/>
      <charset val="1"/>
    </font>
    <font>
      <b/>
      <sz val="10"/>
      <color rgb="FF491217"/>
      <name val="Cambria"/>
      <charset val="1"/>
    </font>
    <font>
      <b/>
      <sz val="13"/>
      <color rgb="FF1F2937"/>
      <name val="Cambria"/>
      <charset val="1"/>
    </font>
    <font>
      <u/>
      <sz val="11"/>
      <color theme="10"/>
      <name val="Calibri"/>
      <family val="2"/>
      <charset val="1"/>
    </font>
    <font>
      <sz val="11.3"/>
      <color rgb="FFB3B3B3"/>
      <name val="Supreme"/>
      <charset val="1"/>
    </font>
    <font>
      <i/>
      <sz val="9"/>
      <color rgb="FF2563EB"/>
      <name val="Arial"/>
      <charset val="1"/>
    </font>
    <font>
      <sz val="9"/>
      <color theme="1"/>
      <name val="Arial"/>
      <charset val="1"/>
    </font>
    <font>
      <sz val="10"/>
      <color theme="1"/>
      <name val="Arial"/>
      <charset val="1"/>
    </font>
    <font>
      <sz val="9"/>
      <color rgb="FF000000"/>
      <name val="Calibri"/>
    </font>
    <font>
      <sz val="9"/>
      <color rgb="FF000000"/>
      <name val="Supreme"/>
    </font>
    <font>
      <i/>
      <sz val="11"/>
      <color rgb="FF000000"/>
      <name val="Calibri"/>
    </font>
    <font>
      <sz val="9"/>
      <color theme="1"/>
      <name val="Supreme"/>
      <charset val="1"/>
    </font>
  </fonts>
  <fills count="19">
    <fill>
      <patternFill patternType="none"/>
    </fill>
    <fill>
      <patternFill patternType="gray125"/>
    </fill>
    <fill>
      <patternFill patternType="solid">
        <fgColor rgb="FFF3F4F6"/>
        <bgColor rgb="FFFFFFFF"/>
      </patternFill>
    </fill>
    <fill>
      <patternFill patternType="solid">
        <fgColor rgb="FF1F2937"/>
        <bgColor rgb="FF1E4620"/>
      </patternFill>
    </fill>
    <fill>
      <patternFill patternType="solid">
        <fgColor rgb="FFFFE4B5"/>
        <bgColor rgb="FFFFE0B2"/>
      </patternFill>
    </fill>
    <fill>
      <patternFill patternType="solid">
        <fgColor rgb="FFD4EDDA"/>
        <bgColor rgb="FFD1ECF1"/>
      </patternFill>
    </fill>
    <fill>
      <patternFill patternType="solid">
        <fgColor rgb="FFD1ECF1"/>
        <bgColor rgb="FFDDEBF7"/>
      </patternFill>
    </fill>
    <fill>
      <patternFill patternType="solid">
        <fgColor rgb="FFE2D9F3"/>
        <bgColor rgb="FFD9D2E9"/>
      </patternFill>
    </fill>
    <fill>
      <patternFill patternType="solid">
        <fgColor rgb="FFF8D7DA"/>
        <bgColor rgb="FFFEE2E2"/>
      </patternFill>
    </fill>
    <fill>
      <patternFill patternType="solid">
        <fgColor rgb="FFFFF3CD"/>
        <bgColor rgb="FFFFF2CC"/>
      </patternFill>
    </fill>
    <fill>
      <patternFill patternType="solid">
        <fgColor rgb="FFF5C6CB"/>
        <bgColor rgb="FFF4CCCC"/>
      </patternFill>
    </fill>
    <fill>
      <patternFill patternType="solid">
        <fgColor rgb="FFC3E6CB"/>
        <bgColor rgb="FFC8E6C9"/>
      </patternFill>
    </fill>
    <fill>
      <patternFill patternType="solid">
        <fgColor rgb="FFFFEEBA"/>
        <bgColor rgb="FFFFF2CC"/>
      </patternFill>
    </fill>
    <fill>
      <patternFill patternType="solid">
        <fgColor rgb="FFC8E6C9"/>
        <bgColor rgb="FFC3E6CB"/>
      </patternFill>
    </fill>
    <fill>
      <patternFill patternType="solid">
        <fgColor rgb="FFBBDEFB"/>
        <bgColor rgb="FFBDD7EE"/>
      </patternFill>
    </fill>
    <fill>
      <patternFill patternType="solid">
        <fgColor rgb="FFFFE0B2"/>
        <bgColor rgb="FFFFE4B5"/>
      </patternFill>
    </fill>
    <fill>
      <patternFill patternType="solid">
        <fgColor rgb="FFF8BBD0"/>
        <bgColor rgb="FFF5C6CB"/>
      </patternFill>
    </fill>
    <fill>
      <patternFill patternType="solid">
        <fgColor rgb="FFFFE699"/>
        <bgColor rgb="FFFFEB9C"/>
      </patternFill>
    </fill>
    <fill>
      <patternFill patternType="solid">
        <fgColor rgb="FFE2E8F0"/>
        <bgColor rgb="FFDDEBF7"/>
      </patternFill>
    </fill>
  </fills>
  <borders count="6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67" fillId="0" borderId="0" applyNumberFormat="0" applyFill="0" applyBorder="0" applyAlignment="0" applyProtection="0"/>
  </cellStyleXfs>
  <cellXfs count="191">
    <xf numFmtId="0" fontId="0" fillId="0" borderId="0" xfId="0"/>
    <xf numFmtId="0" fontId="0" fillId="0" borderId="0" xfId="0" applyAlignment="1"/>
    <xf numFmtId="4" fontId="0" fillId="0" borderId="0" xfId="0" applyNumberFormat="1" applyAlignment="1"/>
    <xf numFmtId="0" fontId="11" fillId="0" borderId="0" xfId="0" applyFont="1" applyAlignment="1"/>
    <xf numFmtId="0" fontId="12" fillId="3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/>
    <xf numFmtId="4" fontId="14" fillId="4" borderId="2" xfId="0" applyNumberFormat="1" applyFont="1" applyFill="1" applyBorder="1" applyAlignment="1"/>
    <xf numFmtId="164" fontId="14" fillId="4" borderId="2" xfId="0" applyNumberFormat="1" applyFont="1" applyFill="1" applyBorder="1" applyAlignment="1"/>
    <xf numFmtId="165" fontId="14" fillId="4" borderId="2" xfId="0" applyNumberFormat="1" applyFont="1" applyFill="1" applyBorder="1" applyAlignment="1"/>
    <xf numFmtId="0" fontId="14" fillId="4" borderId="2" xfId="0" applyFont="1" applyFill="1" applyBorder="1" applyAlignment="1">
      <alignment horizontal="center"/>
    </xf>
    <xf numFmtId="0" fontId="14" fillId="4" borderId="2" xfId="0" applyFont="1" applyFill="1" applyBorder="1" applyAlignment="1"/>
    <xf numFmtId="2" fontId="14" fillId="4" borderId="2" xfId="0" applyNumberFormat="1" applyFont="1" applyFill="1" applyBorder="1" applyAlignment="1"/>
    <xf numFmtId="0" fontId="15" fillId="5" borderId="2" xfId="0" applyFont="1" applyFill="1" applyBorder="1" applyAlignment="1"/>
    <xf numFmtId="4" fontId="16" fillId="5" borderId="2" xfId="0" applyNumberFormat="1" applyFont="1" applyFill="1" applyBorder="1" applyAlignment="1"/>
    <xf numFmtId="164" fontId="16" fillId="5" borderId="2" xfId="0" applyNumberFormat="1" applyFont="1" applyFill="1" applyBorder="1" applyAlignment="1"/>
    <xf numFmtId="165" fontId="16" fillId="5" borderId="2" xfId="0" applyNumberFormat="1" applyFont="1" applyFill="1" applyBorder="1" applyAlignment="1"/>
    <xf numFmtId="0" fontId="16" fillId="5" borderId="2" xfId="0" applyFont="1" applyFill="1" applyBorder="1" applyAlignment="1">
      <alignment horizontal="center"/>
    </xf>
    <xf numFmtId="0" fontId="16" fillId="5" borderId="2" xfId="0" applyFont="1" applyFill="1" applyBorder="1" applyAlignment="1"/>
    <xf numFmtId="2" fontId="16" fillId="5" borderId="2" xfId="0" applyNumberFormat="1" applyFont="1" applyFill="1" applyBorder="1" applyAlignment="1"/>
    <xf numFmtId="0" fontId="17" fillId="6" borderId="2" xfId="0" applyFont="1" applyFill="1" applyBorder="1" applyAlignment="1"/>
    <xf numFmtId="4" fontId="18" fillId="6" borderId="2" xfId="0" applyNumberFormat="1" applyFont="1" applyFill="1" applyBorder="1" applyAlignment="1"/>
    <xf numFmtId="164" fontId="18" fillId="6" borderId="2" xfId="0" applyNumberFormat="1" applyFont="1" applyFill="1" applyBorder="1" applyAlignment="1"/>
    <xf numFmtId="165" fontId="18" fillId="6" borderId="2" xfId="0" applyNumberFormat="1" applyFont="1" applyFill="1" applyBorder="1" applyAlignment="1"/>
    <xf numFmtId="0" fontId="18" fillId="6" borderId="2" xfId="0" applyFont="1" applyFill="1" applyBorder="1" applyAlignment="1">
      <alignment horizontal="center"/>
    </xf>
    <xf numFmtId="0" fontId="18" fillId="6" borderId="2" xfId="0" applyFont="1" applyFill="1" applyBorder="1" applyAlignment="1"/>
    <xf numFmtId="2" fontId="18" fillId="6" borderId="2" xfId="0" applyNumberFormat="1" applyFont="1" applyFill="1" applyBorder="1" applyAlignment="1"/>
    <xf numFmtId="0" fontId="19" fillId="7" borderId="2" xfId="0" applyFont="1" applyFill="1" applyBorder="1" applyAlignment="1"/>
    <xf numFmtId="4" fontId="20" fillId="7" borderId="2" xfId="0" applyNumberFormat="1" applyFont="1" applyFill="1" applyBorder="1" applyAlignment="1"/>
    <xf numFmtId="164" fontId="20" fillId="7" borderId="2" xfId="0" applyNumberFormat="1" applyFont="1" applyFill="1" applyBorder="1" applyAlignment="1"/>
    <xf numFmtId="165" fontId="20" fillId="7" borderId="2" xfId="0" applyNumberFormat="1" applyFont="1" applyFill="1" applyBorder="1" applyAlignment="1"/>
    <xf numFmtId="0" fontId="20" fillId="7" borderId="2" xfId="0" applyFont="1" applyFill="1" applyBorder="1" applyAlignment="1">
      <alignment horizontal="center"/>
    </xf>
    <xf numFmtId="0" fontId="20" fillId="7" borderId="2" xfId="0" applyFont="1" applyFill="1" applyBorder="1" applyAlignment="1"/>
    <xf numFmtId="2" fontId="20" fillId="7" borderId="2" xfId="0" applyNumberFormat="1" applyFont="1" applyFill="1" applyBorder="1" applyAlignment="1"/>
    <xf numFmtId="0" fontId="21" fillId="8" borderId="2" xfId="0" applyFont="1" applyFill="1" applyBorder="1" applyAlignment="1"/>
    <xf numFmtId="4" fontId="22" fillId="8" borderId="2" xfId="0" applyNumberFormat="1" applyFont="1" applyFill="1" applyBorder="1" applyAlignment="1"/>
    <xf numFmtId="164" fontId="22" fillId="8" borderId="2" xfId="0" applyNumberFormat="1" applyFont="1" applyFill="1" applyBorder="1" applyAlignment="1"/>
    <xf numFmtId="165" fontId="22" fillId="8" borderId="2" xfId="0" applyNumberFormat="1" applyFont="1" applyFill="1" applyBorder="1" applyAlignment="1"/>
    <xf numFmtId="0" fontId="22" fillId="8" borderId="2" xfId="0" applyFont="1" applyFill="1" applyBorder="1" applyAlignment="1">
      <alignment horizontal="center"/>
    </xf>
    <xf numFmtId="0" fontId="22" fillId="8" borderId="2" xfId="0" applyFont="1" applyFill="1" applyBorder="1" applyAlignment="1"/>
    <xf numFmtId="2" fontId="22" fillId="8" borderId="2" xfId="0" applyNumberFormat="1" applyFont="1" applyFill="1" applyBorder="1" applyAlignment="1"/>
    <xf numFmtId="0" fontId="23" fillId="9" borderId="2" xfId="0" applyFont="1" applyFill="1" applyBorder="1" applyAlignment="1"/>
    <xf numFmtId="4" fontId="24" fillId="9" borderId="2" xfId="0" applyNumberFormat="1" applyFont="1" applyFill="1" applyBorder="1" applyAlignment="1"/>
    <xf numFmtId="164" fontId="24" fillId="9" borderId="2" xfId="0" applyNumberFormat="1" applyFont="1" applyFill="1" applyBorder="1" applyAlignment="1"/>
    <xf numFmtId="165" fontId="24" fillId="9" borderId="2" xfId="0" applyNumberFormat="1" applyFont="1" applyFill="1" applyBorder="1" applyAlignment="1"/>
    <xf numFmtId="0" fontId="24" fillId="9" borderId="2" xfId="0" applyFont="1" applyFill="1" applyBorder="1" applyAlignment="1">
      <alignment horizontal="center"/>
    </xf>
    <xf numFmtId="0" fontId="24" fillId="9" borderId="2" xfId="0" applyFont="1" applyFill="1" applyBorder="1" applyAlignment="1"/>
    <xf numFmtId="2" fontId="24" fillId="9" borderId="2" xfId="0" applyNumberFormat="1" applyFont="1" applyFill="1" applyBorder="1" applyAlignment="1"/>
    <xf numFmtId="0" fontId="25" fillId="10" borderId="2" xfId="0" applyFont="1" applyFill="1" applyBorder="1" applyAlignment="1"/>
    <xf numFmtId="4" fontId="26" fillId="10" borderId="2" xfId="0" applyNumberFormat="1" applyFont="1" applyFill="1" applyBorder="1" applyAlignment="1"/>
    <xf numFmtId="164" fontId="26" fillId="10" borderId="2" xfId="0" applyNumberFormat="1" applyFont="1" applyFill="1" applyBorder="1" applyAlignment="1"/>
    <xf numFmtId="165" fontId="26" fillId="10" borderId="2" xfId="0" applyNumberFormat="1" applyFont="1" applyFill="1" applyBorder="1" applyAlignment="1"/>
    <xf numFmtId="0" fontId="26" fillId="10" borderId="2" xfId="0" applyFont="1" applyFill="1" applyBorder="1" applyAlignment="1">
      <alignment horizontal="center"/>
    </xf>
    <xf numFmtId="0" fontId="26" fillId="10" borderId="2" xfId="0" applyFont="1" applyFill="1" applyBorder="1" applyAlignment="1"/>
    <xf numFmtId="2" fontId="26" fillId="10" borderId="2" xfId="0" applyNumberFormat="1" applyFont="1" applyFill="1" applyBorder="1" applyAlignment="1"/>
    <xf numFmtId="0" fontId="27" fillId="11" borderId="2" xfId="0" applyFont="1" applyFill="1" applyBorder="1" applyAlignment="1"/>
    <xf numFmtId="4" fontId="28" fillId="11" borderId="2" xfId="0" applyNumberFormat="1" applyFont="1" applyFill="1" applyBorder="1" applyAlignment="1"/>
    <xf numFmtId="164" fontId="28" fillId="11" borderId="2" xfId="0" applyNumberFormat="1" applyFont="1" applyFill="1" applyBorder="1" applyAlignment="1"/>
    <xf numFmtId="165" fontId="28" fillId="11" borderId="2" xfId="0" applyNumberFormat="1" applyFont="1" applyFill="1" applyBorder="1" applyAlignment="1"/>
    <xf numFmtId="0" fontId="28" fillId="11" borderId="2" xfId="0" applyFont="1" applyFill="1" applyBorder="1" applyAlignment="1">
      <alignment horizontal="center"/>
    </xf>
    <xf numFmtId="0" fontId="28" fillId="11" borderId="2" xfId="0" applyFont="1" applyFill="1" applyBorder="1" applyAlignment="1"/>
    <xf numFmtId="2" fontId="28" fillId="11" borderId="2" xfId="0" applyNumberFormat="1" applyFont="1" applyFill="1" applyBorder="1" applyAlignment="1"/>
    <xf numFmtId="0" fontId="23" fillId="12" borderId="2" xfId="0" applyFont="1" applyFill="1" applyBorder="1" applyAlignment="1"/>
    <xf numFmtId="4" fontId="24" fillId="12" borderId="2" xfId="0" applyNumberFormat="1" applyFont="1" applyFill="1" applyBorder="1" applyAlignment="1"/>
    <xf numFmtId="164" fontId="24" fillId="12" borderId="2" xfId="0" applyNumberFormat="1" applyFont="1" applyFill="1" applyBorder="1" applyAlignment="1"/>
    <xf numFmtId="165" fontId="24" fillId="12" borderId="2" xfId="0" applyNumberFormat="1" applyFont="1" applyFill="1" applyBorder="1" applyAlignment="1"/>
    <xf numFmtId="0" fontId="24" fillId="12" borderId="2" xfId="0" applyFont="1" applyFill="1" applyBorder="1" applyAlignment="1">
      <alignment horizontal="center"/>
    </xf>
    <xf numFmtId="0" fontId="24" fillId="12" borderId="2" xfId="0" applyFont="1" applyFill="1" applyBorder="1" applyAlignment="1"/>
    <xf numFmtId="2" fontId="24" fillId="12" borderId="2" xfId="0" applyNumberFormat="1" applyFont="1" applyFill="1" applyBorder="1" applyAlignment="1"/>
    <xf numFmtId="0" fontId="29" fillId="13" borderId="2" xfId="0" applyFont="1" applyFill="1" applyBorder="1" applyAlignment="1"/>
    <xf numFmtId="4" fontId="30" fillId="13" borderId="2" xfId="0" applyNumberFormat="1" applyFont="1" applyFill="1" applyBorder="1" applyAlignment="1"/>
    <xf numFmtId="164" fontId="30" fillId="13" borderId="2" xfId="0" applyNumberFormat="1" applyFont="1" applyFill="1" applyBorder="1" applyAlignment="1"/>
    <xf numFmtId="165" fontId="30" fillId="13" borderId="2" xfId="0" applyNumberFormat="1" applyFont="1" applyFill="1" applyBorder="1" applyAlignment="1"/>
    <xf numFmtId="0" fontId="30" fillId="13" borderId="2" xfId="0" applyFont="1" applyFill="1" applyBorder="1" applyAlignment="1">
      <alignment horizontal="center"/>
    </xf>
    <xf numFmtId="0" fontId="30" fillId="13" borderId="2" xfId="0" applyFont="1" applyFill="1" applyBorder="1" applyAlignment="1"/>
    <xf numFmtId="2" fontId="30" fillId="13" borderId="2" xfId="0" applyNumberFormat="1" applyFont="1" applyFill="1" applyBorder="1" applyAlignment="1"/>
    <xf numFmtId="0" fontId="31" fillId="14" borderId="2" xfId="0" applyFont="1" applyFill="1" applyBorder="1" applyAlignment="1"/>
    <xf numFmtId="4" fontId="32" fillId="14" borderId="2" xfId="0" applyNumberFormat="1" applyFont="1" applyFill="1" applyBorder="1" applyAlignment="1"/>
    <xf numFmtId="164" fontId="32" fillId="14" borderId="2" xfId="0" applyNumberFormat="1" applyFont="1" applyFill="1" applyBorder="1" applyAlignment="1"/>
    <xf numFmtId="165" fontId="32" fillId="14" borderId="2" xfId="0" applyNumberFormat="1" applyFont="1" applyFill="1" applyBorder="1" applyAlignment="1"/>
    <xf numFmtId="0" fontId="32" fillId="14" borderId="2" xfId="0" applyFont="1" applyFill="1" applyBorder="1" applyAlignment="1">
      <alignment horizontal="center"/>
    </xf>
    <xf numFmtId="0" fontId="32" fillId="14" borderId="2" xfId="0" applyFont="1" applyFill="1" applyBorder="1" applyAlignment="1"/>
    <xf numFmtId="2" fontId="32" fillId="14" borderId="2" xfId="0" applyNumberFormat="1" applyFont="1" applyFill="1" applyBorder="1" applyAlignment="1"/>
    <xf numFmtId="0" fontId="33" fillId="15" borderId="2" xfId="0" applyFont="1" applyFill="1" applyBorder="1" applyAlignment="1"/>
    <xf numFmtId="4" fontId="34" fillId="15" borderId="2" xfId="0" applyNumberFormat="1" applyFont="1" applyFill="1" applyBorder="1" applyAlignment="1"/>
    <xf numFmtId="164" fontId="34" fillId="15" borderId="2" xfId="0" applyNumberFormat="1" applyFont="1" applyFill="1" applyBorder="1" applyAlignment="1"/>
    <xf numFmtId="165" fontId="34" fillId="15" borderId="2" xfId="0" applyNumberFormat="1" applyFont="1" applyFill="1" applyBorder="1" applyAlignment="1"/>
    <xf numFmtId="0" fontId="34" fillId="15" borderId="2" xfId="0" applyFont="1" applyFill="1" applyBorder="1" applyAlignment="1">
      <alignment horizontal="center"/>
    </xf>
    <xf numFmtId="0" fontId="34" fillId="15" borderId="2" xfId="0" applyFont="1" applyFill="1" applyBorder="1" applyAlignment="1"/>
    <xf numFmtId="2" fontId="34" fillId="15" borderId="2" xfId="0" applyNumberFormat="1" applyFont="1" applyFill="1" applyBorder="1" applyAlignment="1"/>
    <xf numFmtId="0" fontId="35" fillId="16" borderId="2" xfId="0" applyFont="1" applyFill="1" applyBorder="1" applyAlignment="1"/>
    <xf numFmtId="4" fontId="36" fillId="16" borderId="2" xfId="0" applyNumberFormat="1" applyFont="1" applyFill="1" applyBorder="1" applyAlignment="1"/>
    <xf numFmtId="164" fontId="36" fillId="16" borderId="2" xfId="0" applyNumberFormat="1" applyFont="1" applyFill="1" applyBorder="1" applyAlignment="1"/>
    <xf numFmtId="165" fontId="36" fillId="16" borderId="2" xfId="0" applyNumberFormat="1" applyFont="1" applyFill="1" applyBorder="1" applyAlignment="1"/>
    <xf numFmtId="0" fontId="36" fillId="16" borderId="2" xfId="0" applyFont="1" applyFill="1" applyBorder="1" applyAlignment="1">
      <alignment horizontal="center"/>
    </xf>
    <xf numFmtId="0" fontId="36" fillId="16" borderId="2" xfId="0" applyFont="1" applyFill="1" applyBorder="1" applyAlignment="1"/>
    <xf numFmtId="2" fontId="36" fillId="16" borderId="2" xfId="0" applyNumberFormat="1" applyFont="1" applyFill="1" applyBorder="1" applyAlignment="1"/>
    <xf numFmtId="0" fontId="37" fillId="17" borderId="2" xfId="0" applyFont="1" applyFill="1" applyBorder="1" applyAlignment="1"/>
    <xf numFmtId="4" fontId="38" fillId="0" borderId="2" xfId="0" applyNumberFormat="1" applyFont="1" applyBorder="1" applyAlignment="1"/>
    <xf numFmtId="164" fontId="38" fillId="0" borderId="2" xfId="0" applyNumberFormat="1" applyFont="1" applyBorder="1" applyAlignment="1"/>
    <xf numFmtId="165" fontId="38" fillId="0" borderId="2" xfId="0" applyNumberFormat="1" applyFont="1" applyBorder="1" applyAlignment="1"/>
    <xf numFmtId="0" fontId="38" fillId="0" borderId="2" xfId="0" applyFont="1" applyBorder="1" applyAlignment="1">
      <alignment horizontal="center"/>
    </xf>
    <xf numFmtId="0" fontId="38" fillId="0" borderId="2" xfId="0" applyFont="1" applyBorder="1" applyAlignment="1"/>
    <xf numFmtId="2" fontId="38" fillId="0" borderId="2" xfId="0" applyNumberFormat="1" applyFont="1" applyBorder="1" applyAlignment="1"/>
    <xf numFmtId="0" fontId="39" fillId="0" borderId="0" xfId="0" applyFont="1" applyAlignment="1"/>
    <xf numFmtId="4" fontId="40" fillId="0" borderId="0" xfId="0" applyNumberFormat="1" applyFont="1" applyAlignment="1"/>
    <xf numFmtId="0" fontId="41" fillId="0" borderId="0" xfId="0" applyFont="1" applyAlignment="1"/>
    <xf numFmtId="0" fontId="0" fillId="0" borderId="0" xfId="0" applyFont="1" applyAlignment="1"/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42" fillId="3" borderId="4" xfId="0" applyFont="1" applyFill="1" applyBorder="1" applyAlignment="1">
      <alignment horizontal="center" vertical="center" wrapText="1"/>
    </xf>
    <xf numFmtId="14" fontId="43" fillId="0" borderId="5" xfId="0" applyNumberFormat="1" applyFont="1" applyBorder="1" applyAlignment="1"/>
    <xf numFmtId="0" fontId="44" fillId="6" borderId="2" xfId="0" applyFont="1" applyFill="1" applyBorder="1" applyAlignment="1"/>
    <xf numFmtId="0" fontId="45" fillId="0" borderId="2" xfId="0" applyFont="1" applyBorder="1" applyAlignment="1"/>
    <xf numFmtId="0" fontId="43" fillId="0" borderId="2" xfId="0" applyFont="1" applyBorder="1" applyAlignment="1"/>
    <xf numFmtId="0" fontId="46" fillId="0" borderId="0" xfId="0" applyFont="1" applyAlignment="1">
      <alignment wrapText="1"/>
    </xf>
    <xf numFmtId="2" fontId="43" fillId="0" borderId="2" xfId="0" applyNumberFormat="1" applyFont="1" applyBorder="1" applyAlignment="1"/>
    <xf numFmtId="4" fontId="43" fillId="0" borderId="2" xfId="0" applyNumberFormat="1" applyFont="1" applyBorder="1" applyAlignment="1"/>
    <xf numFmtId="164" fontId="43" fillId="0" borderId="2" xfId="0" applyNumberFormat="1" applyFont="1" applyBorder="1" applyAlignment="1">
      <alignment horizontal="center"/>
    </xf>
    <xf numFmtId="4" fontId="43" fillId="0" borderId="2" xfId="0" applyNumberFormat="1" applyFont="1" applyBorder="1" applyAlignment="1">
      <alignment horizontal="center"/>
    </xf>
    <xf numFmtId="165" fontId="43" fillId="0" borderId="2" xfId="0" applyNumberFormat="1" applyFont="1" applyBorder="1" applyAlignment="1">
      <alignment horizontal="center"/>
    </xf>
    <xf numFmtId="0" fontId="43" fillId="0" borderId="2" xfId="0" applyFont="1" applyBorder="1" applyAlignment="1">
      <alignment horizontal="center"/>
    </xf>
    <xf numFmtId="0" fontId="45" fillId="0" borderId="0" xfId="0" applyFont="1" applyAlignment="1"/>
    <xf numFmtId="0" fontId="46" fillId="0" borderId="2" xfId="0" applyFont="1" applyBorder="1" applyAlignment="1">
      <alignment wrapText="1"/>
    </xf>
    <xf numFmtId="0" fontId="46" fillId="0" borderId="0" xfId="0" applyFont="1" applyAlignment="1"/>
    <xf numFmtId="0" fontId="47" fillId="4" borderId="2" xfId="0" applyFont="1" applyFill="1" applyBorder="1" applyAlignment="1"/>
    <xf numFmtId="0" fontId="46" fillId="0" borderId="2" xfId="0" applyFont="1" applyBorder="1" applyAlignment="1"/>
    <xf numFmtId="0" fontId="45" fillId="0" borderId="0" xfId="0" applyFont="1" applyAlignment="1">
      <alignment wrapText="1"/>
    </xf>
    <xf numFmtId="0" fontId="45" fillId="0" borderId="2" xfId="0" applyFont="1" applyBorder="1" applyAlignment="1">
      <alignment wrapText="1"/>
    </xf>
    <xf numFmtId="0" fontId="48" fillId="0" borderId="0" xfId="0" applyFont="1" applyAlignment="1"/>
    <xf numFmtId="0" fontId="49" fillId="7" borderId="2" xfId="0" applyFont="1" applyFill="1" applyBorder="1" applyAlignment="1"/>
    <xf numFmtId="0" fontId="50" fillId="0" borderId="0" xfId="0" applyFont="1" applyAlignment="1"/>
    <xf numFmtId="0" fontId="50" fillId="0" borderId="0" xfId="0" applyFont="1" applyAlignment="1">
      <alignment wrapText="1"/>
    </xf>
    <xf numFmtId="0" fontId="51" fillId="5" borderId="2" xfId="0" applyFont="1" applyFill="1" applyBorder="1" applyAlignment="1"/>
    <xf numFmtId="0" fontId="52" fillId="0" borderId="2" xfId="0" applyFont="1" applyBorder="1" applyAlignment="1"/>
    <xf numFmtId="0" fontId="53" fillId="0" borderId="0" xfId="0" applyFont="1" applyAlignment="1">
      <alignment wrapText="1"/>
    </xf>
    <xf numFmtId="0" fontId="54" fillId="0" borderId="0" xfId="0" applyFont="1" applyAlignment="1">
      <alignment wrapText="1"/>
    </xf>
    <xf numFmtId="0" fontId="52" fillId="0" borderId="2" xfId="0" applyFont="1" applyBorder="1" applyAlignment="1">
      <alignment wrapText="1"/>
    </xf>
    <xf numFmtId="0" fontId="55" fillId="0" borderId="2" xfId="0" applyFont="1" applyBorder="1" applyAlignment="1"/>
    <xf numFmtId="0" fontId="55" fillId="0" borderId="2" xfId="0" applyFont="1" applyBorder="1" applyAlignment="1">
      <alignment wrapText="1"/>
    </xf>
    <xf numFmtId="0" fontId="56" fillId="0" borderId="2" xfId="0" applyFont="1" applyBorder="1" applyAlignment="1"/>
    <xf numFmtId="0" fontId="57" fillId="0" borderId="0" xfId="0" applyFont="1" applyAlignment="1">
      <alignment wrapText="1"/>
    </xf>
    <xf numFmtId="0" fontId="57" fillId="0" borderId="0" xfId="0" applyFont="1" applyAlignment="1"/>
    <xf numFmtId="0" fontId="58" fillId="0" borderId="0" xfId="0" applyFont="1" applyAlignment="1">
      <alignment wrapText="1"/>
    </xf>
    <xf numFmtId="0" fontId="56" fillId="0" borderId="2" xfId="0" applyFont="1" applyBorder="1" applyAlignment="1">
      <alignment wrapText="1"/>
    </xf>
    <xf numFmtId="0" fontId="59" fillId="0" borderId="2" xfId="0" applyFont="1" applyBorder="1" applyAlignment="1">
      <alignment wrapText="1"/>
    </xf>
    <xf numFmtId="0" fontId="59" fillId="0" borderId="2" xfId="0" applyFont="1" applyBorder="1" applyAlignment="1"/>
    <xf numFmtId="0" fontId="58" fillId="0" borderId="0" xfId="0" applyFont="1" applyAlignment="1"/>
    <xf numFmtId="0" fontId="60" fillId="0" borderId="0" xfId="0" applyFont="1" applyAlignment="1"/>
    <xf numFmtId="0" fontId="61" fillId="12" borderId="2" xfId="0" applyFont="1" applyFill="1" applyBorder="1" applyAlignment="1"/>
    <xf numFmtId="0" fontId="60" fillId="0" borderId="0" xfId="0" applyFont="1" applyAlignment="1">
      <alignment wrapText="1"/>
    </xf>
    <xf numFmtId="0" fontId="61" fillId="9" borderId="2" xfId="0" applyFont="1" applyFill="1" applyBorder="1" applyAlignment="1"/>
    <xf numFmtId="0" fontId="48" fillId="0" borderId="0" xfId="0" applyFont="1" applyAlignment="1">
      <alignment wrapText="1"/>
    </xf>
    <xf numFmtId="0" fontId="62" fillId="8" borderId="2" xfId="0" applyFont="1" applyFill="1" applyBorder="1" applyAlignment="1"/>
    <xf numFmtId="0" fontId="52" fillId="0" borderId="0" xfId="0" applyFont="1" applyAlignment="1">
      <alignment wrapText="1"/>
    </xf>
    <xf numFmtId="0" fontId="63" fillId="0" borderId="0" xfId="0" applyFont="1" applyAlignment="1"/>
    <xf numFmtId="0" fontId="64" fillId="0" borderId="0" xfId="0" applyFont="1" applyAlignment="1">
      <alignment wrapText="1"/>
    </xf>
    <xf numFmtId="0" fontId="63" fillId="0" borderId="0" xfId="0" applyFont="1" applyAlignment="1">
      <alignment wrapText="1"/>
    </xf>
    <xf numFmtId="0" fontId="43" fillId="0" borderId="2" xfId="0" applyFont="1" applyBorder="1" applyAlignment="1">
      <alignment wrapText="1"/>
    </xf>
    <xf numFmtId="0" fontId="0" fillId="0" borderId="0" xfId="0" applyFont="1" applyAlignment="1">
      <alignment wrapText="1"/>
    </xf>
    <xf numFmtId="0" fontId="65" fillId="10" borderId="2" xfId="0" applyFont="1" applyFill="1" applyBorder="1" applyAlignment="1"/>
    <xf numFmtId="0" fontId="65" fillId="10" borderId="2" xfId="0" applyFont="1" applyFill="1" applyBorder="1" applyAlignment="1">
      <alignment wrapText="1"/>
    </xf>
    <xf numFmtId="0" fontId="47" fillId="4" borderId="2" xfId="0" applyFont="1" applyFill="1" applyBorder="1" applyAlignment="1">
      <alignment wrapText="1"/>
    </xf>
    <xf numFmtId="0" fontId="61" fillId="9" borderId="2" xfId="0" applyFont="1" applyFill="1" applyBorder="1" applyAlignment="1">
      <alignment wrapText="1"/>
    </xf>
    <xf numFmtId="166" fontId="43" fillId="0" borderId="5" xfId="0" applyNumberFormat="1" applyFont="1" applyBorder="1" applyAlignment="1"/>
    <xf numFmtId="0" fontId="66" fillId="18" borderId="0" xfId="0" applyFont="1" applyFill="1" applyAlignment="1">
      <alignment vertical="center" indent="1"/>
    </xf>
    <xf numFmtId="14" fontId="0" fillId="0" borderId="0" xfId="0" applyNumberFormat="1" applyAlignment="1"/>
    <xf numFmtId="0" fontId="68" fillId="0" borderId="0" xfId="0" applyFont="1" applyBorder="1" applyAlignment="1">
      <alignment wrapText="1"/>
    </xf>
    <xf numFmtId="0" fontId="69" fillId="0" borderId="2" xfId="0" applyFont="1" applyBorder="1" applyAlignment="1"/>
    <xf numFmtId="0" fontId="63" fillId="0" borderId="0" xfId="0" applyFont="1"/>
    <xf numFmtId="0" fontId="70" fillId="0" borderId="2" xfId="0" applyFont="1" applyBorder="1" applyAlignment="1"/>
    <xf numFmtId="0" fontId="70" fillId="0" borderId="2" xfId="0" applyFont="1" applyBorder="1" applyAlignment="1">
      <alignment wrapText="1"/>
    </xf>
    <xf numFmtId="0" fontId="71" fillId="0" borderId="2" xfId="0" applyFont="1" applyBorder="1" applyAlignment="1">
      <alignment wrapText="1"/>
    </xf>
    <xf numFmtId="14" fontId="71" fillId="0" borderId="5" xfId="0" applyNumberFormat="1" applyFont="1" applyBorder="1" applyAlignment="1">
      <alignment wrapText="1"/>
    </xf>
    <xf numFmtId="0" fontId="72" fillId="0" borderId="0" xfId="1" applyFont="1" applyBorder="1" applyAlignment="1">
      <alignment wrapText="1"/>
    </xf>
    <xf numFmtId="0" fontId="73" fillId="0" borderId="0" xfId="0" applyFont="1" applyBorder="1" applyAlignment="1">
      <alignment wrapText="1"/>
    </xf>
    <xf numFmtId="0" fontId="74" fillId="0" borderId="0" xfId="1" applyFont="1" applyBorder="1" applyAlignment="1">
      <alignment wrapText="1"/>
    </xf>
    <xf numFmtId="0" fontId="0" fillId="0" borderId="0" xfId="0" applyAlignment="1">
      <alignment wrapText="1"/>
    </xf>
    <xf numFmtId="0" fontId="75" fillId="0" borderId="0" xfId="0" applyFont="1" applyBorder="1" applyAlignment="1">
      <alignment wrapText="1"/>
    </xf>
    <xf numFmtId="0" fontId="1" fillId="0" borderId="0" xfId="0" applyFont="1" applyBorder="1" applyAlignment="1"/>
    <xf numFmtId="0" fontId="2" fillId="0" borderId="0" xfId="0" applyFont="1" applyBorder="1" applyAlignment="1"/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2" fontId="3" fillId="2" borderId="0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10" fontId="7" fillId="2" borderId="0" xfId="0" applyNumberFormat="1" applyFont="1" applyFill="1" applyBorder="1" applyAlignment="1">
      <alignment horizontal="center" vertical="center"/>
    </xf>
    <xf numFmtId="10" fontId="8" fillId="2" borderId="0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95">
    <dxf>
      <font>
        <b/>
        <color rgb="FF9A3412"/>
        <name val="Arial"/>
        <charset val="1"/>
      </font>
      <fill>
        <patternFill>
          <bgColor rgb="FFFED7AA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b/>
        <color rgb="FF525252"/>
      </font>
      <fill>
        <patternFill>
          <bgColor rgb="FFD9D9D9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DC2626"/>
        <name val="Arial"/>
        <charset val="1"/>
      </font>
    </dxf>
    <dxf>
      <font>
        <color rgb="FF16A34A"/>
        <name val="Arial"/>
        <charset val="1"/>
      </font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ont>
        <b/>
        <sz val="10"/>
        <color rgb="FF880E4F"/>
      </font>
      <fill>
        <patternFill>
          <bgColor rgb="FFF8BBD0"/>
        </patternFill>
      </fill>
    </dxf>
    <dxf>
      <font>
        <b/>
        <sz val="10"/>
        <color rgb="FFE65100"/>
      </font>
      <fill>
        <patternFill>
          <bgColor rgb="FFFFE0B2"/>
        </patternFill>
      </fill>
    </dxf>
    <dxf>
      <font>
        <b/>
        <sz val="10"/>
        <color rgb="FF0D47A1"/>
      </font>
      <fill>
        <patternFill>
          <bgColor rgb="FFBBDEFB"/>
        </patternFill>
      </fill>
    </dxf>
    <dxf>
      <font>
        <b/>
        <sz val="10"/>
        <color rgb="FF1B5E20"/>
      </font>
      <fill>
        <patternFill>
          <bgColor rgb="FFC8E6C9"/>
        </patternFill>
      </fill>
    </dxf>
    <dxf>
      <font>
        <b/>
        <sz val="10"/>
        <color rgb="FF856404"/>
      </font>
      <fill>
        <patternFill>
          <bgColor rgb="FFFFEEBA"/>
        </patternFill>
      </fill>
    </dxf>
    <dxf>
      <font>
        <b/>
        <sz val="10"/>
        <color rgb="FF1E4620"/>
      </font>
      <fill>
        <patternFill>
          <bgColor rgb="FFC3E6CB"/>
        </patternFill>
      </fill>
    </dxf>
    <dxf>
      <font>
        <b/>
        <sz val="10"/>
        <color rgb="FF491217"/>
      </font>
      <fill>
        <patternFill>
          <bgColor rgb="FFF5C6CB"/>
        </patternFill>
      </fill>
    </dxf>
    <dxf>
      <font>
        <b/>
        <sz val="10"/>
        <color rgb="FF856404"/>
      </font>
      <fill>
        <patternFill>
          <bgColor rgb="FFFFF3CD"/>
        </patternFill>
      </fill>
    </dxf>
    <dxf>
      <font>
        <b/>
        <sz val="10"/>
        <color rgb="FF721C24"/>
      </font>
      <fill>
        <patternFill>
          <bgColor rgb="FFF8D7DA"/>
        </patternFill>
      </fill>
    </dxf>
    <dxf>
      <font>
        <b/>
        <sz val="10"/>
        <color rgb="FF4B0082"/>
      </font>
      <fill>
        <patternFill>
          <bgColor rgb="FFE2D9F3"/>
        </patternFill>
      </fill>
    </dxf>
    <dxf>
      <font>
        <b/>
        <sz val="10"/>
        <color rgb="FF0C5460"/>
      </font>
      <fill>
        <patternFill>
          <bgColor rgb="FFD1ECF1"/>
        </patternFill>
      </fill>
    </dxf>
    <dxf>
      <font>
        <b/>
        <sz val="10"/>
        <color rgb="FF155724"/>
      </font>
      <fill>
        <patternFill>
          <bgColor rgb="FFD4EDDA"/>
        </patternFill>
      </fill>
    </dxf>
    <dxf>
      <font>
        <b/>
        <sz val="10"/>
        <color rgb="FF7B3F00"/>
      </font>
      <fill>
        <patternFill>
          <bgColor rgb="FFFFE4B5"/>
        </patternFill>
      </fill>
    </dxf>
    <dxf>
      <fill>
        <patternFill>
          <bgColor rgb="FFA2C4C9"/>
        </patternFill>
      </fill>
    </dxf>
    <dxf>
      <fill>
        <patternFill>
          <bgColor rgb="FFD5A6BD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A9D08E"/>
        </patternFill>
      </fill>
    </dxf>
    <dxf>
      <fill>
        <patternFill>
          <bgColor rgb="FFD9D2E9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FFE699"/>
        </patternFill>
      </fill>
    </dxf>
    <dxf>
      <fill>
        <patternFill>
          <bgColor rgb="FFA2C4C9"/>
        </patternFill>
      </fill>
    </dxf>
    <dxf>
      <fill>
        <patternFill>
          <bgColor rgb="FFA2C4C9"/>
        </patternFill>
      </fill>
    </dxf>
    <dxf>
      <fill>
        <patternFill>
          <bgColor rgb="FFD5A6BD"/>
        </patternFill>
      </fill>
    </dxf>
    <dxf>
      <fill>
        <patternFill>
          <bgColor rgb="FFD5A6BD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A9D08E"/>
        </patternFill>
      </fill>
    </dxf>
    <dxf>
      <fill>
        <patternFill>
          <bgColor rgb="FFA9D08E"/>
        </patternFill>
      </fill>
    </dxf>
    <dxf>
      <fill>
        <patternFill>
          <bgColor rgb="FFD9D2E9"/>
        </patternFill>
      </fill>
    </dxf>
    <dxf>
      <fill>
        <patternFill>
          <bgColor rgb="FFD9D2E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A2C4C9"/>
        </patternFill>
      </fill>
    </dxf>
    <dxf>
      <fill>
        <patternFill>
          <bgColor rgb="FFD5A6BD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A9D08E"/>
        </patternFill>
      </fill>
    </dxf>
    <dxf>
      <fill>
        <patternFill>
          <bgColor rgb="FFD9D2E9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FFE699"/>
        </patternFill>
      </fill>
    </dxf>
    <dxf>
      <fill>
        <patternFill>
          <bgColor rgb="FFA2C4C9"/>
        </patternFill>
      </fill>
    </dxf>
    <dxf>
      <fill>
        <patternFill>
          <bgColor rgb="FFA2C4C9"/>
        </patternFill>
      </fill>
    </dxf>
    <dxf>
      <fill>
        <patternFill>
          <bgColor rgb="FFD5A6BD"/>
        </patternFill>
      </fill>
    </dxf>
    <dxf>
      <fill>
        <patternFill>
          <bgColor rgb="FFD5A6BD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A9D08E"/>
        </patternFill>
      </fill>
    </dxf>
    <dxf>
      <fill>
        <patternFill>
          <bgColor rgb="FFA9D08E"/>
        </patternFill>
      </fill>
    </dxf>
    <dxf>
      <fill>
        <patternFill>
          <bgColor rgb="FFD9D2E9"/>
        </patternFill>
      </fill>
    </dxf>
    <dxf>
      <fill>
        <patternFill>
          <bgColor rgb="FFD9D2E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ont>
        <b/>
        <sz val="10"/>
        <color rgb="FF880E4F"/>
      </font>
      <fill>
        <patternFill>
          <bgColor rgb="FFF8BBD0"/>
        </patternFill>
      </fill>
    </dxf>
    <dxf>
      <font>
        <b/>
        <sz val="10"/>
        <color rgb="FFE65100"/>
      </font>
      <fill>
        <patternFill>
          <bgColor rgb="FFFFE0B2"/>
        </patternFill>
      </fill>
    </dxf>
    <dxf>
      <font>
        <b/>
        <sz val="10"/>
        <color rgb="FF0D47A1"/>
      </font>
      <fill>
        <patternFill>
          <bgColor rgb="FFBBDEFB"/>
        </patternFill>
      </fill>
    </dxf>
    <dxf>
      <font>
        <b/>
        <sz val="10"/>
        <color rgb="FF1B5E20"/>
      </font>
      <fill>
        <patternFill>
          <bgColor rgb="FFC8E6C9"/>
        </patternFill>
      </fill>
    </dxf>
    <dxf>
      <font>
        <b/>
        <sz val="10"/>
        <color rgb="FF856404"/>
      </font>
      <fill>
        <patternFill>
          <bgColor rgb="FFFFEEBA"/>
        </patternFill>
      </fill>
    </dxf>
    <dxf>
      <font>
        <b/>
        <sz val="10"/>
        <color rgb="FF1E4620"/>
      </font>
      <fill>
        <patternFill>
          <bgColor rgb="FFC3E6CB"/>
        </patternFill>
      </fill>
    </dxf>
    <dxf>
      <font>
        <b/>
        <sz val="10"/>
        <color rgb="FF491217"/>
      </font>
      <fill>
        <patternFill>
          <bgColor rgb="FFF5C6CB"/>
        </patternFill>
      </fill>
    </dxf>
    <dxf>
      <font>
        <b/>
        <sz val="10"/>
        <color rgb="FF856404"/>
      </font>
      <fill>
        <patternFill>
          <bgColor rgb="FFFFF3CD"/>
        </patternFill>
      </fill>
    </dxf>
    <dxf>
      <font>
        <b/>
        <sz val="10"/>
        <color rgb="FF721C24"/>
      </font>
      <fill>
        <patternFill>
          <bgColor rgb="FFF8D7DA"/>
        </patternFill>
      </fill>
    </dxf>
    <dxf>
      <font>
        <b/>
        <sz val="10"/>
        <color rgb="FF4B0082"/>
      </font>
      <fill>
        <patternFill>
          <bgColor rgb="FFE2D9F3"/>
        </patternFill>
      </fill>
    </dxf>
    <dxf>
      <font>
        <b/>
        <sz val="10"/>
        <color rgb="FF0C5460"/>
      </font>
      <fill>
        <patternFill>
          <bgColor rgb="FFD1ECF1"/>
        </patternFill>
      </fill>
    </dxf>
    <dxf>
      <font>
        <b/>
        <sz val="10"/>
        <color rgb="FF155724"/>
      </font>
      <fill>
        <patternFill>
          <bgColor rgb="FFD4EDDA"/>
        </patternFill>
      </fill>
    </dxf>
    <dxf>
      <font>
        <b/>
        <sz val="10"/>
        <color rgb="FF7B3F00"/>
      </font>
      <fill>
        <patternFill>
          <bgColor rgb="FFFFE4B5"/>
        </patternFill>
      </fill>
    </dxf>
    <dxf>
      <fill>
        <patternFill>
          <bgColor rgb="FFDCFCE7"/>
        </patternFill>
      </fill>
    </dxf>
    <dxf>
      <fill>
        <patternFill>
          <bgColor rgb="FFFED7AA"/>
        </patternFill>
      </fill>
    </dxf>
    <dxf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2EFDA"/>
      <rgbColor rgb="FFFCE4D6"/>
      <rgbColor rgb="FFFFE699"/>
      <rgbColor rgb="FFF8D7DA"/>
      <rgbColor rgb="FFC8E6C9"/>
      <rgbColor rgb="FF8D0625"/>
      <rgbColor rgb="FF1E5C20"/>
      <rgbColor rgb="FFFFE4B5"/>
      <rgbColor rgb="FF896402"/>
      <rgbColor rgb="FF491217"/>
      <rgbColor rgb="FFE2D9F3"/>
      <rgbColor rgb="FFA2C4C9"/>
      <rgbColor rgb="FF5E76A4"/>
      <rgbColor rgb="FFBBDEFB"/>
      <rgbColor rgb="FFDC2626"/>
      <rgbColor rgb="FFFFF3CD"/>
      <rgbColor rgb="FFDCFCE7"/>
      <rgbColor rgb="FF4B0082"/>
      <rgbColor rgb="FFF5C6CB"/>
      <rgbColor rgb="FF1052D2"/>
      <rgbColor rgb="FFD9D2E9"/>
      <rgbColor rgb="FFFFF2CC"/>
      <rgbColor rgb="FFFEE2E2"/>
      <rgbColor rgb="FFFFEEBA"/>
      <rgbColor rgb="FFD4EDDA"/>
      <rgbColor rgb="FFFFE0B2"/>
      <rgbColor rgb="FF721C24"/>
      <rgbColor rgb="FFDDEBF7"/>
      <rgbColor rgb="FFF3F4F6"/>
      <rgbColor rgb="FFD1D5DB"/>
      <rgbColor rgb="FFD1ECF1"/>
      <rgbColor rgb="FFC6EFCE"/>
      <rgbColor rgb="FFFFEB9C"/>
      <rgbColor rgb="FFBDD7EE"/>
      <rgbColor rgb="FFF8BBD0"/>
      <rgbColor rgb="FFD5A6BD"/>
      <rgbColor rgb="FFF8CBAD"/>
      <rgbColor rgb="FFD9D9D9"/>
      <rgbColor rgb="FFC3E6CB"/>
      <rgbColor rgb="FFA9D08E"/>
      <rgbColor rgb="FFFED7AA"/>
      <rgbColor rgb="FFFFC7CE"/>
      <rgbColor rgb="FFE25A01"/>
      <rgbColor rgb="FF636771"/>
      <rgbColor rgb="FFA5ACB5"/>
      <rgbColor rgb="FF0D5365"/>
      <rgbColor rgb="FF11A44A"/>
      <rgbColor rgb="FF0B5912"/>
      <rgbColor rgb="FF1E4620"/>
      <rgbColor rgb="FF813B01"/>
      <rgbColor rgb="FFF4CCCC"/>
      <rgbColor rgb="FFE2E8F0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Beneficio por Casa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Dashboard!$A$11:$A$23</c:f>
              <c:strCache>
                <c:ptCount val="13"/>
                <c:pt idx="0">
                  <c:v>Winamax</c:v>
                </c:pt>
                <c:pt idx="1">
                  <c:v>Yosport</c:v>
                </c:pt>
                <c:pt idx="2">
                  <c:v>Paf</c:v>
                </c:pt>
                <c:pt idx="3">
                  <c:v>Pokerstars</c:v>
                </c:pt>
                <c:pt idx="4">
                  <c:v>Sportium</c:v>
                </c:pt>
                <c:pt idx="5">
                  <c:v>SpeedyBet</c:v>
                </c:pt>
                <c:pt idx="6">
                  <c:v>Casumo</c:v>
                </c:pt>
                <c:pt idx="7">
                  <c:v>Retabet</c:v>
                </c:pt>
                <c:pt idx="8">
                  <c:v>GoldenBull</c:v>
                </c:pt>
                <c:pt idx="9">
                  <c:v>Bet365</c:v>
                </c:pt>
                <c:pt idx="10">
                  <c:v>Botemania</c:v>
                </c:pt>
                <c:pt idx="11">
                  <c:v>Paston</c:v>
                </c:pt>
                <c:pt idx="12">
                  <c:v>Casino Gran Madrid</c:v>
                </c:pt>
              </c:strCache>
            </c:strRef>
          </c:cat>
          <c:val>
            <c:numRef>
              <c:f>Dashboard!$C$11:$C$23</c:f>
              <c:numCache>
                <c:formatCode>\+#,##0.00;\-#,##0.00</c:formatCode>
                <c:ptCount val="13"/>
                <c:pt idx="0">
                  <c:v>180.77000000000004</c:v>
                </c:pt>
                <c:pt idx="1">
                  <c:v>108.83999999999997</c:v>
                </c:pt>
                <c:pt idx="2">
                  <c:v>51.420000000000059</c:v>
                </c:pt>
                <c:pt idx="3">
                  <c:v>128.46</c:v>
                </c:pt>
                <c:pt idx="4">
                  <c:v>169.8</c:v>
                </c:pt>
                <c:pt idx="5">
                  <c:v>-88.300000000000011</c:v>
                </c:pt>
                <c:pt idx="6">
                  <c:v>166.29999999999995</c:v>
                </c:pt>
                <c:pt idx="7">
                  <c:v>0</c:v>
                </c:pt>
                <c:pt idx="8">
                  <c:v>133.40000000000009</c:v>
                </c:pt>
                <c:pt idx="9">
                  <c:v>-47.82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D0-82BF-DC440C51E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856998"/>
        <c:axId val="72469395"/>
      </c:barChart>
      <c:catAx>
        <c:axId val="558569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469395"/>
        <c:crosses val="autoZero"/>
        <c:auto val="1"/>
        <c:lblAlgn val="ctr"/>
        <c:lblOffset val="100"/>
        <c:noMultiLvlLbl val="0"/>
      </c:catAx>
      <c:valAx>
        <c:axId val="724693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+#,##0.00;\-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856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Evolución del Bankroll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1"/>
        <c:ser>
          <c:idx val="0"/>
          <c:order val="0"/>
          <c:spPr>
            <a:solidFill>
              <a:srgbClr val="BDD7EE"/>
            </a:solidFill>
            <a:ln w="18000">
              <a:solidFill>
                <a:srgbClr val="538DD5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stdErr"/>
            <c:noEndCap val="0"/>
          </c:errBars>
          <c:cat>
            <c:strRef>
              <c:f>Registro!$O$5:$O$604</c:f>
              <c:strCache>
                <c:ptCount val="5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</c:strCache>
            </c:strRef>
          </c:cat>
          <c:val>
            <c:numRef>
              <c:f>Registro!$K$5:$K$604</c:f>
              <c:numCache>
                <c:formatCode>#,##0.00</c:formatCode>
                <c:ptCount val="600"/>
                <c:pt idx="0">
                  <c:v>2012.9</c:v>
                </c:pt>
                <c:pt idx="1">
                  <c:v>2025.95</c:v>
                </c:pt>
                <c:pt idx="2">
                  <c:v>2005.95</c:v>
                </c:pt>
                <c:pt idx="3">
                  <c:v>2017.55</c:v>
                </c:pt>
                <c:pt idx="4">
                  <c:v>2034.05</c:v>
                </c:pt>
                <c:pt idx="5">
                  <c:v>2019.05</c:v>
                </c:pt>
                <c:pt idx="6">
                  <c:v>2004.05</c:v>
                </c:pt>
                <c:pt idx="7">
                  <c:v>1984.05</c:v>
                </c:pt>
                <c:pt idx="8">
                  <c:v>1984.05</c:v>
                </c:pt>
                <c:pt idx="9">
                  <c:v>1984.05</c:v>
                </c:pt>
                <c:pt idx="10">
                  <c:v>1996.95</c:v>
                </c:pt>
                <c:pt idx="11">
                  <c:v>2014.45</c:v>
                </c:pt>
                <c:pt idx="12">
                  <c:v>2026.45</c:v>
                </c:pt>
                <c:pt idx="13">
                  <c:v>2006.45</c:v>
                </c:pt>
                <c:pt idx="14">
                  <c:v>2017.55</c:v>
                </c:pt>
                <c:pt idx="15">
                  <c:v>2034.05</c:v>
                </c:pt>
                <c:pt idx="16">
                  <c:v>2019.05</c:v>
                </c:pt>
                <c:pt idx="17">
                  <c:v>2004.05</c:v>
                </c:pt>
                <c:pt idx="18">
                  <c:v>1989.05</c:v>
                </c:pt>
                <c:pt idx="19">
                  <c:v>2007.05</c:v>
                </c:pt>
                <c:pt idx="20">
                  <c:v>2015.05</c:v>
                </c:pt>
                <c:pt idx="21">
                  <c:v>2030.05</c:v>
                </c:pt>
                <c:pt idx="22">
                  <c:v>2010.05</c:v>
                </c:pt>
                <c:pt idx="23">
                  <c:v>2010.05</c:v>
                </c:pt>
                <c:pt idx="24">
                  <c:v>2031.55</c:v>
                </c:pt>
                <c:pt idx="25">
                  <c:v>2054.5500000000002</c:v>
                </c:pt>
                <c:pt idx="26">
                  <c:v>2039.55</c:v>
                </c:pt>
                <c:pt idx="27">
                  <c:v>2024.55</c:v>
                </c:pt>
                <c:pt idx="28">
                  <c:v>2038.05</c:v>
                </c:pt>
                <c:pt idx="29">
                  <c:v>2023.05</c:v>
                </c:pt>
                <c:pt idx="30">
                  <c:v>2030.55</c:v>
                </c:pt>
                <c:pt idx="31">
                  <c:v>2010.55</c:v>
                </c:pt>
                <c:pt idx="32">
                  <c:v>2022.55</c:v>
                </c:pt>
                <c:pt idx="33">
                  <c:v>1997.55</c:v>
                </c:pt>
                <c:pt idx="34">
                  <c:v>2010.35</c:v>
                </c:pt>
                <c:pt idx="35">
                  <c:v>1990.35</c:v>
                </c:pt>
                <c:pt idx="36">
                  <c:v>1975.35</c:v>
                </c:pt>
                <c:pt idx="37">
                  <c:v>1994.1</c:v>
                </c:pt>
                <c:pt idx="38">
                  <c:v>2008.7</c:v>
                </c:pt>
                <c:pt idx="39">
                  <c:v>2024.75</c:v>
                </c:pt>
                <c:pt idx="40">
                  <c:v>2004.75</c:v>
                </c:pt>
                <c:pt idx="41">
                  <c:v>2020.95</c:v>
                </c:pt>
                <c:pt idx="42">
                  <c:v>2000.95</c:v>
                </c:pt>
                <c:pt idx="43">
                  <c:v>2012.35</c:v>
                </c:pt>
                <c:pt idx="44">
                  <c:v>1997.35</c:v>
                </c:pt>
                <c:pt idx="45">
                  <c:v>2009.35</c:v>
                </c:pt>
                <c:pt idx="46">
                  <c:v>2020.95</c:v>
                </c:pt>
                <c:pt idx="47">
                  <c:v>2005.95</c:v>
                </c:pt>
                <c:pt idx="48">
                  <c:v>2014.95</c:v>
                </c:pt>
                <c:pt idx="49">
                  <c:v>2028</c:v>
                </c:pt>
                <c:pt idx="50">
                  <c:v>2040.75</c:v>
                </c:pt>
                <c:pt idx="51">
                  <c:v>2046.75</c:v>
                </c:pt>
                <c:pt idx="52">
                  <c:v>2069.75</c:v>
                </c:pt>
                <c:pt idx="53">
                  <c:v>2054.75</c:v>
                </c:pt>
                <c:pt idx="54">
                  <c:v>2034.75</c:v>
                </c:pt>
                <c:pt idx="55">
                  <c:v>2054.25</c:v>
                </c:pt>
                <c:pt idx="56">
                  <c:v>2069.25</c:v>
                </c:pt>
                <c:pt idx="57">
                  <c:v>2078.65</c:v>
                </c:pt>
                <c:pt idx="58">
                  <c:v>2068.65</c:v>
                </c:pt>
                <c:pt idx="59">
                  <c:v>2081.4499999999998</c:v>
                </c:pt>
                <c:pt idx="60">
                  <c:v>2098.6999999999998</c:v>
                </c:pt>
                <c:pt idx="61">
                  <c:v>2112.1</c:v>
                </c:pt>
                <c:pt idx="62">
                  <c:v>2128.15</c:v>
                </c:pt>
                <c:pt idx="63">
                  <c:v>2139.15</c:v>
                </c:pt>
                <c:pt idx="64">
                  <c:v>2150.15</c:v>
                </c:pt>
                <c:pt idx="65">
                  <c:v>2135.15</c:v>
                </c:pt>
                <c:pt idx="66">
                  <c:v>2143.4</c:v>
                </c:pt>
                <c:pt idx="67">
                  <c:v>2158.4</c:v>
                </c:pt>
                <c:pt idx="68">
                  <c:v>2171.6</c:v>
                </c:pt>
                <c:pt idx="69">
                  <c:v>2187.5</c:v>
                </c:pt>
                <c:pt idx="70">
                  <c:v>2205.5</c:v>
                </c:pt>
                <c:pt idx="71">
                  <c:v>2215.9</c:v>
                </c:pt>
                <c:pt idx="72">
                  <c:v>2225.5</c:v>
                </c:pt>
                <c:pt idx="73">
                  <c:v>2240.3000000000002</c:v>
                </c:pt>
                <c:pt idx="74">
                  <c:v>2256.3000000000002</c:v>
                </c:pt>
                <c:pt idx="75">
                  <c:v>2265.0500000000002</c:v>
                </c:pt>
                <c:pt idx="76">
                  <c:v>2273.3000000000002</c:v>
                </c:pt>
                <c:pt idx="77">
                  <c:v>2288.3000000000002</c:v>
                </c:pt>
                <c:pt idx="78">
                  <c:v>2254.3000000000002</c:v>
                </c:pt>
                <c:pt idx="79">
                  <c:v>2273.34</c:v>
                </c:pt>
                <c:pt idx="80">
                  <c:v>2288.64</c:v>
                </c:pt>
                <c:pt idx="81">
                  <c:v>2304.0500000000002</c:v>
                </c:pt>
                <c:pt idx="82">
                  <c:v>2287.0500000000002</c:v>
                </c:pt>
                <c:pt idx="83">
                  <c:v>2259.0500000000002</c:v>
                </c:pt>
                <c:pt idx="84">
                  <c:v>2236.0500000000002</c:v>
                </c:pt>
                <c:pt idx="85">
                  <c:v>2249.65</c:v>
                </c:pt>
                <c:pt idx="86">
                  <c:v>2263.9300000000003</c:v>
                </c:pt>
                <c:pt idx="87">
                  <c:v>2275.13</c:v>
                </c:pt>
                <c:pt idx="88">
                  <c:v>2292.98</c:v>
                </c:pt>
                <c:pt idx="89">
                  <c:v>2308.3900000000003</c:v>
                </c:pt>
                <c:pt idx="90">
                  <c:v>2324.71</c:v>
                </c:pt>
                <c:pt idx="91">
                  <c:v>2338.5100000000002</c:v>
                </c:pt>
                <c:pt idx="92">
                  <c:v>2352.31</c:v>
                </c:pt>
                <c:pt idx="93">
                  <c:v>2366.59</c:v>
                </c:pt>
                <c:pt idx="94">
                  <c:v>2349.59</c:v>
                </c:pt>
                <c:pt idx="95">
                  <c:v>2332.59</c:v>
                </c:pt>
                <c:pt idx="96">
                  <c:v>2348.4</c:v>
                </c:pt>
                <c:pt idx="97">
                  <c:v>2331.4</c:v>
                </c:pt>
                <c:pt idx="98">
                  <c:v>2303.4</c:v>
                </c:pt>
                <c:pt idx="99">
                  <c:v>2286.4</c:v>
                </c:pt>
                <c:pt idx="100">
                  <c:v>2290.88</c:v>
                </c:pt>
                <c:pt idx="101">
                  <c:v>2306.1800000000003</c:v>
                </c:pt>
                <c:pt idx="102">
                  <c:v>2283.1800000000003</c:v>
                </c:pt>
                <c:pt idx="103">
                  <c:v>2297.8000000000002</c:v>
                </c:pt>
                <c:pt idx="104">
                  <c:v>2269.8000000000002</c:v>
                </c:pt>
                <c:pt idx="105">
                  <c:v>2292.2000000000003</c:v>
                </c:pt>
                <c:pt idx="106">
                  <c:v>2309.6800000000003</c:v>
                </c:pt>
                <c:pt idx="107">
                  <c:v>2327.87</c:v>
                </c:pt>
                <c:pt idx="108">
                  <c:v>2310.87</c:v>
                </c:pt>
                <c:pt idx="109">
                  <c:v>2326.37</c:v>
                </c:pt>
                <c:pt idx="110">
                  <c:v>2336.5700000000002</c:v>
                </c:pt>
                <c:pt idx="111">
                  <c:v>2346.17</c:v>
                </c:pt>
                <c:pt idx="112">
                  <c:v>2360.62</c:v>
                </c:pt>
                <c:pt idx="113">
                  <c:v>2378.81</c:v>
                </c:pt>
                <c:pt idx="114">
                  <c:v>2382.56</c:v>
                </c:pt>
                <c:pt idx="115">
                  <c:v>2359.56</c:v>
                </c:pt>
                <c:pt idx="116">
                  <c:v>2342.56</c:v>
                </c:pt>
                <c:pt idx="117">
                  <c:v>2320.56</c:v>
                </c:pt>
                <c:pt idx="118">
                  <c:v>2330.6800000000003</c:v>
                </c:pt>
                <c:pt idx="119">
                  <c:v>2342.1800000000003</c:v>
                </c:pt>
                <c:pt idx="120">
                  <c:v>2355.98</c:v>
                </c:pt>
                <c:pt idx="121">
                  <c:v>2371.62</c:v>
                </c:pt>
                <c:pt idx="122">
                  <c:v>2371.62</c:v>
                </c:pt>
                <c:pt idx="123">
                  <c:v>2390.48</c:v>
                </c:pt>
                <c:pt idx="124">
                  <c:v>2369.48</c:v>
                </c:pt>
                <c:pt idx="125">
                  <c:v>2380.75</c:v>
                </c:pt>
                <c:pt idx="126">
                  <c:v>2396.71</c:v>
                </c:pt>
                <c:pt idx="127">
                  <c:v>2368.71</c:v>
                </c:pt>
                <c:pt idx="128">
                  <c:v>2382.0500000000002</c:v>
                </c:pt>
                <c:pt idx="129">
                  <c:v>2387.83</c:v>
                </c:pt>
                <c:pt idx="130">
                  <c:v>2403.3000000000002</c:v>
                </c:pt>
                <c:pt idx="131">
                  <c:v>2386.3000000000002</c:v>
                </c:pt>
                <c:pt idx="132">
                  <c:v>2400.41</c:v>
                </c:pt>
                <c:pt idx="133">
                  <c:v>2383.41</c:v>
                </c:pt>
                <c:pt idx="134">
                  <c:v>2359.41</c:v>
                </c:pt>
                <c:pt idx="135">
                  <c:v>2374.0500000000002</c:v>
                </c:pt>
                <c:pt idx="136">
                  <c:v>2356.0500000000002</c:v>
                </c:pt>
                <c:pt idx="137">
                  <c:v>2376.75</c:v>
                </c:pt>
                <c:pt idx="138">
                  <c:v>2358.75</c:v>
                </c:pt>
                <c:pt idx="139">
                  <c:v>2334.75</c:v>
                </c:pt>
                <c:pt idx="140">
                  <c:v>2350.59</c:v>
                </c:pt>
                <c:pt idx="141">
                  <c:v>2372.19</c:v>
                </c:pt>
                <c:pt idx="142">
                  <c:v>2360.19</c:v>
                </c:pt>
                <c:pt idx="143">
                  <c:v>2336.19</c:v>
                </c:pt>
                <c:pt idx="144">
                  <c:v>2324.19</c:v>
                </c:pt>
                <c:pt idx="145">
                  <c:v>2312.19</c:v>
                </c:pt>
                <c:pt idx="146">
                  <c:v>2326.59</c:v>
                </c:pt>
                <c:pt idx="147">
                  <c:v>2354.19</c:v>
                </c:pt>
                <c:pt idx="148">
                  <c:v>2344.19</c:v>
                </c:pt>
                <c:pt idx="149">
                  <c:v>2368.39</c:v>
                </c:pt>
                <c:pt idx="150">
                  <c:v>2382.65</c:v>
                </c:pt>
                <c:pt idx="151">
                  <c:v>2398.0500000000002</c:v>
                </c:pt>
                <c:pt idx="152">
                  <c:v>2375.0500000000002</c:v>
                </c:pt>
                <c:pt idx="153">
                  <c:v>2391.15</c:v>
                </c:pt>
                <c:pt idx="154">
                  <c:v>2368.15</c:v>
                </c:pt>
                <c:pt idx="155">
                  <c:v>2332.15</c:v>
                </c:pt>
                <c:pt idx="156">
                  <c:v>2320.15</c:v>
                </c:pt>
                <c:pt idx="157">
                  <c:v>2302.15</c:v>
                </c:pt>
                <c:pt idx="158">
                  <c:v>2318.35</c:v>
                </c:pt>
                <c:pt idx="159">
                  <c:v>2334.34</c:v>
                </c:pt>
                <c:pt idx="160">
                  <c:v>2358.54</c:v>
                </c:pt>
                <c:pt idx="161">
                  <c:v>2335.54</c:v>
                </c:pt>
                <c:pt idx="162">
                  <c:v>2313.54</c:v>
                </c:pt>
                <c:pt idx="163">
                  <c:v>2323.2200000000003</c:v>
                </c:pt>
                <c:pt idx="164">
                  <c:v>2301.2200000000003</c:v>
                </c:pt>
                <c:pt idx="165">
                  <c:v>2315.62</c:v>
                </c:pt>
                <c:pt idx="166">
                  <c:v>2331.61</c:v>
                </c:pt>
                <c:pt idx="167">
                  <c:v>2309.61</c:v>
                </c:pt>
                <c:pt idx="168">
                  <c:v>2318.41</c:v>
                </c:pt>
                <c:pt idx="169">
                  <c:v>2307.41</c:v>
                </c:pt>
                <c:pt idx="170">
                  <c:v>2328.11</c:v>
                </c:pt>
                <c:pt idx="171">
                  <c:v>2306.11</c:v>
                </c:pt>
                <c:pt idx="172">
                  <c:v>2317.11</c:v>
                </c:pt>
                <c:pt idx="173">
                  <c:v>2338.35</c:v>
                </c:pt>
                <c:pt idx="174">
                  <c:v>2320.35</c:v>
                </c:pt>
                <c:pt idx="175">
                  <c:v>2330.12</c:v>
                </c:pt>
                <c:pt idx="176">
                  <c:v>2346.1799999999998</c:v>
                </c:pt>
                <c:pt idx="177">
                  <c:v>2357.1799999999998</c:v>
                </c:pt>
                <c:pt idx="178">
                  <c:v>2373.92</c:v>
                </c:pt>
                <c:pt idx="179">
                  <c:v>2351.92</c:v>
                </c:pt>
                <c:pt idx="180">
                  <c:v>2333.92</c:v>
                </c:pt>
                <c:pt idx="181">
                  <c:v>2347.34</c:v>
                </c:pt>
                <c:pt idx="182">
                  <c:v>2359</c:v>
                </c:pt>
                <c:pt idx="183">
                  <c:v>2337</c:v>
                </c:pt>
                <c:pt idx="184">
                  <c:v>2346.6800000000003</c:v>
                </c:pt>
                <c:pt idx="185">
                  <c:v>2328.6800000000003</c:v>
                </c:pt>
                <c:pt idx="186">
                  <c:v>2306.6800000000003</c:v>
                </c:pt>
                <c:pt idx="187">
                  <c:v>2284.6800000000003</c:v>
                </c:pt>
                <c:pt idx="188">
                  <c:v>2262.6800000000003</c:v>
                </c:pt>
                <c:pt idx="189">
                  <c:v>2244.6800000000003</c:v>
                </c:pt>
                <c:pt idx="190">
                  <c:v>2264.48</c:v>
                </c:pt>
                <c:pt idx="191">
                  <c:v>2246.48</c:v>
                </c:pt>
                <c:pt idx="192">
                  <c:v>2258.58</c:v>
                </c:pt>
                <c:pt idx="193">
                  <c:v>2274.42</c:v>
                </c:pt>
                <c:pt idx="194">
                  <c:v>2293.3200000000002</c:v>
                </c:pt>
                <c:pt idx="195">
                  <c:v>2282.3200000000002</c:v>
                </c:pt>
                <c:pt idx="196">
                  <c:v>2297.62</c:v>
                </c:pt>
                <c:pt idx="197">
                  <c:v>2315.62</c:v>
                </c:pt>
                <c:pt idx="198">
                  <c:v>2326.4</c:v>
                </c:pt>
                <c:pt idx="199">
                  <c:v>2338.13</c:v>
                </c:pt>
                <c:pt idx="200">
                  <c:v>2320.13</c:v>
                </c:pt>
                <c:pt idx="201">
                  <c:v>2298.13</c:v>
                </c:pt>
                <c:pt idx="202">
                  <c:v>2313.9700000000003</c:v>
                </c:pt>
                <c:pt idx="203">
                  <c:v>2299.9700000000003</c:v>
                </c:pt>
                <c:pt idx="204">
                  <c:v>2318.0100000000002</c:v>
                </c:pt>
                <c:pt idx="205">
                  <c:v>2337.09</c:v>
                </c:pt>
                <c:pt idx="206">
                  <c:v>2319.09</c:v>
                </c:pt>
                <c:pt idx="207">
                  <c:v>2334.39</c:v>
                </c:pt>
                <c:pt idx="208">
                  <c:v>2312.39</c:v>
                </c:pt>
                <c:pt idx="209">
                  <c:v>2327.04</c:v>
                </c:pt>
                <c:pt idx="210">
                  <c:v>2315.04</c:v>
                </c:pt>
                <c:pt idx="211">
                  <c:v>2328.9</c:v>
                </c:pt>
                <c:pt idx="212">
                  <c:v>2318.9</c:v>
                </c:pt>
                <c:pt idx="213">
                  <c:v>2330.63</c:v>
                </c:pt>
                <c:pt idx="214">
                  <c:v>2309.63</c:v>
                </c:pt>
                <c:pt idx="215">
                  <c:v>2291.63</c:v>
                </c:pt>
                <c:pt idx="216">
                  <c:v>2303.0300000000002</c:v>
                </c:pt>
                <c:pt idx="217">
                  <c:v>2319.9499999999998</c:v>
                </c:pt>
                <c:pt idx="218">
                  <c:v>2333.15</c:v>
                </c:pt>
                <c:pt idx="219">
                  <c:v>2347.67</c:v>
                </c:pt>
                <c:pt idx="220">
                  <c:v>2363.35</c:v>
                </c:pt>
                <c:pt idx="221">
                  <c:v>2378.9499999999998</c:v>
                </c:pt>
                <c:pt idx="222">
                  <c:v>2360.9499999999998</c:v>
                </c:pt>
                <c:pt idx="223">
                  <c:v>2338.9499999999998</c:v>
                </c:pt>
                <c:pt idx="224">
                  <c:v>2353.5100000000002</c:v>
                </c:pt>
                <c:pt idx="225">
                  <c:v>2371.5100000000002</c:v>
                </c:pt>
                <c:pt idx="226">
                  <c:v>2357.5100000000002</c:v>
                </c:pt>
                <c:pt idx="227">
                  <c:v>2335.5100000000002</c:v>
                </c:pt>
                <c:pt idx="228">
                  <c:v>2317.5100000000002</c:v>
                </c:pt>
                <c:pt idx="229">
                  <c:v>2328.0700000000002</c:v>
                </c:pt>
                <c:pt idx="230">
                  <c:v>2306.0700000000002</c:v>
                </c:pt>
                <c:pt idx="231">
                  <c:v>2314.58</c:v>
                </c:pt>
                <c:pt idx="232">
                  <c:v>2331.3200000000002</c:v>
                </c:pt>
                <c:pt idx="233">
                  <c:v>2339.69</c:v>
                </c:pt>
                <c:pt idx="234">
                  <c:v>2353.77</c:v>
                </c:pt>
                <c:pt idx="235">
                  <c:v>2366.88</c:v>
                </c:pt>
                <c:pt idx="236">
                  <c:v>2349.88</c:v>
                </c:pt>
                <c:pt idx="237">
                  <c:v>2326.88</c:v>
                </c:pt>
                <c:pt idx="238">
                  <c:v>2303.88</c:v>
                </c:pt>
                <c:pt idx="239">
                  <c:v>2303.88</c:v>
                </c:pt>
                <c:pt idx="240">
                  <c:v>2280.88</c:v>
                </c:pt>
                <c:pt idx="241">
                  <c:v>2257.88</c:v>
                </c:pt>
                <c:pt idx="242">
                  <c:v>2272.2800000000002</c:v>
                </c:pt>
                <c:pt idx="243">
                  <c:v>2260.2800000000002</c:v>
                </c:pt>
                <c:pt idx="244">
                  <c:v>2275.23</c:v>
                </c:pt>
                <c:pt idx="245">
                  <c:v>2284.33</c:v>
                </c:pt>
                <c:pt idx="246">
                  <c:v>2303.5300000000002</c:v>
                </c:pt>
                <c:pt idx="247">
                  <c:v>2321.4700000000003</c:v>
                </c:pt>
                <c:pt idx="248">
                  <c:v>2340.0300000000002</c:v>
                </c:pt>
                <c:pt idx="249">
                  <c:v>2317.0300000000002</c:v>
                </c:pt>
                <c:pt idx="250">
                  <c:v>2294.0300000000002</c:v>
                </c:pt>
                <c:pt idx="251">
                  <c:v>2308.14</c:v>
                </c:pt>
                <c:pt idx="252">
                  <c:v>2327.52</c:v>
                </c:pt>
                <c:pt idx="253">
                  <c:v>2310.52</c:v>
                </c:pt>
                <c:pt idx="254">
                  <c:v>2326.16</c:v>
                </c:pt>
                <c:pt idx="255">
                  <c:v>2340.88</c:v>
                </c:pt>
                <c:pt idx="256">
                  <c:v>2358.5700000000002</c:v>
                </c:pt>
                <c:pt idx="257">
                  <c:v>2335.5700000000002</c:v>
                </c:pt>
                <c:pt idx="258">
                  <c:v>2358.11</c:v>
                </c:pt>
                <c:pt idx="259">
                  <c:v>2341.11</c:v>
                </c:pt>
                <c:pt idx="260">
                  <c:v>2324.11</c:v>
                </c:pt>
                <c:pt idx="261">
                  <c:v>2307.11</c:v>
                </c:pt>
                <c:pt idx="262">
                  <c:v>2321.83</c:v>
                </c:pt>
                <c:pt idx="263">
                  <c:v>2334.09</c:v>
                </c:pt>
                <c:pt idx="264">
                  <c:v>2317.09</c:v>
                </c:pt>
                <c:pt idx="265">
                  <c:v>2332.84</c:v>
                </c:pt>
                <c:pt idx="266">
                  <c:v>2332.84</c:v>
                </c:pt>
                <c:pt idx="267">
                  <c:v>2315.84</c:v>
                </c:pt>
                <c:pt idx="268">
                  <c:v>2333.1800000000003</c:v>
                </c:pt>
                <c:pt idx="269">
                  <c:v>2298.1800000000003</c:v>
                </c:pt>
                <c:pt idx="270">
                  <c:v>2317.96</c:v>
                </c:pt>
                <c:pt idx="271">
                  <c:v>2329.23</c:v>
                </c:pt>
                <c:pt idx="272">
                  <c:v>2346.23</c:v>
                </c:pt>
                <c:pt idx="273">
                  <c:v>2329.23</c:v>
                </c:pt>
                <c:pt idx="274">
                  <c:v>2306.23</c:v>
                </c:pt>
                <c:pt idx="275">
                  <c:v>2323.23</c:v>
                </c:pt>
                <c:pt idx="276">
                  <c:v>2338.5500000000002</c:v>
                </c:pt>
                <c:pt idx="277">
                  <c:v>2348.67</c:v>
                </c:pt>
                <c:pt idx="278">
                  <c:v>2330.67</c:v>
                </c:pt>
                <c:pt idx="279">
                  <c:v>2313.67</c:v>
                </c:pt>
                <c:pt idx="280">
                  <c:v>2334.83</c:v>
                </c:pt>
                <c:pt idx="281">
                  <c:v>2317.83</c:v>
                </c:pt>
                <c:pt idx="282">
                  <c:v>2300.83</c:v>
                </c:pt>
                <c:pt idx="283">
                  <c:v>2315.2800000000002</c:v>
                </c:pt>
                <c:pt idx="284">
                  <c:v>2329.31</c:v>
                </c:pt>
                <c:pt idx="285">
                  <c:v>2345.87</c:v>
                </c:pt>
                <c:pt idx="286">
                  <c:v>2360.36</c:v>
                </c:pt>
                <c:pt idx="287">
                  <c:v>2378.36</c:v>
                </c:pt>
                <c:pt idx="288">
                  <c:v>2361.36</c:v>
                </c:pt>
                <c:pt idx="289">
                  <c:v>2379.12</c:v>
                </c:pt>
                <c:pt idx="290">
                  <c:v>2397.7200000000003</c:v>
                </c:pt>
                <c:pt idx="291">
                  <c:v>2417.27</c:v>
                </c:pt>
                <c:pt idx="292">
                  <c:v>2437.67</c:v>
                </c:pt>
                <c:pt idx="293">
                  <c:v>2458.0700000000002</c:v>
                </c:pt>
                <c:pt idx="294">
                  <c:v>2472.52</c:v>
                </c:pt>
                <c:pt idx="295">
                  <c:v>2472.52</c:v>
                </c:pt>
                <c:pt idx="296">
                  <c:v>2489.52</c:v>
                </c:pt>
                <c:pt idx="297">
                  <c:v>2504.02</c:v>
                </c:pt>
                <c:pt idx="298">
                  <c:v>2525.02</c:v>
                </c:pt>
                <c:pt idx="299">
                  <c:v>2541.2200000000003</c:v>
                </c:pt>
                <c:pt idx="300">
                  <c:v>2559.7200000000003</c:v>
                </c:pt>
                <c:pt idx="301">
                  <c:v>2579.2200000000003</c:v>
                </c:pt>
                <c:pt idx="302">
                  <c:v>2597.7200000000003</c:v>
                </c:pt>
                <c:pt idx="303">
                  <c:v>2579.7200000000003</c:v>
                </c:pt>
                <c:pt idx="304">
                  <c:v>2599.52</c:v>
                </c:pt>
                <c:pt idx="305">
                  <c:v>2617.52</c:v>
                </c:pt>
                <c:pt idx="306">
                  <c:v>2633.18</c:v>
                </c:pt>
                <c:pt idx="307">
                  <c:v>2646.68</c:v>
                </c:pt>
                <c:pt idx="308">
                  <c:v>2665.9</c:v>
                </c:pt>
                <c:pt idx="309">
                  <c:v>2682.4</c:v>
                </c:pt>
                <c:pt idx="310">
                  <c:v>2695.4</c:v>
                </c:pt>
                <c:pt idx="311">
                  <c:v>2712.86</c:v>
                </c:pt>
                <c:pt idx="312">
                  <c:v>2698.86</c:v>
                </c:pt>
                <c:pt idx="313">
                  <c:v>2716.7799999999997</c:v>
                </c:pt>
                <c:pt idx="314">
                  <c:v>2698.7799999999997</c:v>
                </c:pt>
                <c:pt idx="315">
                  <c:v>2727.13</c:v>
                </c:pt>
                <c:pt idx="316">
                  <c:v>2750.13</c:v>
                </c:pt>
                <c:pt idx="317">
                  <c:v>2766.13</c:v>
                </c:pt>
                <c:pt idx="318">
                  <c:v>2753.13</c:v>
                </c:pt>
                <c:pt idx="319">
                  <c:v>2769.13</c:v>
                </c:pt>
                <c:pt idx="320">
                  <c:v>2746.13</c:v>
                </c:pt>
                <c:pt idx="321">
                  <c:v>2766.11</c:v>
                </c:pt>
                <c:pt idx="322">
                  <c:v>2746.11</c:v>
                </c:pt>
                <c:pt idx="323">
                  <c:v>2723.11</c:v>
                </c:pt>
                <c:pt idx="324">
                  <c:v>2746.11</c:v>
                </c:pt>
                <c:pt idx="325">
                  <c:v>2761.19</c:v>
                </c:pt>
                <c:pt idx="326">
                  <c:v>2782.95</c:v>
                </c:pt>
                <c:pt idx="327">
                  <c:v>2807.25</c:v>
                </c:pt>
                <c:pt idx="328">
                  <c:v>2787.25</c:v>
                </c:pt>
                <c:pt idx="329">
                  <c:v>2760.25</c:v>
                </c:pt>
                <c:pt idx="330">
                  <c:v>2760.25</c:v>
                </c:pt>
                <c:pt idx="331">
                  <c:v>2740.25</c:v>
                </c:pt>
                <c:pt idx="332">
                  <c:v>2727.25</c:v>
                </c:pt>
                <c:pt idx="333">
                  <c:v>2743.99</c:v>
                </c:pt>
                <c:pt idx="334">
                  <c:v>2730.99</c:v>
                </c:pt>
                <c:pt idx="335">
                  <c:v>2750.9700000000003</c:v>
                </c:pt>
                <c:pt idx="336">
                  <c:v>2730.9700000000003</c:v>
                </c:pt>
                <c:pt idx="337">
                  <c:v>2703.9700000000003</c:v>
                </c:pt>
                <c:pt idx="338">
                  <c:v>2716.66</c:v>
                </c:pt>
                <c:pt idx="339">
                  <c:v>2716.66</c:v>
                </c:pt>
                <c:pt idx="340">
                  <c:v>2716.66</c:v>
                </c:pt>
                <c:pt idx="341">
                  <c:v>2689.66</c:v>
                </c:pt>
                <c:pt idx="342">
                  <c:v>2705.26</c:v>
                </c:pt>
                <c:pt idx="343">
                  <c:v>2717.44</c:v>
                </c:pt>
                <c:pt idx="344">
                  <c:v>2736.84</c:v>
                </c:pt>
                <c:pt idx="345">
                  <c:v>2736.84</c:v>
                </c:pt>
                <c:pt idx="346">
                  <c:v>2748.7200000000003</c:v>
                </c:pt>
                <c:pt idx="347">
                  <c:v>2728.7200000000003</c:v>
                </c:pt>
                <c:pt idx="348">
                  <c:v>2747.92</c:v>
                </c:pt>
                <c:pt idx="349">
                  <c:v>2733.92</c:v>
                </c:pt>
                <c:pt idx="350">
                  <c:v>2748.16</c:v>
                </c:pt>
                <c:pt idx="351">
                  <c:v>2763.56</c:v>
                </c:pt>
                <c:pt idx="352">
                  <c:v>2743.56</c:v>
                </c:pt>
                <c:pt idx="353">
                  <c:v>2760.36</c:v>
                </c:pt>
                <c:pt idx="354">
                  <c:v>2775.7200000000003</c:v>
                </c:pt>
                <c:pt idx="355">
                  <c:v>2795.16</c:v>
                </c:pt>
                <c:pt idx="356">
                  <c:v>2775.16</c:v>
                </c:pt>
                <c:pt idx="357">
                  <c:v>2785.02</c:v>
                </c:pt>
                <c:pt idx="358">
                  <c:v>2758.02</c:v>
                </c:pt>
                <c:pt idx="359">
                  <c:v>2738.02</c:v>
                </c:pt>
                <c:pt idx="360">
                  <c:v>2715.02</c:v>
                </c:pt>
                <c:pt idx="361">
                  <c:v>2732.42</c:v>
                </c:pt>
                <c:pt idx="362">
                  <c:v>2705.42</c:v>
                </c:pt>
                <c:pt idx="363">
                  <c:v>2691.42</c:v>
                </c:pt>
                <c:pt idx="364">
                  <c:v>2671.42</c:v>
                </c:pt>
                <c:pt idx="365">
                  <c:v>2693.02</c:v>
                </c:pt>
                <c:pt idx="366">
                  <c:v>2708.6000000000004</c:v>
                </c:pt>
                <c:pt idx="367">
                  <c:v>2725.26</c:v>
                </c:pt>
                <c:pt idx="368">
                  <c:v>2732.26</c:v>
                </c:pt>
                <c:pt idx="369">
                  <c:v>2741.86</c:v>
                </c:pt>
                <c:pt idx="370">
                  <c:v>2756.8500000000004</c:v>
                </c:pt>
                <c:pt idx="371">
                  <c:v>2711.8500000000004</c:v>
                </c:pt>
                <c:pt idx="372">
                  <c:v>2724.25</c:v>
                </c:pt>
                <c:pt idx="373">
                  <c:v>2697.25</c:v>
                </c:pt>
                <c:pt idx="374">
                  <c:v>2677.25</c:v>
                </c:pt>
                <c:pt idx="375">
                  <c:v>2692.91</c:v>
                </c:pt>
                <c:pt idx="376">
                  <c:v>2712.91</c:v>
                </c:pt>
                <c:pt idx="377">
                  <c:v>2730.46</c:v>
                </c:pt>
                <c:pt idx="378">
                  <c:v>2749.36</c:v>
                </c:pt>
                <c:pt idx="379">
                  <c:v>2768.26</c:v>
                </c:pt>
                <c:pt idx="380">
                  <c:v>2781.76</c:v>
                </c:pt>
                <c:pt idx="381">
                  <c:v>2798.23</c:v>
                </c:pt>
                <c:pt idx="382">
                  <c:v>2778.23</c:v>
                </c:pt>
                <c:pt idx="383">
                  <c:v>2751.23</c:v>
                </c:pt>
                <c:pt idx="384">
                  <c:v>2751.23</c:v>
                </c:pt>
                <c:pt idx="385">
                  <c:v>2766.0299999999997</c:v>
                </c:pt>
                <c:pt idx="386">
                  <c:v>2777.64</c:v>
                </c:pt>
                <c:pt idx="387">
                  <c:v>2793.84</c:v>
                </c:pt>
                <c:pt idx="388">
                  <c:v>2766.84</c:v>
                </c:pt>
                <c:pt idx="389">
                  <c:v>2739.84</c:v>
                </c:pt>
                <c:pt idx="390">
                  <c:v>2739.84</c:v>
                </c:pt>
                <c:pt idx="391">
                  <c:v>2753.34</c:v>
                </c:pt>
                <c:pt idx="392">
                  <c:v>2771.74</c:v>
                </c:pt>
                <c:pt idx="393">
                  <c:v>2792.26</c:v>
                </c:pt>
                <c:pt idx="394">
                  <c:v>2811.16</c:v>
                </c:pt>
                <c:pt idx="395">
                  <c:v>2826.46</c:v>
                </c:pt>
                <c:pt idx="396">
                  <c:v>2799.46</c:v>
                </c:pt>
                <c:pt idx="397">
                  <c:v>2814.46</c:v>
                </c:pt>
                <c:pt idx="398">
                  <c:v>2828.77</c:v>
                </c:pt>
                <c:pt idx="399">
                  <c:v>2814.77</c:v>
                </c:pt>
                <c:pt idx="400">
                  <c:v>2787.77</c:v>
                </c:pt>
                <c:pt idx="401">
                  <c:v>2801.81</c:v>
                </c:pt>
                <c:pt idx="402">
                  <c:v>2814.2299999999996</c:v>
                </c:pt>
                <c:pt idx="403">
                  <c:v>2828.41</c:v>
                </c:pt>
                <c:pt idx="404">
                  <c:v>2808.41</c:v>
                </c:pt>
                <c:pt idx="405">
                  <c:v>2821.64</c:v>
                </c:pt>
                <c:pt idx="406">
                  <c:v>2832.4399999999996</c:v>
                </c:pt>
                <c:pt idx="407">
                  <c:v>2805.4399999999996</c:v>
                </c:pt>
                <c:pt idx="408">
                  <c:v>2778.4399999999996</c:v>
                </c:pt>
                <c:pt idx="409">
                  <c:v>2758.4399999999996</c:v>
                </c:pt>
                <c:pt idx="410">
                  <c:v>2773.0199999999995</c:v>
                </c:pt>
                <c:pt idx="411">
                  <c:v>2786.5199999999995</c:v>
                </c:pt>
                <c:pt idx="412">
                  <c:v>2804.3399999999997</c:v>
                </c:pt>
                <c:pt idx="413">
                  <c:v>2777.3399999999997</c:v>
                </c:pt>
                <c:pt idx="414">
                  <c:v>2750.3399999999997</c:v>
                </c:pt>
                <c:pt idx="415">
                  <c:v>2768.16</c:v>
                </c:pt>
                <c:pt idx="416">
                  <c:v>2788.68</c:v>
                </c:pt>
                <c:pt idx="417">
                  <c:v>2810.4399999999996</c:v>
                </c:pt>
                <c:pt idx="418">
                  <c:v>2790.4399999999996</c:v>
                </c:pt>
                <c:pt idx="419">
                  <c:v>2815.6</c:v>
                </c:pt>
                <c:pt idx="420">
                  <c:v>2801.6</c:v>
                </c:pt>
                <c:pt idx="421">
                  <c:v>2818.6099999999997</c:v>
                </c:pt>
                <c:pt idx="422">
                  <c:v>2791.6099999999997</c:v>
                </c:pt>
                <c:pt idx="423">
                  <c:v>2802.41</c:v>
                </c:pt>
                <c:pt idx="424">
                  <c:v>2775.41</c:v>
                </c:pt>
                <c:pt idx="425">
                  <c:v>2755.41</c:v>
                </c:pt>
                <c:pt idx="426">
                  <c:v>2769.72</c:v>
                </c:pt>
                <c:pt idx="427">
                  <c:v>2789.4399999999996</c:v>
                </c:pt>
                <c:pt idx="428">
                  <c:v>2805.64</c:v>
                </c:pt>
                <c:pt idx="429">
                  <c:v>2826.04</c:v>
                </c:pt>
                <c:pt idx="430">
                  <c:v>2799.04</c:v>
                </c:pt>
                <c:pt idx="431">
                  <c:v>2799.04</c:v>
                </c:pt>
                <c:pt idx="432">
                  <c:v>2815.24</c:v>
                </c:pt>
                <c:pt idx="433">
                  <c:v>2830.6299999999997</c:v>
                </c:pt>
                <c:pt idx="434">
                  <c:v>2803.6299999999997</c:v>
                </c:pt>
                <c:pt idx="435">
                  <c:v>2819.6299999999997</c:v>
                </c:pt>
                <c:pt idx="436">
                  <c:v>2840.83</c:v>
                </c:pt>
                <c:pt idx="437">
                  <c:v>2858.0299999999997</c:v>
                </c:pt>
                <c:pt idx="438">
                  <c:v>2879.0899999999997</c:v>
                </c:pt>
                <c:pt idx="439">
                  <c:v>2852.0899999999997</c:v>
                </c:pt>
                <c:pt idx="440">
                  <c:v>2825.0899999999997</c:v>
                </c:pt>
                <c:pt idx="441">
                  <c:v>2842.1899999999996</c:v>
                </c:pt>
                <c:pt idx="442">
                  <c:v>2815.1899999999996</c:v>
                </c:pt>
                <c:pt idx="443">
                  <c:v>2828.6899999999996</c:v>
                </c:pt>
                <c:pt idx="444">
                  <c:v>2801.6899999999996</c:v>
                </c:pt>
                <c:pt idx="445">
                  <c:v>2817.89</c:v>
                </c:pt>
                <c:pt idx="446">
                  <c:v>2835.89</c:v>
                </c:pt>
                <c:pt idx="447">
                  <c:v>2850.2</c:v>
                </c:pt>
                <c:pt idx="448">
                  <c:v>2830.2</c:v>
                </c:pt>
                <c:pt idx="449">
                  <c:v>2810.2</c:v>
                </c:pt>
                <c:pt idx="450">
                  <c:v>2829.83</c:v>
                </c:pt>
                <c:pt idx="451">
                  <c:v>2850.5899999999997</c:v>
                </c:pt>
                <c:pt idx="452">
                  <c:v>2871.35</c:v>
                </c:pt>
                <c:pt idx="453">
                  <c:v>2857.35</c:v>
                </c:pt>
                <c:pt idx="454">
                  <c:v>2837.35</c:v>
                </c:pt>
                <c:pt idx="455">
                  <c:v>2810.35</c:v>
                </c:pt>
                <c:pt idx="456">
                  <c:v>2828.5299999999997</c:v>
                </c:pt>
                <c:pt idx="457">
                  <c:v>2799.5299999999997</c:v>
                </c:pt>
                <c:pt idx="458">
                  <c:v>2808.9799999999996</c:v>
                </c:pt>
                <c:pt idx="459">
                  <c:v>2820.4799999999996</c:v>
                </c:pt>
                <c:pt idx="460">
                  <c:v>2842.33</c:v>
                </c:pt>
                <c:pt idx="461">
                  <c:v>2862.43</c:v>
                </c:pt>
                <c:pt idx="462">
                  <c:v>2832.43</c:v>
                </c:pt>
                <c:pt idx="463">
                  <c:v>2856.75</c:v>
                </c:pt>
                <c:pt idx="464">
                  <c:v>2877.6499999999996</c:v>
                </c:pt>
                <c:pt idx="465">
                  <c:v>2894.45</c:v>
                </c:pt>
                <c:pt idx="466">
                  <c:v>2871.45</c:v>
                </c:pt>
                <c:pt idx="467">
                  <c:v>2856.45</c:v>
                </c:pt>
                <c:pt idx="468">
                  <c:v>2878.2599999999998</c:v>
                </c:pt>
                <c:pt idx="469">
                  <c:v>2856.2599999999998</c:v>
                </c:pt>
                <c:pt idx="470">
                  <c:v>2826.2599999999998</c:v>
                </c:pt>
                <c:pt idx="471">
                  <c:v>2796.2599999999998</c:v>
                </c:pt>
                <c:pt idx="472">
                  <c:v>2813</c:v>
                </c:pt>
                <c:pt idx="473">
                  <c:v>2826.5</c:v>
                </c:pt>
                <c:pt idx="474">
                  <c:v>2796.5</c:v>
                </c:pt>
                <c:pt idx="475">
                  <c:v>2810.5599999999995</c:v>
                </c:pt>
                <c:pt idx="476">
                  <c:v>2815.24</c:v>
                </c:pt>
                <c:pt idx="477">
                  <c:v>2837.74</c:v>
                </c:pt>
                <c:pt idx="478">
                  <c:v>2859.9399999999996</c:v>
                </c:pt>
                <c:pt idx="479">
                  <c:v>2874.9399999999996</c:v>
                </c:pt>
                <c:pt idx="480">
                  <c:v>2844.9399999999996</c:v>
                </c:pt>
                <c:pt idx="481">
                  <c:v>2872.54</c:v>
                </c:pt>
                <c:pt idx="482">
                  <c:v>2872.54</c:v>
                </c:pt>
                <c:pt idx="483">
                  <c:v>2842.54</c:v>
                </c:pt>
                <c:pt idx="484">
                  <c:v>2812.54</c:v>
                </c:pt>
                <c:pt idx="485">
                  <c:v>2802.54</c:v>
                </c:pt>
                <c:pt idx="486">
                  <c:v>2818.5299999999997</c:v>
                </c:pt>
                <c:pt idx="487">
                  <c:v>2843.6099999999997</c:v>
                </c:pt>
                <c:pt idx="488">
                  <c:v>2823.6099999999997</c:v>
                </c:pt>
                <c:pt idx="489">
                  <c:v>2853.0099999999998</c:v>
                </c:pt>
                <c:pt idx="490">
                  <c:v>2831.0099999999998</c:v>
                </c:pt>
                <c:pt idx="491">
                  <c:v>2831.0099999999998</c:v>
                </c:pt>
                <c:pt idx="492">
                  <c:v>2814.0099999999998</c:v>
                </c:pt>
                <c:pt idx="493">
                  <c:v>2796.0099999999998</c:v>
                </c:pt>
                <c:pt idx="494">
                  <c:v>2804.3099999999995</c:v>
                </c:pt>
                <c:pt idx="495">
                  <c:v>2819.93</c:v>
                </c:pt>
                <c:pt idx="496">
                  <c:v>2834.6699999999996</c:v>
                </c:pt>
                <c:pt idx="497">
                  <c:v>2850.6699999999996</c:v>
                </c:pt>
                <c:pt idx="498">
                  <c:v>2828.6699999999996</c:v>
                </c:pt>
                <c:pt idx="499">
                  <c:v>2856.79</c:v>
                </c:pt>
                <c:pt idx="500">
                  <c:v>2881.87</c:v>
                </c:pt>
                <c:pt idx="501">
                  <c:v>2861.87</c:v>
                </c:pt>
                <c:pt idx="502">
                  <c:v>2831.87</c:v>
                </c:pt>
                <c:pt idx="503">
                  <c:v>2855.87</c:v>
                </c:pt>
                <c:pt idx="504">
                  <c:v>0</c:v>
                </c:pt>
                <c:pt idx="505">
                  <c:v>0</c:v>
                </c:pt>
                <c:pt idx="506">
                  <c:v>2810.87</c:v>
                </c:pt>
                <c:pt idx="507">
                  <c:v>2802.87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2-4DD6-9666-1E1FDDAF7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2503"/>
        <c:axId val="20517617"/>
      </c:areaChart>
      <c:catAx>
        <c:axId val="71652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517617"/>
        <c:crosses val="autoZero"/>
        <c:auto val="1"/>
        <c:lblAlgn val="ctr"/>
        <c:lblOffset val="100"/>
        <c:noMultiLvlLbl val="0"/>
      </c:catAx>
      <c:valAx>
        <c:axId val="20517617"/>
        <c:scaling>
          <c:orientation val="minMax"/>
          <c:min val="190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652503"/>
        <c:crosses val="autoZero"/>
        <c:crossBetween val="midCat"/>
        <c:majorUnit val="10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Drawdown — Picos y Valles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1"/>
        <c:ser>
          <c:idx val="0"/>
          <c:order val="0"/>
          <c:spPr>
            <a:solidFill>
              <a:srgbClr val="FFB3B3"/>
            </a:solidFill>
            <a:ln w="18000">
              <a:solidFill>
                <a:srgbClr val="FF0000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Registro!$O$5:$O$604</c:f>
              <c:strCache>
                <c:ptCount val="5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</c:strCache>
            </c:strRef>
          </c:cat>
          <c:val>
            <c:numRef>
              <c:f>Registro!$Q$5:$Q$604</c:f>
              <c:numCache>
                <c:formatCode>\+#,##0.00;\-#,##0.00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-20</c:v>
                </c:pt>
                <c:pt idx="3">
                  <c:v>-8.4000000000000909</c:v>
                </c:pt>
                <c:pt idx="4">
                  <c:v>0</c:v>
                </c:pt>
                <c:pt idx="5">
                  <c:v>-15</c:v>
                </c:pt>
                <c:pt idx="6">
                  <c:v>-30</c:v>
                </c:pt>
                <c:pt idx="7">
                  <c:v>-50</c:v>
                </c:pt>
                <c:pt idx="8">
                  <c:v>-50</c:v>
                </c:pt>
                <c:pt idx="9">
                  <c:v>-50</c:v>
                </c:pt>
                <c:pt idx="10">
                  <c:v>-37.099999999999909</c:v>
                </c:pt>
                <c:pt idx="11">
                  <c:v>-19.599999999999909</c:v>
                </c:pt>
                <c:pt idx="12">
                  <c:v>-7.5999999999999091</c:v>
                </c:pt>
                <c:pt idx="13">
                  <c:v>-27.599999999999909</c:v>
                </c:pt>
                <c:pt idx="14">
                  <c:v>-16.5</c:v>
                </c:pt>
                <c:pt idx="15">
                  <c:v>0</c:v>
                </c:pt>
                <c:pt idx="16">
                  <c:v>-15</c:v>
                </c:pt>
                <c:pt idx="17">
                  <c:v>-30</c:v>
                </c:pt>
                <c:pt idx="18">
                  <c:v>-45</c:v>
                </c:pt>
                <c:pt idx="19">
                  <c:v>-27</c:v>
                </c:pt>
                <c:pt idx="20">
                  <c:v>-19</c:v>
                </c:pt>
                <c:pt idx="21">
                  <c:v>-4</c:v>
                </c:pt>
                <c:pt idx="22">
                  <c:v>-24</c:v>
                </c:pt>
                <c:pt idx="23">
                  <c:v>-24</c:v>
                </c:pt>
                <c:pt idx="24">
                  <c:v>-2.5</c:v>
                </c:pt>
                <c:pt idx="25">
                  <c:v>0</c:v>
                </c:pt>
                <c:pt idx="26">
                  <c:v>-15.000000000000227</c:v>
                </c:pt>
                <c:pt idx="27">
                  <c:v>-30.000000000000227</c:v>
                </c:pt>
                <c:pt idx="28">
                  <c:v>-16.500000000000227</c:v>
                </c:pt>
                <c:pt idx="29">
                  <c:v>-31.500000000000227</c:v>
                </c:pt>
                <c:pt idx="30">
                  <c:v>-24.000000000000227</c:v>
                </c:pt>
                <c:pt idx="31">
                  <c:v>-44.000000000000227</c:v>
                </c:pt>
                <c:pt idx="32">
                  <c:v>-32.000000000000227</c:v>
                </c:pt>
                <c:pt idx="33">
                  <c:v>-57.000000000000227</c:v>
                </c:pt>
                <c:pt idx="34">
                  <c:v>-44.200000000000273</c:v>
                </c:pt>
                <c:pt idx="35">
                  <c:v>-64.200000000000273</c:v>
                </c:pt>
                <c:pt idx="36">
                  <c:v>-79.200000000000273</c:v>
                </c:pt>
                <c:pt idx="37">
                  <c:v>-60.450000000000273</c:v>
                </c:pt>
                <c:pt idx="38">
                  <c:v>-45.850000000000136</c:v>
                </c:pt>
                <c:pt idx="39">
                  <c:v>-29.800000000000182</c:v>
                </c:pt>
                <c:pt idx="40">
                  <c:v>-49.800000000000182</c:v>
                </c:pt>
                <c:pt idx="41">
                  <c:v>-33.600000000000136</c:v>
                </c:pt>
                <c:pt idx="42">
                  <c:v>-53.600000000000136</c:v>
                </c:pt>
                <c:pt idx="43">
                  <c:v>-42.200000000000273</c:v>
                </c:pt>
                <c:pt idx="44">
                  <c:v>-57.200000000000273</c:v>
                </c:pt>
                <c:pt idx="45">
                  <c:v>-45.200000000000273</c:v>
                </c:pt>
                <c:pt idx="46">
                  <c:v>-33.600000000000136</c:v>
                </c:pt>
                <c:pt idx="47">
                  <c:v>-48.600000000000136</c:v>
                </c:pt>
                <c:pt idx="48">
                  <c:v>-39.600000000000136</c:v>
                </c:pt>
                <c:pt idx="49">
                  <c:v>-26.550000000000182</c:v>
                </c:pt>
                <c:pt idx="50">
                  <c:v>-13.800000000000182</c:v>
                </c:pt>
                <c:pt idx="51">
                  <c:v>-7.8000000000001819</c:v>
                </c:pt>
                <c:pt idx="52">
                  <c:v>0</c:v>
                </c:pt>
                <c:pt idx="53">
                  <c:v>-15</c:v>
                </c:pt>
                <c:pt idx="54">
                  <c:v>-35</c:v>
                </c:pt>
                <c:pt idx="55">
                  <c:v>-15.5</c:v>
                </c:pt>
                <c:pt idx="56">
                  <c:v>-0.5</c:v>
                </c:pt>
                <c:pt idx="57">
                  <c:v>0</c:v>
                </c:pt>
                <c:pt idx="58">
                  <c:v>-10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-15</c:v>
                </c:pt>
                <c:pt idx="66">
                  <c:v>-6.75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-34</c:v>
                </c:pt>
                <c:pt idx="79">
                  <c:v>-14.960000000000036</c:v>
                </c:pt>
                <c:pt idx="80">
                  <c:v>0</c:v>
                </c:pt>
                <c:pt idx="81">
                  <c:v>0</c:v>
                </c:pt>
                <c:pt idx="82">
                  <c:v>-17</c:v>
                </c:pt>
                <c:pt idx="83">
                  <c:v>-45</c:v>
                </c:pt>
                <c:pt idx="84">
                  <c:v>-68</c:v>
                </c:pt>
                <c:pt idx="85">
                  <c:v>-54.400000000000091</c:v>
                </c:pt>
                <c:pt idx="86">
                  <c:v>-40.119999999999891</c:v>
                </c:pt>
                <c:pt idx="87">
                  <c:v>-28.920000000000073</c:v>
                </c:pt>
                <c:pt idx="88">
                  <c:v>-11.070000000000164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-17</c:v>
                </c:pt>
                <c:pt idx="95">
                  <c:v>-34</c:v>
                </c:pt>
                <c:pt idx="96">
                  <c:v>-18.190000000000055</c:v>
                </c:pt>
                <c:pt idx="97">
                  <c:v>-35.190000000000055</c:v>
                </c:pt>
                <c:pt idx="98">
                  <c:v>-63.190000000000055</c:v>
                </c:pt>
                <c:pt idx="99">
                  <c:v>-80.190000000000055</c:v>
                </c:pt>
                <c:pt idx="100">
                  <c:v>-75.710000000000036</c:v>
                </c:pt>
                <c:pt idx="101">
                  <c:v>-60.409999999999854</c:v>
                </c:pt>
                <c:pt idx="102">
                  <c:v>-83.409999999999854</c:v>
                </c:pt>
                <c:pt idx="103">
                  <c:v>-68.789999999999964</c:v>
                </c:pt>
                <c:pt idx="104">
                  <c:v>-96.789999999999964</c:v>
                </c:pt>
                <c:pt idx="105">
                  <c:v>-74.389999999999873</c:v>
                </c:pt>
                <c:pt idx="106">
                  <c:v>-56.909999999999854</c:v>
                </c:pt>
                <c:pt idx="107">
                  <c:v>-38.720000000000255</c:v>
                </c:pt>
                <c:pt idx="108">
                  <c:v>-55.720000000000255</c:v>
                </c:pt>
                <c:pt idx="109">
                  <c:v>-40.220000000000255</c:v>
                </c:pt>
                <c:pt idx="110">
                  <c:v>-30.019999999999982</c:v>
                </c:pt>
                <c:pt idx="111">
                  <c:v>-20.420000000000073</c:v>
                </c:pt>
                <c:pt idx="112">
                  <c:v>-5.9700000000002547</c:v>
                </c:pt>
                <c:pt idx="113">
                  <c:v>0</c:v>
                </c:pt>
                <c:pt idx="114">
                  <c:v>0</c:v>
                </c:pt>
                <c:pt idx="115">
                  <c:v>-23</c:v>
                </c:pt>
                <c:pt idx="116">
                  <c:v>-40</c:v>
                </c:pt>
                <c:pt idx="117">
                  <c:v>-62</c:v>
                </c:pt>
                <c:pt idx="118">
                  <c:v>-51.879999999999654</c:v>
                </c:pt>
                <c:pt idx="119">
                  <c:v>-40.379999999999654</c:v>
                </c:pt>
                <c:pt idx="120">
                  <c:v>-26.579999999999927</c:v>
                </c:pt>
                <c:pt idx="121">
                  <c:v>-10.940000000000055</c:v>
                </c:pt>
                <c:pt idx="122">
                  <c:v>-10.940000000000055</c:v>
                </c:pt>
                <c:pt idx="123">
                  <c:v>0</c:v>
                </c:pt>
                <c:pt idx="124">
                  <c:v>-21</c:v>
                </c:pt>
                <c:pt idx="125">
                  <c:v>-9.7300000000000182</c:v>
                </c:pt>
                <c:pt idx="126">
                  <c:v>0</c:v>
                </c:pt>
                <c:pt idx="127">
                  <c:v>-28</c:v>
                </c:pt>
                <c:pt idx="128">
                  <c:v>-14.659999999999854</c:v>
                </c:pt>
                <c:pt idx="129">
                  <c:v>-8.8800000000001091</c:v>
                </c:pt>
                <c:pt idx="130">
                  <c:v>0</c:v>
                </c:pt>
                <c:pt idx="131">
                  <c:v>-17</c:v>
                </c:pt>
                <c:pt idx="132">
                  <c:v>-2.8900000000003274</c:v>
                </c:pt>
                <c:pt idx="133">
                  <c:v>-19.890000000000327</c:v>
                </c:pt>
                <c:pt idx="134">
                  <c:v>-43.890000000000327</c:v>
                </c:pt>
                <c:pt idx="135">
                  <c:v>-29.25</c:v>
                </c:pt>
                <c:pt idx="136">
                  <c:v>-47.25</c:v>
                </c:pt>
                <c:pt idx="137">
                  <c:v>-26.550000000000182</c:v>
                </c:pt>
                <c:pt idx="138">
                  <c:v>-44.550000000000182</c:v>
                </c:pt>
                <c:pt idx="139">
                  <c:v>-68.550000000000182</c:v>
                </c:pt>
                <c:pt idx="140">
                  <c:v>-52.710000000000036</c:v>
                </c:pt>
                <c:pt idx="141">
                  <c:v>-31.110000000000127</c:v>
                </c:pt>
                <c:pt idx="142">
                  <c:v>-43.110000000000127</c:v>
                </c:pt>
                <c:pt idx="143">
                  <c:v>-67.110000000000127</c:v>
                </c:pt>
                <c:pt idx="144">
                  <c:v>-79.110000000000127</c:v>
                </c:pt>
                <c:pt idx="145">
                  <c:v>-91.110000000000127</c:v>
                </c:pt>
                <c:pt idx="146">
                  <c:v>-76.710000000000036</c:v>
                </c:pt>
                <c:pt idx="147">
                  <c:v>-49.110000000000127</c:v>
                </c:pt>
                <c:pt idx="148">
                  <c:v>-59.110000000000127</c:v>
                </c:pt>
                <c:pt idx="149">
                  <c:v>-34.910000000000309</c:v>
                </c:pt>
                <c:pt idx="150">
                  <c:v>-20.650000000000091</c:v>
                </c:pt>
                <c:pt idx="151">
                  <c:v>-5.25</c:v>
                </c:pt>
                <c:pt idx="152">
                  <c:v>-28.25</c:v>
                </c:pt>
                <c:pt idx="153">
                  <c:v>-12.150000000000091</c:v>
                </c:pt>
                <c:pt idx="154">
                  <c:v>-35.150000000000091</c:v>
                </c:pt>
                <c:pt idx="155">
                  <c:v>-71.150000000000091</c:v>
                </c:pt>
                <c:pt idx="156">
                  <c:v>-83.150000000000091</c:v>
                </c:pt>
                <c:pt idx="157">
                  <c:v>-101.15000000000009</c:v>
                </c:pt>
                <c:pt idx="158">
                  <c:v>-84.950000000000273</c:v>
                </c:pt>
                <c:pt idx="159">
                  <c:v>-68.960000000000036</c:v>
                </c:pt>
                <c:pt idx="160">
                  <c:v>-44.760000000000218</c:v>
                </c:pt>
                <c:pt idx="161">
                  <c:v>-67.760000000000218</c:v>
                </c:pt>
                <c:pt idx="162">
                  <c:v>-89.760000000000218</c:v>
                </c:pt>
                <c:pt idx="163">
                  <c:v>-80.079999999999927</c:v>
                </c:pt>
                <c:pt idx="164">
                  <c:v>-102.07999999999993</c:v>
                </c:pt>
                <c:pt idx="165">
                  <c:v>-87.680000000000291</c:v>
                </c:pt>
                <c:pt idx="166">
                  <c:v>-71.690000000000055</c:v>
                </c:pt>
                <c:pt idx="167">
                  <c:v>-93.690000000000055</c:v>
                </c:pt>
                <c:pt idx="168">
                  <c:v>-84.890000000000327</c:v>
                </c:pt>
                <c:pt idx="169">
                  <c:v>-95.890000000000327</c:v>
                </c:pt>
                <c:pt idx="170">
                  <c:v>-75.190000000000055</c:v>
                </c:pt>
                <c:pt idx="171">
                  <c:v>-97.190000000000055</c:v>
                </c:pt>
                <c:pt idx="172">
                  <c:v>-86.190000000000055</c:v>
                </c:pt>
                <c:pt idx="173">
                  <c:v>-64.950000000000273</c:v>
                </c:pt>
                <c:pt idx="174">
                  <c:v>-82.950000000000273</c:v>
                </c:pt>
                <c:pt idx="175">
                  <c:v>-73.180000000000291</c:v>
                </c:pt>
                <c:pt idx="176">
                  <c:v>-57.120000000000346</c:v>
                </c:pt>
                <c:pt idx="177">
                  <c:v>-46.120000000000346</c:v>
                </c:pt>
                <c:pt idx="178">
                  <c:v>-29.380000000000109</c:v>
                </c:pt>
                <c:pt idx="179">
                  <c:v>-51.380000000000109</c:v>
                </c:pt>
                <c:pt idx="180">
                  <c:v>-69.380000000000109</c:v>
                </c:pt>
                <c:pt idx="181">
                  <c:v>-55.960000000000036</c:v>
                </c:pt>
                <c:pt idx="182">
                  <c:v>-44.300000000000182</c:v>
                </c:pt>
                <c:pt idx="183">
                  <c:v>-66.300000000000182</c:v>
                </c:pt>
                <c:pt idx="184">
                  <c:v>-56.619999999999891</c:v>
                </c:pt>
                <c:pt idx="185">
                  <c:v>-74.619999999999891</c:v>
                </c:pt>
                <c:pt idx="186">
                  <c:v>-96.619999999999891</c:v>
                </c:pt>
                <c:pt idx="187">
                  <c:v>-118.61999999999989</c:v>
                </c:pt>
                <c:pt idx="188">
                  <c:v>-140.61999999999989</c:v>
                </c:pt>
                <c:pt idx="189">
                  <c:v>-158.61999999999989</c:v>
                </c:pt>
                <c:pt idx="190">
                  <c:v>-138.82000000000016</c:v>
                </c:pt>
                <c:pt idx="191">
                  <c:v>-156.82000000000016</c:v>
                </c:pt>
                <c:pt idx="192">
                  <c:v>-144.72000000000025</c:v>
                </c:pt>
                <c:pt idx="193">
                  <c:v>-128.88000000000011</c:v>
                </c:pt>
                <c:pt idx="194">
                  <c:v>-109.98000000000002</c:v>
                </c:pt>
                <c:pt idx="195">
                  <c:v>-120.98000000000002</c:v>
                </c:pt>
                <c:pt idx="196">
                  <c:v>-105.68000000000029</c:v>
                </c:pt>
                <c:pt idx="197">
                  <c:v>-87.680000000000291</c:v>
                </c:pt>
                <c:pt idx="198">
                  <c:v>-76.900000000000091</c:v>
                </c:pt>
                <c:pt idx="199">
                  <c:v>-65.170000000000073</c:v>
                </c:pt>
                <c:pt idx="200">
                  <c:v>-83.170000000000073</c:v>
                </c:pt>
                <c:pt idx="201">
                  <c:v>-105.17000000000007</c:v>
                </c:pt>
                <c:pt idx="202">
                  <c:v>-89.329999999999927</c:v>
                </c:pt>
                <c:pt idx="203">
                  <c:v>-103.32999999999993</c:v>
                </c:pt>
                <c:pt idx="204">
                  <c:v>-85.289999999999964</c:v>
                </c:pt>
                <c:pt idx="205">
                  <c:v>-66.210000000000036</c:v>
                </c:pt>
                <c:pt idx="206">
                  <c:v>-84.210000000000036</c:v>
                </c:pt>
                <c:pt idx="207">
                  <c:v>-68.910000000000309</c:v>
                </c:pt>
                <c:pt idx="208">
                  <c:v>-90.910000000000309</c:v>
                </c:pt>
                <c:pt idx="209">
                  <c:v>-76.260000000000218</c:v>
                </c:pt>
                <c:pt idx="210">
                  <c:v>-88.260000000000218</c:v>
                </c:pt>
                <c:pt idx="211">
                  <c:v>-74.400000000000091</c:v>
                </c:pt>
                <c:pt idx="212">
                  <c:v>-84.400000000000091</c:v>
                </c:pt>
                <c:pt idx="213">
                  <c:v>-72.670000000000073</c:v>
                </c:pt>
                <c:pt idx="214">
                  <c:v>-93.670000000000073</c:v>
                </c:pt>
                <c:pt idx="215">
                  <c:v>-111.67000000000007</c:v>
                </c:pt>
                <c:pt idx="216">
                  <c:v>-100.26999999999998</c:v>
                </c:pt>
                <c:pt idx="217">
                  <c:v>-83.350000000000364</c:v>
                </c:pt>
                <c:pt idx="218">
                  <c:v>-70.150000000000091</c:v>
                </c:pt>
                <c:pt idx="219">
                  <c:v>-55.630000000000109</c:v>
                </c:pt>
                <c:pt idx="220">
                  <c:v>-39.950000000000273</c:v>
                </c:pt>
                <c:pt idx="221">
                  <c:v>-24.350000000000364</c:v>
                </c:pt>
                <c:pt idx="222">
                  <c:v>-42.350000000000364</c:v>
                </c:pt>
                <c:pt idx="223">
                  <c:v>-64.350000000000364</c:v>
                </c:pt>
                <c:pt idx="224">
                  <c:v>-49.789999999999964</c:v>
                </c:pt>
                <c:pt idx="225">
                  <c:v>-31.789999999999964</c:v>
                </c:pt>
                <c:pt idx="226">
                  <c:v>-45.789999999999964</c:v>
                </c:pt>
                <c:pt idx="227">
                  <c:v>-67.789999999999964</c:v>
                </c:pt>
                <c:pt idx="228">
                  <c:v>-85.789999999999964</c:v>
                </c:pt>
                <c:pt idx="229">
                  <c:v>-75.230000000000018</c:v>
                </c:pt>
                <c:pt idx="230">
                  <c:v>-97.230000000000018</c:v>
                </c:pt>
                <c:pt idx="231">
                  <c:v>-88.720000000000255</c:v>
                </c:pt>
                <c:pt idx="232">
                  <c:v>-71.980000000000018</c:v>
                </c:pt>
                <c:pt idx="233">
                  <c:v>-63.610000000000127</c:v>
                </c:pt>
                <c:pt idx="234">
                  <c:v>-49.5300000000002</c:v>
                </c:pt>
                <c:pt idx="235">
                  <c:v>-36.420000000000073</c:v>
                </c:pt>
                <c:pt idx="236">
                  <c:v>-53.420000000000073</c:v>
                </c:pt>
                <c:pt idx="237">
                  <c:v>-76.420000000000073</c:v>
                </c:pt>
                <c:pt idx="238">
                  <c:v>-99.420000000000073</c:v>
                </c:pt>
                <c:pt idx="239">
                  <c:v>-99.420000000000073</c:v>
                </c:pt>
                <c:pt idx="240">
                  <c:v>-122.42000000000007</c:v>
                </c:pt>
                <c:pt idx="241">
                  <c:v>-145.42000000000007</c:v>
                </c:pt>
                <c:pt idx="242">
                  <c:v>-131.01999999999998</c:v>
                </c:pt>
                <c:pt idx="243">
                  <c:v>-143.01999999999998</c:v>
                </c:pt>
                <c:pt idx="244">
                  <c:v>-128.07000000000016</c:v>
                </c:pt>
                <c:pt idx="245">
                  <c:v>-118.97000000000025</c:v>
                </c:pt>
                <c:pt idx="246">
                  <c:v>-99.769999999999982</c:v>
                </c:pt>
                <c:pt idx="247">
                  <c:v>-81.829999999999927</c:v>
                </c:pt>
                <c:pt idx="248">
                  <c:v>-63.269999999999982</c:v>
                </c:pt>
                <c:pt idx="249">
                  <c:v>-86.269999999999982</c:v>
                </c:pt>
                <c:pt idx="250">
                  <c:v>-109.26999999999998</c:v>
                </c:pt>
                <c:pt idx="251">
                  <c:v>-95.160000000000309</c:v>
                </c:pt>
                <c:pt idx="252">
                  <c:v>-75.7800000000002</c:v>
                </c:pt>
                <c:pt idx="253">
                  <c:v>-92.7800000000002</c:v>
                </c:pt>
                <c:pt idx="254">
                  <c:v>-77.140000000000327</c:v>
                </c:pt>
                <c:pt idx="255">
                  <c:v>-62.420000000000073</c:v>
                </c:pt>
                <c:pt idx="256">
                  <c:v>-44.730000000000018</c:v>
                </c:pt>
                <c:pt idx="257">
                  <c:v>-67.730000000000018</c:v>
                </c:pt>
                <c:pt idx="258">
                  <c:v>-45.190000000000055</c:v>
                </c:pt>
                <c:pt idx="259">
                  <c:v>-62.190000000000055</c:v>
                </c:pt>
                <c:pt idx="260">
                  <c:v>-79.190000000000055</c:v>
                </c:pt>
                <c:pt idx="261">
                  <c:v>-96.190000000000055</c:v>
                </c:pt>
                <c:pt idx="262">
                  <c:v>-81.470000000000255</c:v>
                </c:pt>
                <c:pt idx="263">
                  <c:v>-69.210000000000036</c:v>
                </c:pt>
                <c:pt idx="264">
                  <c:v>-86.210000000000036</c:v>
                </c:pt>
                <c:pt idx="265">
                  <c:v>-70.460000000000036</c:v>
                </c:pt>
                <c:pt idx="266">
                  <c:v>-70.460000000000036</c:v>
                </c:pt>
                <c:pt idx="267">
                  <c:v>-87.460000000000036</c:v>
                </c:pt>
                <c:pt idx="268">
                  <c:v>-70.119999999999891</c:v>
                </c:pt>
                <c:pt idx="269">
                  <c:v>-105.11999999999989</c:v>
                </c:pt>
                <c:pt idx="270">
                  <c:v>-85.340000000000146</c:v>
                </c:pt>
                <c:pt idx="271">
                  <c:v>-74.070000000000164</c:v>
                </c:pt>
                <c:pt idx="272">
                  <c:v>-57.070000000000164</c:v>
                </c:pt>
                <c:pt idx="273">
                  <c:v>-74.070000000000164</c:v>
                </c:pt>
                <c:pt idx="274">
                  <c:v>-97.070000000000164</c:v>
                </c:pt>
                <c:pt idx="275">
                  <c:v>-80.070000000000164</c:v>
                </c:pt>
                <c:pt idx="276">
                  <c:v>-64.75</c:v>
                </c:pt>
                <c:pt idx="277">
                  <c:v>-54.630000000000109</c:v>
                </c:pt>
                <c:pt idx="278">
                  <c:v>-72.630000000000109</c:v>
                </c:pt>
                <c:pt idx="279">
                  <c:v>-89.630000000000109</c:v>
                </c:pt>
                <c:pt idx="280">
                  <c:v>-68.470000000000255</c:v>
                </c:pt>
                <c:pt idx="281">
                  <c:v>-85.470000000000255</c:v>
                </c:pt>
                <c:pt idx="282">
                  <c:v>-102.47000000000025</c:v>
                </c:pt>
                <c:pt idx="283">
                  <c:v>-88.019999999999982</c:v>
                </c:pt>
                <c:pt idx="284">
                  <c:v>-73.990000000000236</c:v>
                </c:pt>
                <c:pt idx="285">
                  <c:v>-57.430000000000291</c:v>
                </c:pt>
                <c:pt idx="286">
                  <c:v>-42.940000000000055</c:v>
                </c:pt>
                <c:pt idx="287">
                  <c:v>-24.940000000000055</c:v>
                </c:pt>
                <c:pt idx="288">
                  <c:v>-41.940000000000055</c:v>
                </c:pt>
                <c:pt idx="289">
                  <c:v>-24.180000000000291</c:v>
                </c:pt>
                <c:pt idx="290">
                  <c:v>-5.5799999999999272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-18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-14</c:v>
                </c:pt>
                <c:pt idx="313">
                  <c:v>0</c:v>
                </c:pt>
                <c:pt idx="314">
                  <c:v>-18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-13</c:v>
                </c:pt>
                <c:pt idx="319">
                  <c:v>0</c:v>
                </c:pt>
                <c:pt idx="320">
                  <c:v>-23</c:v>
                </c:pt>
                <c:pt idx="321">
                  <c:v>-3.0199999999999818</c:v>
                </c:pt>
                <c:pt idx="322">
                  <c:v>-23.019999999999982</c:v>
                </c:pt>
                <c:pt idx="323">
                  <c:v>-46.019999999999982</c:v>
                </c:pt>
                <c:pt idx="324">
                  <c:v>-23.019999999999982</c:v>
                </c:pt>
                <c:pt idx="325">
                  <c:v>-7.9400000000000546</c:v>
                </c:pt>
                <c:pt idx="326">
                  <c:v>0</c:v>
                </c:pt>
                <c:pt idx="327">
                  <c:v>0</c:v>
                </c:pt>
                <c:pt idx="328">
                  <c:v>-20</c:v>
                </c:pt>
                <c:pt idx="329">
                  <c:v>-47</c:v>
                </c:pt>
                <c:pt idx="330">
                  <c:v>-47</c:v>
                </c:pt>
                <c:pt idx="331">
                  <c:v>-67</c:v>
                </c:pt>
                <c:pt idx="332">
                  <c:v>-80</c:v>
                </c:pt>
                <c:pt idx="333">
                  <c:v>-63.260000000000218</c:v>
                </c:pt>
                <c:pt idx="334">
                  <c:v>-76.260000000000218</c:v>
                </c:pt>
                <c:pt idx="335">
                  <c:v>-56.279999999999745</c:v>
                </c:pt>
                <c:pt idx="336">
                  <c:v>-76.279999999999745</c:v>
                </c:pt>
                <c:pt idx="337">
                  <c:v>-103.27999999999975</c:v>
                </c:pt>
                <c:pt idx="338">
                  <c:v>-90.590000000000146</c:v>
                </c:pt>
                <c:pt idx="339">
                  <c:v>-90.590000000000146</c:v>
                </c:pt>
                <c:pt idx="340">
                  <c:v>-90.590000000000146</c:v>
                </c:pt>
                <c:pt idx="341">
                  <c:v>-117.59000000000015</c:v>
                </c:pt>
                <c:pt idx="342">
                  <c:v>-101.98999999999978</c:v>
                </c:pt>
                <c:pt idx="343">
                  <c:v>-89.809999999999945</c:v>
                </c:pt>
                <c:pt idx="344">
                  <c:v>-70.409999999999854</c:v>
                </c:pt>
                <c:pt idx="345">
                  <c:v>-70.409999999999854</c:v>
                </c:pt>
                <c:pt idx="346">
                  <c:v>-58.529999999999745</c:v>
                </c:pt>
                <c:pt idx="347">
                  <c:v>-78.529999999999745</c:v>
                </c:pt>
                <c:pt idx="348">
                  <c:v>-59.329999999999927</c:v>
                </c:pt>
                <c:pt idx="349">
                  <c:v>-73.329999999999927</c:v>
                </c:pt>
                <c:pt idx="350">
                  <c:v>-59.090000000000146</c:v>
                </c:pt>
                <c:pt idx="351">
                  <c:v>-43.690000000000055</c:v>
                </c:pt>
                <c:pt idx="352">
                  <c:v>-63.690000000000055</c:v>
                </c:pt>
                <c:pt idx="353">
                  <c:v>-46.889999999999873</c:v>
                </c:pt>
                <c:pt idx="354">
                  <c:v>-31.529999999999745</c:v>
                </c:pt>
                <c:pt idx="355">
                  <c:v>-12.090000000000146</c:v>
                </c:pt>
                <c:pt idx="356">
                  <c:v>-32.090000000000146</c:v>
                </c:pt>
                <c:pt idx="357">
                  <c:v>-22.230000000000018</c:v>
                </c:pt>
                <c:pt idx="358">
                  <c:v>-49.230000000000018</c:v>
                </c:pt>
                <c:pt idx="359">
                  <c:v>-69.230000000000018</c:v>
                </c:pt>
                <c:pt idx="360">
                  <c:v>-92.230000000000018</c:v>
                </c:pt>
                <c:pt idx="361">
                  <c:v>-74.829999999999927</c:v>
                </c:pt>
                <c:pt idx="362">
                  <c:v>-101.82999999999993</c:v>
                </c:pt>
                <c:pt idx="363">
                  <c:v>-115.82999999999993</c:v>
                </c:pt>
                <c:pt idx="364">
                  <c:v>-135.82999999999993</c:v>
                </c:pt>
                <c:pt idx="365">
                  <c:v>-114.23000000000002</c:v>
                </c:pt>
                <c:pt idx="366">
                  <c:v>-98.649999999999636</c:v>
                </c:pt>
                <c:pt idx="367">
                  <c:v>-81.989999999999782</c:v>
                </c:pt>
                <c:pt idx="368">
                  <c:v>-74.989999999999782</c:v>
                </c:pt>
                <c:pt idx="369">
                  <c:v>-65.389999999999873</c:v>
                </c:pt>
                <c:pt idx="370">
                  <c:v>-50.399999999999636</c:v>
                </c:pt>
                <c:pt idx="371">
                  <c:v>-95.399999999999636</c:v>
                </c:pt>
                <c:pt idx="372">
                  <c:v>-83</c:v>
                </c:pt>
                <c:pt idx="373">
                  <c:v>-110</c:v>
                </c:pt>
                <c:pt idx="374">
                  <c:v>-130</c:v>
                </c:pt>
                <c:pt idx="375">
                  <c:v>-114.34000000000015</c:v>
                </c:pt>
                <c:pt idx="376">
                  <c:v>-94.340000000000146</c:v>
                </c:pt>
                <c:pt idx="377">
                  <c:v>-76.789999999999964</c:v>
                </c:pt>
                <c:pt idx="378">
                  <c:v>-57.889999999999873</c:v>
                </c:pt>
                <c:pt idx="379">
                  <c:v>-38.989999999999782</c:v>
                </c:pt>
                <c:pt idx="380">
                  <c:v>-25.489999999999782</c:v>
                </c:pt>
                <c:pt idx="381">
                  <c:v>-9.0199999999999818</c:v>
                </c:pt>
                <c:pt idx="382">
                  <c:v>-29.019999999999982</c:v>
                </c:pt>
                <c:pt idx="383">
                  <c:v>-56.019999999999982</c:v>
                </c:pt>
                <c:pt idx="384">
                  <c:v>-56.019999999999982</c:v>
                </c:pt>
                <c:pt idx="385">
                  <c:v>-41.220000000000255</c:v>
                </c:pt>
                <c:pt idx="386">
                  <c:v>-29.610000000000127</c:v>
                </c:pt>
                <c:pt idx="387">
                  <c:v>-13.409999999999854</c:v>
                </c:pt>
                <c:pt idx="388">
                  <c:v>-40.409999999999854</c:v>
                </c:pt>
                <c:pt idx="389">
                  <c:v>-67.409999999999854</c:v>
                </c:pt>
                <c:pt idx="390">
                  <c:v>-67.409999999999854</c:v>
                </c:pt>
                <c:pt idx="391">
                  <c:v>-53.909999999999854</c:v>
                </c:pt>
                <c:pt idx="392">
                  <c:v>-35.510000000000218</c:v>
                </c:pt>
                <c:pt idx="393">
                  <c:v>-14.989999999999782</c:v>
                </c:pt>
                <c:pt idx="394">
                  <c:v>0</c:v>
                </c:pt>
                <c:pt idx="395">
                  <c:v>0</c:v>
                </c:pt>
                <c:pt idx="396">
                  <c:v>-27</c:v>
                </c:pt>
                <c:pt idx="397">
                  <c:v>-12</c:v>
                </c:pt>
                <c:pt idx="398">
                  <c:v>0</c:v>
                </c:pt>
                <c:pt idx="399">
                  <c:v>-14</c:v>
                </c:pt>
                <c:pt idx="400">
                  <c:v>-41</c:v>
                </c:pt>
                <c:pt idx="401">
                  <c:v>-26.960000000000036</c:v>
                </c:pt>
                <c:pt idx="402">
                  <c:v>-14.540000000000418</c:v>
                </c:pt>
                <c:pt idx="403">
                  <c:v>-0.36000000000012733</c:v>
                </c:pt>
                <c:pt idx="404">
                  <c:v>-20.360000000000127</c:v>
                </c:pt>
                <c:pt idx="405">
                  <c:v>-7.1300000000001091</c:v>
                </c:pt>
                <c:pt idx="406">
                  <c:v>0</c:v>
                </c:pt>
                <c:pt idx="407">
                  <c:v>-27</c:v>
                </c:pt>
                <c:pt idx="408">
                  <c:v>-54</c:v>
                </c:pt>
                <c:pt idx="409">
                  <c:v>-74</c:v>
                </c:pt>
                <c:pt idx="410">
                  <c:v>-59.420000000000073</c:v>
                </c:pt>
                <c:pt idx="411">
                  <c:v>-45.920000000000073</c:v>
                </c:pt>
                <c:pt idx="412">
                  <c:v>-28.099999999999909</c:v>
                </c:pt>
                <c:pt idx="413">
                  <c:v>-55.099999999999909</c:v>
                </c:pt>
                <c:pt idx="414">
                  <c:v>-82.099999999999909</c:v>
                </c:pt>
                <c:pt idx="415">
                  <c:v>-64.279999999999745</c:v>
                </c:pt>
                <c:pt idx="416">
                  <c:v>-43.759999999999764</c:v>
                </c:pt>
                <c:pt idx="417">
                  <c:v>-22</c:v>
                </c:pt>
                <c:pt idx="418">
                  <c:v>-42</c:v>
                </c:pt>
                <c:pt idx="419">
                  <c:v>-16.839999999999691</c:v>
                </c:pt>
                <c:pt idx="420">
                  <c:v>-30.839999999999691</c:v>
                </c:pt>
                <c:pt idx="421">
                  <c:v>-13.829999999999927</c:v>
                </c:pt>
                <c:pt idx="422">
                  <c:v>-40.829999999999927</c:v>
                </c:pt>
                <c:pt idx="423">
                  <c:v>-30.029999999999745</c:v>
                </c:pt>
                <c:pt idx="424">
                  <c:v>-57.029999999999745</c:v>
                </c:pt>
                <c:pt idx="425">
                  <c:v>-77.029999999999745</c:v>
                </c:pt>
                <c:pt idx="426">
                  <c:v>-62.7199999999998</c:v>
                </c:pt>
                <c:pt idx="427">
                  <c:v>-43</c:v>
                </c:pt>
                <c:pt idx="428">
                  <c:v>-26.799999999999727</c:v>
                </c:pt>
                <c:pt idx="429">
                  <c:v>-6.3999999999996362</c:v>
                </c:pt>
                <c:pt idx="430">
                  <c:v>-33.399999999999636</c:v>
                </c:pt>
                <c:pt idx="431">
                  <c:v>-33.399999999999636</c:v>
                </c:pt>
                <c:pt idx="432">
                  <c:v>-17.199999999999818</c:v>
                </c:pt>
                <c:pt idx="433">
                  <c:v>-1.8099999999999454</c:v>
                </c:pt>
                <c:pt idx="434">
                  <c:v>-28.809999999999945</c:v>
                </c:pt>
                <c:pt idx="435">
                  <c:v>-12.809999999999945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-27</c:v>
                </c:pt>
                <c:pt idx="440">
                  <c:v>-54</c:v>
                </c:pt>
                <c:pt idx="441">
                  <c:v>-36.900000000000091</c:v>
                </c:pt>
                <c:pt idx="442">
                  <c:v>-63.900000000000091</c:v>
                </c:pt>
                <c:pt idx="443">
                  <c:v>-50.400000000000091</c:v>
                </c:pt>
                <c:pt idx="444">
                  <c:v>-77.400000000000091</c:v>
                </c:pt>
                <c:pt idx="445">
                  <c:v>-61.199999999999818</c:v>
                </c:pt>
                <c:pt idx="446">
                  <c:v>-43.199999999999818</c:v>
                </c:pt>
                <c:pt idx="447">
                  <c:v>-28.889999999999873</c:v>
                </c:pt>
                <c:pt idx="448">
                  <c:v>-48.889999999999873</c:v>
                </c:pt>
                <c:pt idx="449">
                  <c:v>-68.889999999999873</c:v>
                </c:pt>
                <c:pt idx="450">
                  <c:v>-49.259999999999764</c:v>
                </c:pt>
                <c:pt idx="451">
                  <c:v>-28.5</c:v>
                </c:pt>
                <c:pt idx="452">
                  <c:v>-7.7399999999997817</c:v>
                </c:pt>
                <c:pt idx="453">
                  <c:v>-21.739999999999782</c:v>
                </c:pt>
                <c:pt idx="454">
                  <c:v>-41.739999999999782</c:v>
                </c:pt>
                <c:pt idx="455">
                  <c:v>-68.739999999999782</c:v>
                </c:pt>
                <c:pt idx="456">
                  <c:v>-50.559999999999945</c:v>
                </c:pt>
                <c:pt idx="457">
                  <c:v>-79.559999999999945</c:v>
                </c:pt>
                <c:pt idx="458">
                  <c:v>-70.110000000000127</c:v>
                </c:pt>
                <c:pt idx="459">
                  <c:v>-58.610000000000127</c:v>
                </c:pt>
                <c:pt idx="460">
                  <c:v>-36.759999999999764</c:v>
                </c:pt>
                <c:pt idx="461">
                  <c:v>-16.659999999999854</c:v>
                </c:pt>
                <c:pt idx="462">
                  <c:v>-46.659999999999854</c:v>
                </c:pt>
                <c:pt idx="463">
                  <c:v>-22.339999999999691</c:v>
                </c:pt>
                <c:pt idx="464">
                  <c:v>-1.4400000000000546</c:v>
                </c:pt>
                <c:pt idx="465">
                  <c:v>0</c:v>
                </c:pt>
                <c:pt idx="466">
                  <c:v>-23</c:v>
                </c:pt>
                <c:pt idx="467">
                  <c:v>-38</c:v>
                </c:pt>
                <c:pt idx="468">
                  <c:v>-16.190000000000055</c:v>
                </c:pt>
                <c:pt idx="469">
                  <c:v>-38.190000000000055</c:v>
                </c:pt>
                <c:pt idx="470">
                  <c:v>-68.190000000000055</c:v>
                </c:pt>
                <c:pt idx="471">
                  <c:v>-98.190000000000055</c:v>
                </c:pt>
                <c:pt idx="472">
                  <c:v>-81.449999999999818</c:v>
                </c:pt>
                <c:pt idx="473">
                  <c:v>-67.949999999999818</c:v>
                </c:pt>
                <c:pt idx="474">
                  <c:v>-97.949999999999818</c:v>
                </c:pt>
                <c:pt idx="475">
                  <c:v>-83.890000000000327</c:v>
                </c:pt>
                <c:pt idx="476">
                  <c:v>-79.210000000000036</c:v>
                </c:pt>
                <c:pt idx="477">
                  <c:v>-56.710000000000036</c:v>
                </c:pt>
                <c:pt idx="478">
                  <c:v>-34.510000000000218</c:v>
                </c:pt>
                <c:pt idx="479">
                  <c:v>-19.510000000000218</c:v>
                </c:pt>
                <c:pt idx="480">
                  <c:v>-49.510000000000218</c:v>
                </c:pt>
                <c:pt idx="481">
                  <c:v>-21.909999999999854</c:v>
                </c:pt>
                <c:pt idx="482">
                  <c:v>-21.909999999999854</c:v>
                </c:pt>
                <c:pt idx="483">
                  <c:v>-51.909999999999854</c:v>
                </c:pt>
                <c:pt idx="484">
                  <c:v>-81.909999999999854</c:v>
                </c:pt>
                <c:pt idx="485">
                  <c:v>-91.909999999999854</c:v>
                </c:pt>
                <c:pt idx="486">
                  <c:v>-75.920000000000073</c:v>
                </c:pt>
                <c:pt idx="487">
                  <c:v>-50.840000000000146</c:v>
                </c:pt>
                <c:pt idx="488">
                  <c:v>-70.840000000000146</c:v>
                </c:pt>
                <c:pt idx="489">
                  <c:v>-41.440000000000055</c:v>
                </c:pt>
                <c:pt idx="490">
                  <c:v>-63.440000000000055</c:v>
                </c:pt>
                <c:pt idx="491">
                  <c:v>-63.440000000000055</c:v>
                </c:pt>
                <c:pt idx="492">
                  <c:v>-80.440000000000055</c:v>
                </c:pt>
                <c:pt idx="493">
                  <c:v>-98.440000000000055</c:v>
                </c:pt>
                <c:pt idx="494">
                  <c:v>-90.140000000000327</c:v>
                </c:pt>
                <c:pt idx="495">
                  <c:v>-74.519999999999982</c:v>
                </c:pt>
                <c:pt idx="496">
                  <c:v>-59.7800000000002</c:v>
                </c:pt>
                <c:pt idx="497">
                  <c:v>-43.7800000000002</c:v>
                </c:pt>
                <c:pt idx="498">
                  <c:v>-65.7800000000002</c:v>
                </c:pt>
                <c:pt idx="499">
                  <c:v>-37.659999999999854</c:v>
                </c:pt>
                <c:pt idx="500">
                  <c:v>-12.579999999999927</c:v>
                </c:pt>
                <c:pt idx="501">
                  <c:v>-32.579999999999927</c:v>
                </c:pt>
                <c:pt idx="502">
                  <c:v>-62.579999999999927</c:v>
                </c:pt>
                <c:pt idx="503">
                  <c:v>-38.579999999999927</c:v>
                </c:pt>
                <c:pt idx="504">
                  <c:v>0</c:v>
                </c:pt>
                <c:pt idx="505">
                  <c:v>0</c:v>
                </c:pt>
                <c:pt idx="506">
                  <c:v>-83.579999999999927</c:v>
                </c:pt>
                <c:pt idx="507">
                  <c:v>-91.579999999999927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6-494A-A4E1-B5228DDD5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6930"/>
        <c:axId val="7666282"/>
      </c:areaChart>
      <c:catAx>
        <c:axId val="152669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66282"/>
        <c:crosses val="autoZero"/>
        <c:auto val="1"/>
        <c:lblAlgn val="ctr"/>
        <c:lblOffset val="100"/>
        <c:noMultiLvlLbl val="0"/>
      </c:catAx>
      <c:valAx>
        <c:axId val="76662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+#,##0.00;\-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26693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EV+ Histórico Acumulado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800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Registro!$O$5:$O$604</c:f>
              <c:strCache>
                <c:ptCount val="5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</c:strCache>
            </c:strRef>
          </c:cat>
          <c:val>
            <c:numRef>
              <c:f>Registro!$T$5:$T$604</c:f>
              <c:numCache>
                <c:formatCode>#,##0.00</c:formatCode>
                <c:ptCount val="600"/>
                <c:pt idx="0">
                  <c:v>1.99</c:v>
                </c:pt>
                <c:pt idx="1">
                  <c:v>4.07</c:v>
                </c:pt>
                <c:pt idx="2">
                  <c:v>3.0700000000000003</c:v>
                </c:pt>
                <c:pt idx="3">
                  <c:v>2.3100000000000005</c:v>
                </c:pt>
                <c:pt idx="4">
                  <c:v>6.49</c:v>
                </c:pt>
                <c:pt idx="5">
                  <c:v>9.76</c:v>
                </c:pt>
                <c:pt idx="6">
                  <c:v>12.12</c:v>
                </c:pt>
                <c:pt idx="7">
                  <c:v>12.34</c:v>
                </c:pt>
                <c:pt idx="8">
                  <c:v>15.61</c:v>
                </c:pt>
                <c:pt idx="9">
                  <c:v>12.85</c:v>
                </c:pt>
                <c:pt idx="10">
                  <c:v>14.84</c:v>
                </c:pt>
                <c:pt idx="11">
                  <c:v>15.72</c:v>
                </c:pt>
                <c:pt idx="12">
                  <c:v>17.16</c:v>
                </c:pt>
                <c:pt idx="13">
                  <c:v>15.67</c:v>
                </c:pt>
                <c:pt idx="14">
                  <c:v>16.559999999999999</c:v>
                </c:pt>
                <c:pt idx="15">
                  <c:v>20.74</c:v>
                </c:pt>
                <c:pt idx="16">
                  <c:v>25.38</c:v>
                </c:pt>
                <c:pt idx="17">
                  <c:v>29.75</c:v>
                </c:pt>
                <c:pt idx="18">
                  <c:v>34.659999999999997</c:v>
                </c:pt>
                <c:pt idx="19">
                  <c:v>39.76</c:v>
                </c:pt>
                <c:pt idx="20">
                  <c:v>36.809999999999995</c:v>
                </c:pt>
                <c:pt idx="21">
                  <c:v>40.08</c:v>
                </c:pt>
                <c:pt idx="22">
                  <c:v>40.42</c:v>
                </c:pt>
                <c:pt idx="23">
                  <c:v>41.410000000000004</c:v>
                </c:pt>
                <c:pt idx="24">
                  <c:v>44.730000000000004</c:v>
                </c:pt>
                <c:pt idx="25">
                  <c:v>50.92</c:v>
                </c:pt>
                <c:pt idx="26">
                  <c:v>54.190000000000005</c:v>
                </c:pt>
                <c:pt idx="27">
                  <c:v>57.460000000000008</c:v>
                </c:pt>
                <c:pt idx="28">
                  <c:v>59.820000000000007</c:v>
                </c:pt>
                <c:pt idx="29">
                  <c:v>63.090000000000011</c:v>
                </c:pt>
                <c:pt idx="30">
                  <c:v>57.88000000000001</c:v>
                </c:pt>
                <c:pt idx="31">
                  <c:v>59.320000000000007</c:v>
                </c:pt>
                <c:pt idx="32">
                  <c:v>60.760000000000005</c:v>
                </c:pt>
                <c:pt idx="33">
                  <c:v>63.17</c:v>
                </c:pt>
                <c:pt idx="34">
                  <c:v>63.15</c:v>
                </c:pt>
                <c:pt idx="35">
                  <c:v>65.8</c:v>
                </c:pt>
                <c:pt idx="36">
                  <c:v>67.7</c:v>
                </c:pt>
                <c:pt idx="37">
                  <c:v>73.25</c:v>
                </c:pt>
                <c:pt idx="38">
                  <c:v>74.319999999999993</c:v>
                </c:pt>
                <c:pt idx="39">
                  <c:v>78.22999999999999</c:v>
                </c:pt>
                <c:pt idx="40">
                  <c:v>79.789999999999992</c:v>
                </c:pt>
                <c:pt idx="41">
                  <c:v>81.839999999999989</c:v>
                </c:pt>
                <c:pt idx="42">
                  <c:v>81.939999999999984</c:v>
                </c:pt>
                <c:pt idx="43">
                  <c:v>81.059999999999988</c:v>
                </c:pt>
                <c:pt idx="44">
                  <c:v>82.32</c:v>
                </c:pt>
                <c:pt idx="45">
                  <c:v>81.809999999999988</c:v>
                </c:pt>
                <c:pt idx="46">
                  <c:v>81.049999999999983</c:v>
                </c:pt>
                <c:pt idx="47">
                  <c:v>84.139999999999986</c:v>
                </c:pt>
                <c:pt idx="48">
                  <c:v>83.759999999999991</c:v>
                </c:pt>
                <c:pt idx="49">
                  <c:v>85.839999999999989</c:v>
                </c:pt>
                <c:pt idx="50">
                  <c:v>87.74</c:v>
                </c:pt>
                <c:pt idx="51">
                  <c:v>79.66</c:v>
                </c:pt>
                <c:pt idx="52">
                  <c:v>83.89</c:v>
                </c:pt>
                <c:pt idx="53">
                  <c:v>86.98</c:v>
                </c:pt>
                <c:pt idx="54">
                  <c:v>88.660000000000011</c:v>
                </c:pt>
                <c:pt idx="55">
                  <c:v>94.670000000000016</c:v>
                </c:pt>
                <c:pt idx="56">
                  <c:v>94.030000000000015</c:v>
                </c:pt>
                <c:pt idx="57">
                  <c:v>91.930000000000021</c:v>
                </c:pt>
                <c:pt idx="58">
                  <c:v>94.720000000000027</c:v>
                </c:pt>
                <c:pt idx="59">
                  <c:v>94.700000000000031</c:v>
                </c:pt>
                <c:pt idx="60">
                  <c:v>99.340000000000032</c:v>
                </c:pt>
                <c:pt idx="61">
                  <c:v>99.680000000000035</c:v>
                </c:pt>
                <c:pt idx="62">
                  <c:v>103.59000000000003</c:v>
                </c:pt>
                <c:pt idx="63">
                  <c:v>102.47000000000003</c:v>
                </c:pt>
                <c:pt idx="64">
                  <c:v>101.35000000000002</c:v>
                </c:pt>
                <c:pt idx="65">
                  <c:v>105.53000000000003</c:v>
                </c:pt>
                <c:pt idx="66">
                  <c:v>100.78000000000003</c:v>
                </c:pt>
                <c:pt idx="67">
                  <c:v>104.05000000000003</c:v>
                </c:pt>
                <c:pt idx="68">
                  <c:v>106.22000000000003</c:v>
                </c:pt>
                <c:pt idx="69">
                  <c:v>110.04000000000002</c:v>
                </c:pt>
                <c:pt idx="70">
                  <c:v>115.14000000000001</c:v>
                </c:pt>
                <c:pt idx="71">
                  <c:v>113.65000000000002</c:v>
                </c:pt>
                <c:pt idx="72">
                  <c:v>111.68000000000002</c:v>
                </c:pt>
                <c:pt idx="73">
                  <c:v>112.87000000000002</c:v>
                </c:pt>
                <c:pt idx="74">
                  <c:v>114.79000000000002</c:v>
                </c:pt>
                <c:pt idx="75">
                  <c:v>110.34000000000002</c:v>
                </c:pt>
                <c:pt idx="76">
                  <c:v>105.59000000000002</c:v>
                </c:pt>
                <c:pt idx="77">
                  <c:v>108.86000000000001</c:v>
                </c:pt>
                <c:pt idx="78">
                  <c:v>100.12000000000002</c:v>
                </c:pt>
                <c:pt idx="79">
                  <c:v>105.07000000000002</c:v>
                </c:pt>
                <c:pt idx="80">
                  <c:v>107.74000000000002</c:v>
                </c:pt>
                <c:pt idx="81">
                  <c:v>108.13000000000002</c:v>
                </c:pt>
                <c:pt idx="82">
                  <c:v>117.01000000000002</c:v>
                </c:pt>
                <c:pt idx="83">
                  <c:v>118.68000000000002</c:v>
                </c:pt>
                <c:pt idx="84">
                  <c:v>120.33000000000003</c:v>
                </c:pt>
                <c:pt idx="85">
                  <c:v>121.97000000000003</c:v>
                </c:pt>
                <c:pt idx="86">
                  <c:v>124.02000000000002</c:v>
                </c:pt>
                <c:pt idx="87">
                  <c:v>119.89000000000003</c:v>
                </c:pt>
                <c:pt idx="88">
                  <c:v>124.11000000000003</c:v>
                </c:pt>
                <c:pt idx="89">
                  <c:v>124.50000000000003</c:v>
                </c:pt>
                <c:pt idx="90">
                  <c:v>127.79000000000003</c:v>
                </c:pt>
                <c:pt idx="91">
                  <c:v>127.20000000000003</c:v>
                </c:pt>
                <c:pt idx="92">
                  <c:v>126.61000000000003</c:v>
                </c:pt>
                <c:pt idx="93">
                  <c:v>128.66000000000003</c:v>
                </c:pt>
                <c:pt idx="94">
                  <c:v>132.37000000000003</c:v>
                </c:pt>
                <c:pt idx="95">
                  <c:v>137.63000000000002</c:v>
                </c:pt>
                <c:pt idx="96">
                  <c:v>140.61000000000001</c:v>
                </c:pt>
                <c:pt idx="97">
                  <c:v>144.11000000000001</c:v>
                </c:pt>
                <c:pt idx="98">
                  <c:v>140.49</c:v>
                </c:pt>
                <c:pt idx="99">
                  <c:v>144.71</c:v>
                </c:pt>
                <c:pt idx="100">
                  <c:v>136.49</c:v>
                </c:pt>
                <c:pt idx="101">
                  <c:v>139.16</c:v>
                </c:pt>
                <c:pt idx="102">
                  <c:v>139.69</c:v>
                </c:pt>
                <c:pt idx="103">
                  <c:v>141.94999999999999</c:v>
                </c:pt>
                <c:pt idx="104">
                  <c:v>142.94</c:v>
                </c:pt>
                <c:pt idx="105">
                  <c:v>145.63</c:v>
                </c:pt>
                <c:pt idx="106">
                  <c:v>147.28</c:v>
                </c:pt>
                <c:pt idx="107">
                  <c:v>151.71</c:v>
                </c:pt>
                <c:pt idx="108">
                  <c:v>153.86000000000001</c:v>
                </c:pt>
                <c:pt idx="109">
                  <c:v>159.39000000000001</c:v>
                </c:pt>
                <c:pt idx="110">
                  <c:v>152.31</c:v>
                </c:pt>
                <c:pt idx="111">
                  <c:v>152.29</c:v>
                </c:pt>
                <c:pt idx="112">
                  <c:v>154.44</c:v>
                </c:pt>
                <c:pt idx="113">
                  <c:v>158.87</c:v>
                </c:pt>
                <c:pt idx="114">
                  <c:v>159.20000000000002</c:v>
                </c:pt>
                <c:pt idx="115">
                  <c:v>159.17000000000002</c:v>
                </c:pt>
                <c:pt idx="116">
                  <c:v>161.12</c:v>
                </c:pt>
                <c:pt idx="117">
                  <c:v>161.9</c:v>
                </c:pt>
                <c:pt idx="118">
                  <c:v>159.07</c:v>
                </c:pt>
                <c:pt idx="119">
                  <c:v>157.07999999999998</c:v>
                </c:pt>
                <c:pt idx="120">
                  <c:v>156.48999999999998</c:v>
                </c:pt>
                <c:pt idx="121">
                  <c:v>159.36999999999998</c:v>
                </c:pt>
                <c:pt idx="122">
                  <c:v>163.50999999999996</c:v>
                </c:pt>
                <c:pt idx="123">
                  <c:v>165.99999999999997</c:v>
                </c:pt>
                <c:pt idx="124">
                  <c:v>167.11999999999998</c:v>
                </c:pt>
                <c:pt idx="125">
                  <c:v>164.98999999999998</c:v>
                </c:pt>
                <c:pt idx="126">
                  <c:v>167.27999999999997</c:v>
                </c:pt>
                <c:pt idx="127">
                  <c:v>163.14999999999998</c:v>
                </c:pt>
                <c:pt idx="128">
                  <c:v>162.27999999999997</c:v>
                </c:pt>
                <c:pt idx="129">
                  <c:v>152.50999999999996</c:v>
                </c:pt>
                <c:pt idx="130">
                  <c:v>155.27999999999997</c:v>
                </c:pt>
                <c:pt idx="131">
                  <c:v>157.11999999999998</c:v>
                </c:pt>
                <c:pt idx="132">
                  <c:v>159.06999999999996</c:v>
                </c:pt>
                <c:pt idx="133">
                  <c:v>162.25999999999996</c:v>
                </c:pt>
                <c:pt idx="134">
                  <c:v>161.64999999999995</c:v>
                </c:pt>
                <c:pt idx="135">
                  <c:v>161.17999999999995</c:v>
                </c:pt>
                <c:pt idx="136">
                  <c:v>162.90999999999994</c:v>
                </c:pt>
                <c:pt idx="137">
                  <c:v>168.47999999999993</c:v>
                </c:pt>
                <c:pt idx="138">
                  <c:v>171.74999999999994</c:v>
                </c:pt>
                <c:pt idx="139">
                  <c:v>174.93999999999994</c:v>
                </c:pt>
                <c:pt idx="140">
                  <c:v>177.54999999999995</c:v>
                </c:pt>
                <c:pt idx="141">
                  <c:v>186.00999999999996</c:v>
                </c:pt>
                <c:pt idx="142">
                  <c:v>189.35999999999996</c:v>
                </c:pt>
                <c:pt idx="143">
                  <c:v>189.61999999999995</c:v>
                </c:pt>
                <c:pt idx="144">
                  <c:v>195.88999999999996</c:v>
                </c:pt>
                <c:pt idx="145">
                  <c:v>205.07999999999996</c:v>
                </c:pt>
                <c:pt idx="146">
                  <c:v>204.46999999999994</c:v>
                </c:pt>
                <c:pt idx="147">
                  <c:v>211.88999999999993</c:v>
                </c:pt>
                <c:pt idx="148">
                  <c:v>217.29999999999993</c:v>
                </c:pt>
                <c:pt idx="149">
                  <c:v>223.43999999999991</c:v>
                </c:pt>
                <c:pt idx="150">
                  <c:v>223.12999999999991</c:v>
                </c:pt>
                <c:pt idx="151">
                  <c:v>228.20999999999992</c:v>
                </c:pt>
                <c:pt idx="152">
                  <c:v>234.19999999999993</c:v>
                </c:pt>
                <c:pt idx="153">
                  <c:v>235.00999999999993</c:v>
                </c:pt>
                <c:pt idx="154">
                  <c:v>236.19999999999993</c:v>
                </c:pt>
                <c:pt idx="155">
                  <c:v>230.01999999999992</c:v>
                </c:pt>
                <c:pt idx="156">
                  <c:v>235.55999999999992</c:v>
                </c:pt>
                <c:pt idx="157">
                  <c:v>240.79999999999993</c:v>
                </c:pt>
                <c:pt idx="158">
                  <c:v>243.62999999999994</c:v>
                </c:pt>
                <c:pt idx="159">
                  <c:v>244.76999999999992</c:v>
                </c:pt>
                <c:pt idx="160">
                  <c:v>250.90999999999991</c:v>
                </c:pt>
                <c:pt idx="161">
                  <c:v>249.1999999999999</c:v>
                </c:pt>
                <c:pt idx="162">
                  <c:v>246.89999999999989</c:v>
                </c:pt>
                <c:pt idx="163">
                  <c:v>244.18999999999988</c:v>
                </c:pt>
                <c:pt idx="164">
                  <c:v>242.28999999999988</c:v>
                </c:pt>
                <c:pt idx="165">
                  <c:v>244.01999999999987</c:v>
                </c:pt>
                <c:pt idx="166">
                  <c:v>245.15999999999985</c:v>
                </c:pt>
                <c:pt idx="167">
                  <c:v>244.59999999999985</c:v>
                </c:pt>
                <c:pt idx="168">
                  <c:v>241.35999999999984</c:v>
                </c:pt>
                <c:pt idx="169">
                  <c:v>245.76999999999984</c:v>
                </c:pt>
                <c:pt idx="170">
                  <c:v>251.33999999999983</c:v>
                </c:pt>
                <c:pt idx="171">
                  <c:v>249.16999999999985</c:v>
                </c:pt>
                <c:pt idx="172">
                  <c:v>251.56999999999985</c:v>
                </c:pt>
                <c:pt idx="173">
                  <c:v>257.46999999999986</c:v>
                </c:pt>
                <c:pt idx="174">
                  <c:v>264.12999999999988</c:v>
                </c:pt>
                <c:pt idx="175">
                  <c:v>261.4799999999999</c:v>
                </c:pt>
                <c:pt idx="176">
                  <c:v>262.65999999999991</c:v>
                </c:pt>
                <c:pt idx="177">
                  <c:v>260.75999999999993</c:v>
                </c:pt>
                <c:pt idx="178">
                  <c:v>263.91999999999996</c:v>
                </c:pt>
                <c:pt idx="179">
                  <c:v>263.75999999999993</c:v>
                </c:pt>
                <c:pt idx="180">
                  <c:v>265.81999999999994</c:v>
                </c:pt>
                <c:pt idx="181">
                  <c:v>265.38999999999993</c:v>
                </c:pt>
                <c:pt idx="182">
                  <c:v>263.88999999999993</c:v>
                </c:pt>
                <c:pt idx="183">
                  <c:v>266.53999999999991</c:v>
                </c:pt>
                <c:pt idx="184">
                  <c:v>263.82999999999993</c:v>
                </c:pt>
                <c:pt idx="185">
                  <c:v>265.55999999999995</c:v>
                </c:pt>
                <c:pt idx="186">
                  <c:v>262.31999999999994</c:v>
                </c:pt>
                <c:pt idx="187">
                  <c:v>259.07999999999993</c:v>
                </c:pt>
                <c:pt idx="188">
                  <c:v>256.90999999999991</c:v>
                </c:pt>
                <c:pt idx="189">
                  <c:v>258.63999999999993</c:v>
                </c:pt>
                <c:pt idx="190">
                  <c:v>263.65999999999991</c:v>
                </c:pt>
                <c:pt idx="191">
                  <c:v>265.71999999999991</c:v>
                </c:pt>
                <c:pt idx="192">
                  <c:v>264.4899999999999</c:v>
                </c:pt>
                <c:pt idx="193">
                  <c:v>267.09999999999991</c:v>
                </c:pt>
                <c:pt idx="194">
                  <c:v>271.56999999999994</c:v>
                </c:pt>
                <c:pt idx="195">
                  <c:v>276.50999999999993</c:v>
                </c:pt>
                <c:pt idx="196">
                  <c:v>278.78999999999991</c:v>
                </c:pt>
                <c:pt idx="197">
                  <c:v>282.70999999999992</c:v>
                </c:pt>
                <c:pt idx="198">
                  <c:v>280.6699999999999</c:v>
                </c:pt>
                <c:pt idx="199">
                  <c:v>279.20999999999992</c:v>
                </c:pt>
                <c:pt idx="200">
                  <c:v>283.12999999999994</c:v>
                </c:pt>
                <c:pt idx="201">
                  <c:v>281.22999999999996</c:v>
                </c:pt>
                <c:pt idx="202">
                  <c:v>283.83999999999997</c:v>
                </c:pt>
                <c:pt idx="203">
                  <c:v>287.57</c:v>
                </c:pt>
                <c:pt idx="204">
                  <c:v>289.95</c:v>
                </c:pt>
                <c:pt idx="205">
                  <c:v>294.52999999999997</c:v>
                </c:pt>
                <c:pt idx="206">
                  <c:v>300.64999999999998</c:v>
                </c:pt>
                <c:pt idx="207">
                  <c:v>302.92999999999995</c:v>
                </c:pt>
                <c:pt idx="208">
                  <c:v>299.68999999999994</c:v>
                </c:pt>
                <c:pt idx="209">
                  <c:v>300.00999999999993</c:v>
                </c:pt>
                <c:pt idx="210">
                  <c:v>300.42999999999995</c:v>
                </c:pt>
                <c:pt idx="211">
                  <c:v>300.26999999999992</c:v>
                </c:pt>
                <c:pt idx="212">
                  <c:v>299.03999999999991</c:v>
                </c:pt>
                <c:pt idx="213">
                  <c:v>297.57999999999993</c:v>
                </c:pt>
                <c:pt idx="214">
                  <c:v>298.82999999999993</c:v>
                </c:pt>
                <c:pt idx="215">
                  <c:v>300.55999999999995</c:v>
                </c:pt>
                <c:pt idx="216">
                  <c:v>302.80999999999995</c:v>
                </c:pt>
                <c:pt idx="217">
                  <c:v>304.50999999999993</c:v>
                </c:pt>
                <c:pt idx="218">
                  <c:v>303.94999999999993</c:v>
                </c:pt>
                <c:pt idx="219">
                  <c:v>304.18999999999994</c:v>
                </c:pt>
                <c:pt idx="220">
                  <c:v>308.26999999999992</c:v>
                </c:pt>
                <c:pt idx="221">
                  <c:v>313.07999999999993</c:v>
                </c:pt>
                <c:pt idx="222">
                  <c:v>316.45999999999992</c:v>
                </c:pt>
                <c:pt idx="223">
                  <c:v>314.15999999999991</c:v>
                </c:pt>
                <c:pt idx="224">
                  <c:v>317.5499999999999</c:v>
                </c:pt>
                <c:pt idx="225">
                  <c:v>321.46999999999991</c:v>
                </c:pt>
                <c:pt idx="226">
                  <c:v>320.8599999999999</c:v>
                </c:pt>
                <c:pt idx="227">
                  <c:v>319.90999999999991</c:v>
                </c:pt>
                <c:pt idx="228">
                  <c:v>327.6699999999999</c:v>
                </c:pt>
                <c:pt idx="229">
                  <c:v>325.49999999999989</c:v>
                </c:pt>
                <c:pt idx="230">
                  <c:v>325.33999999999986</c:v>
                </c:pt>
                <c:pt idx="231">
                  <c:v>321.52999999999986</c:v>
                </c:pt>
                <c:pt idx="232">
                  <c:v>324.68999999999988</c:v>
                </c:pt>
                <c:pt idx="233">
                  <c:v>320.7999999999999</c:v>
                </c:pt>
                <c:pt idx="234">
                  <c:v>320.76999999999992</c:v>
                </c:pt>
                <c:pt idx="235">
                  <c:v>319.75999999999993</c:v>
                </c:pt>
                <c:pt idx="236">
                  <c:v>322.51999999999992</c:v>
                </c:pt>
                <c:pt idx="237">
                  <c:v>319.82999999999993</c:v>
                </c:pt>
                <c:pt idx="238">
                  <c:v>319.51999999999992</c:v>
                </c:pt>
                <c:pt idx="239">
                  <c:v>318.08999999999992</c:v>
                </c:pt>
                <c:pt idx="240">
                  <c:v>317.07999999999993</c:v>
                </c:pt>
                <c:pt idx="241">
                  <c:v>314.80999999999995</c:v>
                </c:pt>
                <c:pt idx="242">
                  <c:v>318.88999999999993</c:v>
                </c:pt>
                <c:pt idx="243">
                  <c:v>323.54999999999995</c:v>
                </c:pt>
                <c:pt idx="244">
                  <c:v>323.65999999999997</c:v>
                </c:pt>
                <c:pt idx="245">
                  <c:v>315.52</c:v>
                </c:pt>
                <c:pt idx="246">
                  <c:v>320.95999999999998</c:v>
                </c:pt>
                <c:pt idx="247">
                  <c:v>322.89</c:v>
                </c:pt>
                <c:pt idx="248">
                  <c:v>322.84999999999997</c:v>
                </c:pt>
                <c:pt idx="249">
                  <c:v>321.14</c:v>
                </c:pt>
                <c:pt idx="250">
                  <c:v>321.47999999999996</c:v>
                </c:pt>
                <c:pt idx="251">
                  <c:v>323.42999999999995</c:v>
                </c:pt>
                <c:pt idx="252">
                  <c:v>328.59</c:v>
                </c:pt>
                <c:pt idx="253">
                  <c:v>332.29999999999995</c:v>
                </c:pt>
                <c:pt idx="254">
                  <c:v>335.17999999999995</c:v>
                </c:pt>
                <c:pt idx="255">
                  <c:v>335.15</c:v>
                </c:pt>
                <c:pt idx="256">
                  <c:v>336.92999999999995</c:v>
                </c:pt>
                <c:pt idx="257">
                  <c:v>335.91999999999996</c:v>
                </c:pt>
                <c:pt idx="258">
                  <c:v>340.65</c:v>
                </c:pt>
                <c:pt idx="259">
                  <c:v>344.97999999999996</c:v>
                </c:pt>
                <c:pt idx="260">
                  <c:v>349.71999999999997</c:v>
                </c:pt>
                <c:pt idx="261">
                  <c:v>355.19</c:v>
                </c:pt>
                <c:pt idx="262">
                  <c:v>355.16</c:v>
                </c:pt>
                <c:pt idx="263">
                  <c:v>353.63000000000005</c:v>
                </c:pt>
                <c:pt idx="264">
                  <c:v>357.54000000000008</c:v>
                </c:pt>
                <c:pt idx="265">
                  <c:v>358.92000000000007</c:v>
                </c:pt>
                <c:pt idx="266">
                  <c:v>356.65000000000009</c:v>
                </c:pt>
                <c:pt idx="267">
                  <c:v>359.22000000000008</c:v>
                </c:pt>
                <c:pt idx="268">
                  <c:v>363.13000000000011</c:v>
                </c:pt>
                <c:pt idx="269">
                  <c:v>356.91000000000008</c:v>
                </c:pt>
                <c:pt idx="270">
                  <c:v>359.96000000000009</c:v>
                </c:pt>
                <c:pt idx="271">
                  <c:v>357.8300000000001</c:v>
                </c:pt>
                <c:pt idx="272">
                  <c:v>361.54000000000008</c:v>
                </c:pt>
                <c:pt idx="273">
                  <c:v>364.94000000000005</c:v>
                </c:pt>
                <c:pt idx="274">
                  <c:v>366.17000000000007</c:v>
                </c:pt>
                <c:pt idx="275">
                  <c:v>369.88000000000005</c:v>
                </c:pt>
                <c:pt idx="276">
                  <c:v>370.22</c:v>
                </c:pt>
                <c:pt idx="277">
                  <c:v>367.39000000000004</c:v>
                </c:pt>
                <c:pt idx="278">
                  <c:v>369.01000000000005</c:v>
                </c:pt>
                <c:pt idx="279">
                  <c:v>372.30000000000007</c:v>
                </c:pt>
                <c:pt idx="280">
                  <c:v>376.19000000000005</c:v>
                </c:pt>
                <c:pt idx="281">
                  <c:v>379.59000000000003</c:v>
                </c:pt>
                <c:pt idx="282">
                  <c:v>382.16</c:v>
                </c:pt>
                <c:pt idx="283">
                  <c:v>384.31</c:v>
                </c:pt>
                <c:pt idx="284">
                  <c:v>383.86</c:v>
                </c:pt>
                <c:pt idx="285">
                  <c:v>384.95</c:v>
                </c:pt>
                <c:pt idx="286">
                  <c:v>384.78</c:v>
                </c:pt>
                <c:pt idx="287">
                  <c:v>391.04999999999995</c:v>
                </c:pt>
                <c:pt idx="288">
                  <c:v>396.52</c:v>
                </c:pt>
                <c:pt idx="289">
                  <c:v>402.64</c:v>
                </c:pt>
                <c:pt idx="290">
                  <c:v>409.28</c:v>
                </c:pt>
                <c:pt idx="291">
                  <c:v>414.53999999999996</c:v>
                </c:pt>
                <c:pt idx="292">
                  <c:v>420.31999999999994</c:v>
                </c:pt>
                <c:pt idx="293">
                  <c:v>426.09999999999991</c:v>
                </c:pt>
                <c:pt idx="294">
                  <c:v>428.24999999999989</c:v>
                </c:pt>
                <c:pt idx="295">
                  <c:v>426.71999999999991</c:v>
                </c:pt>
                <c:pt idx="296">
                  <c:v>430.42999999999989</c:v>
                </c:pt>
                <c:pt idx="297">
                  <c:v>429.4899999999999</c:v>
                </c:pt>
                <c:pt idx="298">
                  <c:v>432.49999999999989</c:v>
                </c:pt>
                <c:pt idx="299">
                  <c:v>435.32999999999987</c:v>
                </c:pt>
                <c:pt idx="300">
                  <c:v>436.81999999999988</c:v>
                </c:pt>
                <c:pt idx="301">
                  <c:v>438.9199999999999</c:v>
                </c:pt>
                <c:pt idx="302">
                  <c:v>440.40999999999991</c:v>
                </c:pt>
                <c:pt idx="303">
                  <c:v>443.45999999999992</c:v>
                </c:pt>
                <c:pt idx="304">
                  <c:v>448.4799999999999</c:v>
                </c:pt>
                <c:pt idx="305">
                  <c:v>452.39999999999992</c:v>
                </c:pt>
                <c:pt idx="306">
                  <c:v>454.89999999999992</c:v>
                </c:pt>
                <c:pt idx="307">
                  <c:v>456.07999999999993</c:v>
                </c:pt>
                <c:pt idx="308">
                  <c:v>455.65999999999991</c:v>
                </c:pt>
                <c:pt idx="309">
                  <c:v>455.92999999999989</c:v>
                </c:pt>
                <c:pt idx="310">
                  <c:v>454.06999999999988</c:v>
                </c:pt>
                <c:pt idx="311">
                  <c:v>457.6699999999999</c:v>
                </c:pt>
                <c:pt idx="312">
                  <c:v>461.56999999999988</c:v>
                </c:pt>
                <c:pt idx="313">
                  <c:v>466.2299999999999</c:v>
                </c:pt>
                <c:pt idx="314">
                  <c:v>468.61999999999989</c:v>
                </c:pt>
                <c:pt idx="315">
                  <c:v>475.32999999999987</c:v>
                </c:pt>
                <c:pt idx="316">
                  <c:v>481.51999999999987</c:v>
                </c:pt>
                <c:pt idx="317">
                  <c:v>483.43999999999988</c:v>
                </c:pt>
                <c:pt idx="318">
                  <c:v>488.08999999999986</c:v>
                </c:pt>
                <c:pt idx="319">
                  <c:v>490.00999999999988</c:v>
                </c:pt>
                <c:pt idx="320">
                  <c:v>490.53999999999985</c:v>
                </c:pt>
                <c:pt idx="321">
                  <c:v>492.14999999999986</c:v>
                </c:pt>
                <c:pt idx="322">
                  <c:v>509.70999999999987</c:v>
                </c:pt>
                <c:pt idx="323">
                  <c:v>509.67999999999989</c:v>
                </c:pt>
                <c:pt idx="324">
                  <c:v>515.86999999999989</c:v>
                </c:pt>
                <c:pt idx="325">
                  <c:v>519.96999999999991</c:v>
                </c:pt>
                <c:pt idx="326">
                  <c:v>519.92999999999995</c:v>
                </c:pt>
                <c:pt idx="327">
                  <c:v>524.16999999999996</c:v>
                </c:pt>
                <c:pt idx="328">
                  <c:v>525.96999999999991</c:v>
                </c:pt>
                <c:pt idx="329">
                  <c:v>525.6099999999999</c:v>
                </c:pt>
                <c:pt idx="330">
                  <c:v>520.06999999999994</c:v>
                </c:pt>
                <c:pt idx="331">
                  <c:v>521.62999999999988</c:v>
                </c:pt>
                <c:pt idx="332">
                  <c:v>526.04999999999984</c:v>
                </c:pt>
                <c:pt idx="333">
                  <c:v>525.68999999999983</c:v>
                </c:pt>
                <c:pt idx="334">
                  <c:v>529.31999999999982</c:v>
                </c:pt>
                <c:pt idx="335">
                  <c:v>530.92999999999984</c:v>
                </c:pt>
                <c:pt idx="336">
                  <c:v>535.52999999999986</c:v>
                </c:pt>
                <c:pt idx="337">
                  <c:v>537.79999999999984</c:v>
                </c:pt>
                <c:pt idx="338">
                  <c:v>534.9699999999998</c:v>
                </c:pt>
                <c:pt idx="339">
                  <c:v>530.98999999999978</c:v>
                </c:pt>
                <c:pt idx="340">
                  <c:v>536.87999999999977</c:v>
                </c:pt>
                <c:pt idx="341">
                  <c:v>534.86999999999978</c:v>
                </c:pt>
                <c:pt idx="342">
                  <c:v>536.54999999999973</c:v>
                </c:pt>
                <c:pt idx="343">
                  <c:v>538.48999999999978</c:v>
                </c:pt>
                <c:pt idx="344">
                  <c:v>542.47999999999979</c:v>
                </c:pt>
                <c:pt idx="345">
                  <c:v>542.93999999999983</c:v>
                </c:pt>
                <c:pt idx="346">
                  <c:v>539.61999999999978</c:v>
                </c:pt>
                <c:pt idx="347">
                  <c:v>542.87999999999977</c:v>
                </c:pt>
                <c:pt idx="348">
                  <c:v>546.74999999999977</c:v>
                </c:pt>
                <c:pt idx="349">
                  <c:v>551.75999999999976</c:v>
                </c:pt>
                <c:pt idx="350">
                  <c:v>554.17999999999972</c:v>
                </c:pt>
                <c:pt idx="351">
                  <c:v>558.0799999999997</c:v>
                </c:pt>
                <c:pt idx="352">
                  <c:v>564.26999999999975</c:v>
                </c:pt>
                <c:pt idx="353">
                  <c:v>566.67999999999972</c:v>
                </c:pt>
                <c:pt idx="354">
                  <c:v>569.77999999999975</c:v>
                </c:pt>
                <c:pt idx="355">
                  <c:v>571.05999999999972</c:v>
                </c:pt>
                <c:pt idx="356">
                  <c:v>576.26999999999975</c:v>
                </c:pt>
                <c:pt idx="357">
                  <c:v>575.62999999999977</c:v>
                </c:pt>
                <c:pt idx="358">
                  <c:v>575.5999999999998</c:v>
                </c:pt>
                <c:pt idx="359">
                  <c:v>578.73999999999978</c:v>
                </c:pt>
                <c:pt idx="360">
                  <c:v>579.26999999999975</c:v>
                </c:pt>
                <c:pt idx="361">
                  <c:v>582.04999999999973</c:v>
                </c:pt>
                <c:pt idx="362">
                  <c:v>585.62999999999977</c:v>
                </c:pt>
                <c:pt idx="363">
                  <c:v>589.70999999999981</c:v>
                </c:pt>
                <c:pt idx="364">
                  <c:v>591.26999999999975</c:v>
                </c:pt>
                <c:pt idx="365">
                  <c:v>596.5999999999998</c:v>
                </c:pt>
                <c:pt idx="366">
                  <c:v>598.65999999999974</c:v>
                </c:pt>
                <c:pt idx="367">
                  <c:v>600.98999999999978</c:v>
                </c:pt>
                <c:pt idx="368">
                  <c:v>603.29999999999973</c:v>
                </c:pt>
                <c:pt idx="369">
                  <c:v>604.4499999999997</c:v>
                </c:pt>
                <c:pt idx="370">
                  <c:v>595.97999999999968</c:v>
                </c:pt>
                <c:pt idx="371">
                  <c:v>587.97999999999968</c:v>
                </c:pt>
                <c:pt idx="372">
                  <c:v>587.7099999999997</c:v>
                </c:pt>
                <c:pt idx="373">
                  <c:v>592.93999999999971</c:v>
                </c:pt>
                <c:pt idx="374">
                  <c:v>597.29999999999973</c:v>
                </c:pt>
                <c:pt idx="375">
                  <c:v>596.27999999999975</c:v>
                </c:pt>
                <c:pt idx="376">
                  <c:v>600.63999999999976</c:v>
                </c:pt>
                <c:pt idx="377">
                  <c:v>600.76999999999975</c:v>
                </c:pt>
                <c:pt idx="378">
                  <c:v>601.7199999999998</c:v>
                </c:pt>
                <c:pt idx="379">
                  <c:v>602.66999999999985</c:v>
                </c:pt>
                <c:pt idx="380">
                  <c:v>600.32999999999981</c:v>
                </c:pt>
                <c:pt idx="381">
                  <c:v>599.79999999999984</c:v>
                </c:pt>
                <c:pt idx="382">
                  <c:v>605.00999999999988</c:v>
                </c:pt>
                <c:pt idx="383">
                  <c:v>607.1099999999999</c:v>
                </c:pt>
                <c:pt idx="384">
                  <c:v>609.37999999999988</c:v>
                </c:pt>
                <c:pt idx="385">
                  <c:v>614.4799999999999</c:v>
                </c:pt>
                <c:pt idx="386">
                  <c:v>610.9899999999999</c:v>
                </c:pt>
                <c:pt idx="387">
                  <c:v>610.29999999999984</c:v>
                </c:pt>
                <c:pt idx="388">
                  <c:v>611.24999999999989</c:v>
                </c:pt>
                <c:pt idx="389">
                  <c:v>613.51999999999987</c:v>
                </c:pt>
                <c:pt idx="390">
                  <c:v>613.93999999999983</c:v>
                </c:pt>
                <c:pt idx="391">
                  <c:v>604.56999999999982</c:v>
                </c:pt>
                <c:pt idx="392">
                  <c:v>607.95999999999981</c:v>
                </c:pt>
                <c:pt idx="393">
                  <c:v>609.89999999999986</c:v>
                </c:pt>
                <c:pt idx="394">
                  <c:v>610.84999999999991</c:v>
                </c:pt>
                <c:pt idx="395">
                  <c:v>613.51999999999987</c:v>
                </c:pt>
                <c:pt idx="396">
                  <c:v>613.9799999999999</c:v>
                </c:pt>
                <c:pt idx="397">
                  <c:v>618.41999999999996</c:v>
                </c:pt>
                <c:pt idx="398">
                  <c:v>616.57999999999993</c:v>
                </c:pt>
                <c:pt idx="399">
                  <c:v>623.46999999999991</c:v>
                </c:pt>
                <c:pt idx="400">
                  <c:v>625.89999999999986</c:v>
                </c:pt>
                <c:pt idx="401">
                  <c:v>623.88999999999987</c:v>
                </c:pt>
                <c:pt idx="402">
                  <c:v>620.89999999999986</c:v>
                </c:pt>
                <c:pt idx="403">
                  <c:v>618.9799999999999</c:v>
                </c:pt>
                <c:pt idx="404">
                  <c:v>625.28999999999985</c:v>
                </c:pt>
                <c:pt idx="405">
                  <c:v>622.78999999999985</c:v>
                </c:pt>
                <c:pt idx="406">
                  <c:v>618.80999999999983</c:v>
                </c:pt>
                <c:pt idx="407">
                  <c:v>620.41999999999985</c:v>
                </c:pt>
                <c:pt idx="408">
                  <c:v>618.07999999999981</c:v>
                </c:pt>
                <c:pt idx="409">
                  <c:v>620.72999999999979</c:v>
                </c:pt>
                <c:pt idx="410">
                  <c:v>619.04999999999984</c:v>
                </c:pt>
                <c:pt idx="411">
                  <c:v>616.70999999999981</c:v>
                </c:pt>
                <c:pt idx="412">
                  <c:v>617.00999999999976</c:v>
                </c:pt>
                <c:pt idx="413">
                  <c:v>616.72999999999979</c:v>
                </c:pt>
                <c:pt idx="414">
                  <c:v>614.93999999999983</c:v>
                </c:pt>
                <c:pt idx="415">
                  <c:v>615.23999999999978</c:v>
                </c:pt>
                <c:pt idx="416">
                  <c:v>617.17999999999984</c:v>
                </c:pt>
                <c:pt idx="417">
                  <c:v>617.13999999999987</c:v>
                </c:pt>
                <c:pt idx="418">
                  <c:v>622.71999999999991</c:v>
                </c:pt>
                <c:pt idx="419">
                  <c:v>624.74999999999989</c:v>
                </c:pt>
                <c:pt idx="420">
                  <c:v>633.33999999999992</c:v>
                </c:pt>
                <c:pt idx="421">
                  <c:v>633.13999999999987</c:v>
                </c:pt>
                <c:pt idx="422">
                  <c:v>635.40999999999985</c:v>
                </c:pt>
                <c:pt idx="423">
                  <c:v>631.42999999999984</c:v>
                </c:pt>
                <c:pt idx="424">
                  <c:v>633.36999999999989</c:v>
                </c:pt>
                <c:pt idx="425">
                  <c:v>636.01999999999987</c:v>
                </c:pt>
                <c:pt idx="426">
                  <c:v>634.17999999999984</c:v>
                </c:pt>
                <c:pt idx="427">
                  <c:v>632.89999999999986</c:v>
                </c:pt>
                <c:pt idx="428">
                  <c:v>632.20999999999981</c:v>
                </c:pt>
                <c:pt idx="429">
                  <c:v>636.80999999999983</c:v>
                </c:pt>
                <c:pt idx="430">
                  <c:v>636.11999999999978</c:v>
                </c:pt>
                <c:pt idx="431">
                  <c:v>636.41999999999973</c:v>
                </c:pt>
                <c:pt idx="432">
                  <c:v>635.72999999999968</c:v>
                </c:pt>
                <c:pt idx="433">
                  <c:v>634.54999999999973</c:v>
                </c:pt>
                <c:pt idx="434">
                  <c:v>635.8299999999997</c:v>
                </c:pt>
                <c:pt idx="435">
                  <c:v>637.74999999999966</c:v>
                </c:pt>
                <c:pt idx="436">
                  <c:v>642.83999999999969</c:v>
                </c:pt>
                <c:pt idx="437">
                  <c:v>645.48999999999967</c:v>
                </c:pt>
                <c:pt idx="438">
                  <c:v>647.75999999999965</c:v>
                </c:pt>
                <c:pt idx="439">
                  <c:v>659.39999999999964</c:v>
                </c:pt>
                <c:pt idx="440">
                  <c:v>662.97999999999968</c:v>
                </c:pt>
                <c:pt idx="441">
                  <c:v>655.79999999999973</c:v>
                </c:pt>
                <c:pt idx="442">
                  <c:v>655.76999999999975</c:v>
                </c:pt>
                <c:pt idx="443">
                  <c:v>653.42999999999972</c:v>
                </c:pt>
                <c:pt idx="444">
                  <c:v>653.55999999999972</c:v>
                </c:pt>
                <c:pt idx="445">
                  <c:v>645.8299999999997</c:v>
                </c:pt>
                <c:pt idx="446">
                  <c:v>648.96999999999969</c:v>
                </c:pt>
                <c:pt idx="447">
                  <c:v>647.12999999999965</c:v>
                </c:pt>
                <c:pt idx="448">
                  <c:v>654.89999999999964</c:v>
                </c:pt>
                <c:pt idx="449">
                  <c:v>657.79999999999961</c:v>
                </c:pt>
                <c:pt idx="450">
                  <c:v>659.19999999999959</c:v>
                </c:pt>
                <c:pt idx="451">
                  <c:v>661.28999999999962</c:v>
                </c:pt>
                <c:pt idx="452">
                  <c:v>663.37999999999965</c:v>
                </c:pt>
                <c:pt idx="453">
                  <c:v>671.71999999999969</c:v>
                </c:pt>
                <c:pt idx="454">
                  <c:v>676.31999999999971</c:v>
                </c:pt>
                <c:pt idx="455">
                  <c:v>674.52999999999975</c:v>
                </c:pt>
                <c:pt idx="456">
                  <c:v>677.77999999999975</c:v>
                </c:pt>
                <c:pt idx="457">
                  <c:v>675.26999999999975</c:v>
                </c:pt>
                <c:pt idx="458">
                  <c:v>675.15999999999974</c:v>
                </c:pt>
                <c:pt idx="459">
                  <c:v>672.38999999999976</c:v>
                </c:pt>
                <c:pt idx="460">
                  <c:v>676.6999999999997</c:v>
                </c:pt>
                <c:pt idx="461">
                  <c:v>677.2099999999997</c:v>
                </c:pt>
                <c:pt idx="462">
                  <c:v>680.27999999999975</c:v>
                </c:pt>
                <c:pt idx="463">
                  <c:v>687.65999999999974</c:v>
                </c:pt>
                <c:pt idx="464">
                  <c:v>691.78999999999974</c:v>
                </c:pt>
                <c:pt idx="465">
                  <c:v>690.28999999999974</c:v>
                </c:pt>
                <c:pt idx="466">
                  <c:v>690.25999999999976</c:v>
                </c:pt>
                <c:pt idx="467">
                  <c:v>698.54999999999973</c:v>
                </c:pt>
                <c:pt idx="468">
                  <c:v>700.09999999999968</c:v>
                </c:pt>
                <c:pt idx="469">
                  <c:v>704.35999999999967</c:v>
                </c:pt>
                <c:pt idx="470">
                  <c:v>704.13999999999965</c:v>
                </c:pt>
                <c:pt idx="471">
                  <c:v>699.71999999999969</c:v>
                </c:pt>
                <c:pt idx="472">
                  <c:v>699.35999999999967</c:v>
                </c:pt>
                <c:pt idx="473">
                  <c:v>695.84999999999968</c:v>
                </c:pt>
                <c:pt idx="474">
                  <c:v>697.63999999999965</c:v>
                </c:pt>
                <c:pt idx="475">
                  <c:v>691.33999999999969</c:v>
                </c:pt>
                <c:pt idx="476">
                  <c:v>691.83999999999969</c:v>
                </c:pt>
                <c:pt idx="477">
                  <c:v>693.80999999999972</c:v>
                </c:pt>
                <c:pt idx="478">
                  <c:v>695.59999999999968</c:v>
                </c:pt>
                <c:pt idx="479">
                  <c:v>692.99999999999966</c:v>
                </c:pt>
                <c:pt idx="480">
                  <c:v>698.0799999999997</c:v>
                </c:pt>
                <c:pt idx="481">
                  <c:v>703.15999999999974</c:v>
                </c:pt>
                <c:pt idx="482">
                  <c:v>701.71999999999969</c:v>
                </c:pt>
                <c:pt idx="483">
                  <c:v>708.25999999999965</c:v>
                </c:pt>
                <c:pt idx="484">
                  <c:v>706.39999999999964</c:v>
                </c:pt>
                <c:pt idx="485">
                  <c:v>705.52999999999963</c:v>
                </c:pt>
                <c:pt idx="486">
                  <c:v>703.53999999999962</c:v>
                </c:pt>
                <c:pt idx="487">
                  <c:v>710.20999999999958</c:v>
                </c:pt>
                <c:pt idx="488">
                  <c:v>714.5699999999996</c:v>
                </c:pt>
                <c:pt idx="489">
                  <c:v>720.73999999999955</c:v>
                </c:pt>
                <c:pt idx="490">
                  <c:v>723.52999999999952</c:v>
                </c:pt>
                <c:pt idx="491">
                  <c:v>724.40999999999951</c:v>
                </c:pt>
                <c:pt idx="492">
                  <c:v>726.55999999999949</c:v>
                </c:pt>
                <c:pt idx="493">
                  <c:v>728.28999999999951</c:v>
                </c:pt>
                <c:pt idx="494">
                  <c:v>729.4299999999995</c:v>
                </c:pt>
                <c:pt idx="495">
                  <c:v>730.33999999999946</c:v>
                </c:pt>
                <c:pt idx="496">
                  <c:v>730.70999999999947</c:v>
                </c:pt>
                <c:pt idx="497">
                  <c:v>730.6799999999995</c:v>
                </c:pt>
                <c:pt idx="498">
                  <c:v>736.81999999999948</c:v>
                </c:pt>
                <c:pt idx="499">
                  <c:v>739.08999999999946</c:v>
                </c:pt>
                <c:pt idx="500">
                  <c:v>739.50999999999942</c:v>
                </c:pt>
                <c:pt idx="501">
                  <c:v>740.57999999999947</c:v>
                </c:pt>
                <c:pt idx="502">
                  <c:v>742.73999999999944</c:v>
                </c:pt>
                <c:pt idx="503">
                  <c:v>745.62999999999943</c:v>
                </c:pt>
                <c:pt idx="504">
                  <c:v>745.62999999999943</c:v>
                </c:pt>
                <c:pt idx="505">
                  <c:v>745.62999999999943</c:v>
                </c:pt>
                <c:pt idx="506">
                  <c:v>737.34999999999945</c:v>
                </c:pt>
                <c:pt idx="507">
                  <c:v>736.6599999999994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00-42BB-A924-1E05CBE5C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1499596"/>
        <c:axId val="92214459"/>
      </c:lineChart>
      <c:catAx>
        <c:axId val="314995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Nº apuesta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214459"/>
        <c:crosses val="autoZero"/>
        <c:auto val="1"/>
        <c:lblAlgn val="ctr"/>
        <c:lblOffset val="100"/>
        <c:noMultiLvlLbl val="0"/>
      </c:catAx>
      <c:valAx>
        <c:axId val="922144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EV+ acum.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4995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Evolución del Bankroll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1"/>
        <c:ser>
          <c:idx val="0"/>
          <c:order val="0"/>
          <c:spPr>
            <a:solidFill>
              <a:srgbClr val="BDD7EE"/>
            </a:solidFill>
            <a:ln w="18000">
              <a:solidFill>
                <a:srgbClr val="538DD5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Registro!$O$5:$O$604</c:f>
              <c:strCache>
                <c:ptCount val="5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</c:strCache>
            </c:strRef>
          </c:cat>
          <c:val>
            <c:numRef>
              <c:f>Registro!$K$5:$K$604</c:f>
              <c:numCache>
                <c:formatCode>#,##0.00</c:formatCode>
                <c:ptCount val="600"/>
                <c:pt idx="0">
                  <c:v>2012.9</c:v>
                </c:pt>
                <c:pt idx="1">
                  <c:v>2025.95</c:v>
                </c:pt>
                <c:pt idx="2">
                  <c:v>2005.95</c:v>
                </c:pt>
                <c:pt idx="3">
                  <c:v>2017.55</c:v>
                </c:pt>
                <c:pt idx="4">
                  <c:v>2034.05</c:v>
                </c:pt>
                <c:pt idx="5">
                  <c:v>2019.05</c:v>
                </c:pt>
                <c:pt idx="6">
                  <c:v>2004.05</c:v>
                </c:pt>
                <c:pt idx="7">
                  <c:v>1984.05</c:v>
                </c:pt>
                <c:pt idx="8">
                  <c:v>1984.05</c:v>
                </c:pt>
                <c:pt idx="9">
                  <c:v>1984.05</c:v>
                </c:pt>
                <c:pt idx="10">
                  <c:v>1996.95</c:v>
                </c:pt>
                <c:pt idx="11">
                  <c:v>2014.45</c:v>
                </c:pt>
                <c:pt idx="12">
                  <c:v>2026.45</c:v>
                </c:pt>
                <c:pt idx="13">
                  <c:v>2006.45</c:v>
                </c:pt>
                <c:pt idx="14">
                  <c:v>2017.55</c:v>
                </c:pt>
                <c:pt idx="15">
                  <c:v>2034.05</c:v>
                </c:pt>
                <c:pt idx="16">
                  <c:v>2019.05</c:v>
                </c:pt>
                <c:pt idx="17">
                  <c:v>2004.05</c:v>
                </c:pt>
                <c:pt idx="18">
                  <c:v>1989.05</c:v>
                </c:pt>
                <c:pt idx="19">
                  <c:v>2007.05</c:v>
                </c:pt>
                <c:pt idx="20">
                  <c:v>2015.05</c:v>
                </c:pt>
                <c:pt idx="21">
                  <c:v>2030.05</c:v>
                </c:pt>
                <c:pt idx="22">
                  <c:v>2010.05</c:v>
                </c:pt>
                <c:pt idx="23">
                  <c:v>2010.05</c:v>
                </c:pt>
                <c:pt idx="24">
                  <c:v>2031.55</c:v>
                </c:pt>
                <c:pt idx="25">
                  <c:v>2054.5500000000002</c:v>
                </c:pt>
                <c:pt idx="26">
                  <c:v>2039.55</c:v>
                </c:pt>
                <c:pt idx="27">
                  <c:v>2024.55</c:v>
                </c:pt>
                <c:pt idx="28">
                  <c:v>2038.05</c:v>
                </c:pt>
                <c:pt idx="29">
                  <c:v>2023.05</c:v>
                </c:pt>
                <c:pt idx="30">
                  <c:v>2030.55</c:v>
                </c:pt>
                <c:pt idx="31">
                  <c:v>2010.55</c:v>
                </c:pt>
                <c:pt idx="32">
                  <c:v>2022.55</c:v>
                </c:pt>
                <c:pt idx="33">
                  <c:v>1997.55</c:v>
                </c:pt>
                <c:pt idx="34">
                  <c:v>2010.35</c:v>
                </c:pt>
                <c:pt idx="35">
                  <c:v>1990.35</c:v>
                </c:pt>
                <c:pt idx="36">
                  <c:v>1975.35</c:v>
                </c:pt>
                <c:pt idx="37">
                  <c:v>1994.1</c:v>
                </c:pt>
                <c:pt idx="38">
                  <c:v>2008.7</c:v>
                </c:pt>
                <c:pt idx="39">
                  <c:v>2024.75</c:v>
                </c:pt>
                <c:pt idx="40">
                  <c:v>2004.75</c:v>
                </c:pt>
                <c:pt idx="41">
                  <c:v>2020.95</c:v>
                </c:pt>
                <c:pt idx="42">
                  <c:v>2000.95</c:v>
                </c:pt>
                <c:pt idx="43">
                  <c:v>2012.35</c:v>
                </c:pt>
                <c:pt idx="44">
                  <c:v>1997.35</c:v>
                </c:pt>
                <c:pt idx="45">
                  <c:v>2009.35</c:v>
                </c:pt>
                <c:pt idx="46">
                  <c:v>2020.95</c:v>
                </c:pt>
                <c:pt idx="47">
                  <c:v>2005.95</c:v>
                </c:pt>
                <c:pt idx="48">
                  <c:v>2014.95</c:v>
                </c:pt>
                <c:pt idx="49">
                  <c:v>2028</c:v>
                </c:pt>
                <c:pt idx="50">
                  <c:v>2040.75</c:v>
                </c:pt>
                <c:pt idx="51">
                  <c:v>2046.75</c:v>
                </c:pt>
                <c:pt idx="52">
                  <c:v>2069.75</c:v>
                </c:pt>
                <c:pt idx="53">
                  <c:v>2054.75</c:v>
                </c:pt>
                <c:pt idx="54">
                  <c:v>2034.75</c:v>
                </c:pt>
                <c:pt idx="55">
                  <c:v>2054.25</c:v>
                </c:pt>
                <c:pt idx="56">
                  <c:v>2069.25</c:v>
                </c:pt>
                <c:pt idx="57">
                  <c:v>2078.65</c:v>
                </c:pt>
                <c:pt idx="58">
                  <c:v>2068.65</c:v>
                </c:pt>
                <c:pt idx="59">
                  <c:v>2081.4499999999998</c:v>
                </c:pt>
                <c:pt idx="60">
                  <c:v>2098.6999999999998</c:v>
                </c:pt>
                <c:pt idx="61">
                  <c:v>2112.1</c:v>
                </c:pt>
                <c:pt idx="62">
                  <c:v>2128.15</c:v>
                </c:pt>
                <c:pt idx="63">
                  <c:v>2139.15</c:v>
                </c:pt>
                <c:pt idx="64">
                  <c:v>2150.15</c:v>
                </c:pt>
                <c:pt idx="65">
                  <c:v>2135.15</c:v>
                </c:pt>
                <c:pt idx="66">
                  <c:v>2143.4</c:v>
                </c:pt>
                <c:pt idx="67">
                  <c:v>2158.4</c:v>
                </c:pt>
                <c:pt idx="68">
                  <c:v>2171.6</c:v>
                </c:pt>
                <c:pt idx="69">
                  <c:v>2187.5</c:v>
                </c:pt>
                <c:pt idx="70">
                  <c:v>2205.5</c:v>
                </c:pt>
                <c:pt idx="71">
                  <c:v>2215.9</c:v>
                </c:pt>
                <c:pt idx="72">
                  <c:v>2225.5</c:v>
                </c:pt>
                <c:pt idx="73">
                  <c:v>2240.3000000000002</c:v>
                </c:pt>
                <c:pt idx="74">
                  <c:v>2256.3000000000002</c:v>
                </c:pt>
                <c:pt idx="75">
                  <c:v>2265.0500000000002</c:v>
                </c:pt>
                <c:pt idx="76">
                  <c:v>2273.3000000000002</c:v>
                </c:pt>
                <c:pt idx="77">
                  <c:v>2288.3000000000002</c:v>
                </c:pt>
                <c:pt idx="78">
                  <c:v>2254.3000000000002</c:v>
                </c:pt>
                <c:pt idx="79">
                  <c:v>2273.34</c:v>
                </c:pt>
                <c:pt idx="80">
                  <c:v>2288.64</c:v>
                </c:pt>
                <c:pt idx="81">
                  <c:v>2304.0500000000002</c:v>
                </c:pt>
                <c:pt idx="82">
                  <c:v>2287.0500000000002</c:v>
                </c:pt>
                <c:pt idx="83">
                  <c:v>2259.0500000000002</c:v>
                </c:pt>
                <c:pt idx="84">
                  <c:v>2236.0500000000002</c:v>
                </c:pt>
                <c:pt idx="85">
                  <c:v>2249.65</c:v>
                </c:pt>
                <c:pt idx="86">
                  <c:v>2263.9300000000003</c:v>
                </c:pt>
                <c:pt idx="87">
                  <c:v>2275.13</c:v>
                </c:pt>
                <c:pt idx="88">
                  <c:v>2292.98</c:v>
                </c:pt>
                <c:pt idx="89">
                  <c:v>2308.3900000000003</c:v>
                </c:pt>
                <c:pt idx="90">
                  <c:v>2324.71</c:v>
                </c:pt>
                <c:pt idx="91">
                  <c:v>2338.5100000000002</c:v>
                </c:pt>
                <c:pt idx="92">
                  <c:v>2352.31</c:v>
                </c:pt>
                <c:pt idx="93">
                  <c:v>2366.59</c:v>
                </c:pt>
                <c:pt idx="94">
                  <c:v>2349.59</c:v>
                </c:pt>
                <c:pt idx="95">
                  <c:v>2332.59</c:v>
                </c:pt>
                <c:pt idx="96">
                  <c:v>2348.4</c:v>
                </c:pt>
                <c:pt idx="97">
                  <c:v>2331.4</c:v>
                </c:pt>
                <c:pt idx="98">
                  <c:v>2303.4</c:v>
                </c:pt>
                <c:pt idx="99">
                  <c:v>2286.4</c:v>
                </c:pt>
                <c:pt idx="100">
                  <c:v>2290.88</c:v>
                </c:pt>
                <c:pt idx="101">
                  <c:v>2306.1800000000003</c:v>
                </c:pt>
                <c:pt idx="102">
                  <c:v>2283.1800000000003</c:v>
                </c:pt>
                <c:pt idx="103">
                  <c:v>2297.8000000000002</c:v>
                </c:pt>
                <c:pt idx="104">
                  <c:v>2269.8000000000002</c:v>
                </c:pt>
                <c:pt idx="105">
                  <c:v>2292.2000000000003</c:v>
                </c:pt>
                <c:pt idx="106">
                  <c:v>2309.6800000000003</c:v>
                </c:pt>
                <c:pt idx="107">
                  <c:v>2327.87</c:v>
                </c:pt>
                <c:pt idx="108">
                  <c:v>2310.87</c:v>
                </c:pt>
                <c:pt idx="109">
                  <c:v>2326.37</c:v>
                </c:pt>
                <c:pt idx="110">
                  <c:v>2336.5700000000002</c:v>
                </c:pt>
                <c:pt idx="111">
                  <c:v>2346.17</c:v>
                </c:pt>
                <c:pt idx="112">
                  <c:v>2360.62</c:v>
                </c:pt>
                <c:pt idx="113">
                  <c:v>2378.81</c:v>
                </c:pt>
                <c:pt idx="114">
                  <c:v>2382.56</c:v>
                </c:pt>
                <c:pt idx="115">
                  <c:v>2359.56</c:v>
                </c:pt>
                <c:pt idx="116">
                  <c:v>2342.56</c:v>
                </c:pt>
                <c:pt idx="117">
                  <c:v>2320.56</c:v>
                </c:pt>
                <c:pt idx="118">
                  <c:v>2330.6800000000003</c:v>
                </c:pt>
                <c:pt idx="119">
                  <c:v>2342.1800000000003</c:v>
                </c:pt>
                <c:pt idx="120">
                  <c:v>2355.98</c:v>
                </c:pt>
                <c:pt idx="121">
                  <c:v>2371.62</c:v>
                </c:pt>
                <c:pt idx="122">
                  <c:v>2371.62</c:v>
                </c:pt>
                <c:pt idx="123">
                  <c:v>2390.48</c:v>
                </c:pt>
                <c:pt idx="124">
                  <c:v>2369.48</c:v>
                </c:pt>
                <c:pt idx="125">
                  <c:v>2380.75</c:v>
                </c:pt>
                <c:pt idx="126">
                  <c:v>2396.71</c:v>
                </c:pt>
                <c:pt idx="127">
                  <c:v>2368.71</c:v>
                </c:pt>
                <c:pt idx="128">
                  <c:v>2382.0500000000002</c:v>
                </c:pt>
                <c:pt idx="129">
                  <c:v>2387.83</c:v>
                </c:pt>
                <c:pt idx="130">
                  <c:v>2403.3000000000002</c:v>
                </c:pt>
                <c:pt idx="131">
                  <c:v>2386.3000000000002</c:v>
                </c:pt>
                <c:pt idx="132">
                  <c:v>2400.41</c:v>
                </c:pt>
                <c:pt idx="133">
                  <c:v>2383.41</c:v>
                </c:pt>
                <c:pt idx="134">
                  <c:v>2359.41</c:v>
                </c:pt>
                <c:pt idx="135">
                  <c:v>2374.0500000000002</c:v>
                </c:pt>
                <c:pt idx="136">
                  <c:v>2356.0500000000002</c:v>
                </c:pt>
                <c:pt idx="137">
                  <c:v>2376.75</c:v>
                </c:pt>
                <c:pt idx="138">
                  <c:v>2358.75</c:v>
                </c:pt>
                <c:pt idx="139">
                  <c:v>2334.75</c:v>
                </c:pt>
                <c:pt idx="140">
                  <c:v>2350.59</c:v>
                </c:pt>
                <c:pt idx="141">
                  <c:v>2372.19</c:v>
                </c:pt>
                <c:pt idx="142">
                  <c:v>2360.19</c:v>
                </c:pt>
                <c:pt idx="143">
                  <c:v>2336.19</c:v>
                </c:pt>
                <c:pt idx="144">
                  <c:v>2324.19</c:v>
                </c:pt>
                <c:pt idx="145">
                  <c:v>2312.19</c:v>
                </c:pt>
                <c:pt idx="146">
                  <c:v>2326.59</c:v>
                </c:pt>
                <c:pt idx="147">
                  <c:v>2354.19</c:v>
                </c:pt>
                <c:pt idx="148">
                  <c:v>2344.19</c:v>
                </c:pt>
                <c:pt idx="149">
                  <c:v>2368.39</c:v>
                </c:pt>
                <c:pt idx="150">
                  <c:v>2382.65</c:v>
                </c:pt>
                <c:pt idx="151">
                  <c:v>2398.0500000000002</c:v>
                </c:pt>
                <c:pt idx="152">
                  <c:v>2375.0500000000002</c:v>
                </c:pt>
                <c:pt idx="153">
                  <c:v>2391.15</c:v>
                </c:pt>
                <c:pt idx="154">
                  <c:v>2368.15</c:v>
                </c:pt>
                <c:pt idx="155">
                  <c:v>2332.15</c:v>
                </c:pt>
                <c:pt idx="156">
                  <c:v>2320.15</c:v>
                </c:pt>
                <c:pt idx="157">
                  <c:v>2302.15</c:v>
                </c:pt>
                <c:pt idx="158">
                  <c:v>2318.35</c:v>
                </c:pt>
                <c:pt idx="159">
                  <c:v>2334.34</c:v>
                </c:pt>
                <c:pt idx="160">
                  <c:v>2358.54</c:v>
                </c:pt>
                <c:pt idx="161">
                  <c:v>2335.54</c:v>
                </c:pt>
                <c:pt idx="162">
                  <c:v>2313.54</c:v>
                </c:pt>
                <c:pt idx="163">
                  <c:v>2323.2200000000003</c:v>
                </c:pt>
                <c:pt idx="164">
                  <c:v>2301.2200000000003</c:v>
                </c:pt>
                <c:pt idx="165">
                  <c:v>2315.62</c:v>
                </c:pt>
                <c:pt idx="166">
                  <c:v>2331.61</c:v>
                </c:pt>
                <c:pt idx="167">
                  <c:v>2309.61</c:v>
                </c:pt>
                <c:pt idx="168">
                  <c:v>2318.41</c:v>
                </c:pt>
                <c:pt idx="169">
                  <c:v>2307.41</c:v>
                </c:pt>
                <c:pt idx="170">
                  <c:v>2328.11</c:v>
                </c:pt>
                <c:pt idx="171">
                  <c:v>2306.11</c:v>
                </c:pt>
                <c:pt idx="172">
                  <c:v>2317.11</c:v>
                </c:pt>
                <c:pt idx="173">
                  <c:v>2338.35</c:v>
                </c:pt>
                <c:pt idx="174">
                  <c:v>2320.35</c:v>
                </c:pt>
                <c:pt idx="175">
                  <c:v>2330.12</c:v>
                </c:pt>
                <c:pt idx="176">
                  <c:v>2346.1799999999998</c:v>
                </c:pt>
                <c:pt idx="177">
                  <c:v>2357.1799999999998</c:v>
                </c:pt>
                <c:pt idx="178">
                  <c:v>2373.92</c:v>
                </c:pt>
                <c:pt idx="179">
                  <c:v>2351.92</c:v>
                </c:pt>
                <c:pt idx="180">
                  <c:v>2333.92</c:v>
                </c:pt>
                <c:pt idx="181">
                  <c:v>2347.34</c:v>
                </c:pt>
                <c:pt idx="182">
                  <c:v>2359</c:v>
                </c:pt>
                <c:pt idx="183">
                  <c:v>2337</c:v>
                </c:pt>
                <c:pt idx="184">
                  <c:v>2346.6800000000003</c:v>
                </c:pt>
                <c:pt idx="185">
                  <c:v>2328.6800000000003</c:v>
                </c:pt>
                <c:pt idx="186">
                  <c:v>2306.6800000000003</c:v>
                </c:pt>
                <c:pt idx="187">
                  <c:v>2284.6800000000003</c:v>
                </c:pt>
                <c:pt idx="188">
                  <c:v>2262.6800000000003</c:v>
                </c:pt>
                <c:pt idx="189">
                  <c:v>2244.6800000000003</c:v>
                </c:pt>
                <c:pt idx="190">
                  <c:v>2264.48</c:v>
                </c:pt>
                <c:pt idx="191">
                  <c:v>2246.48</c:v>
                </c:pt>
                <c:pt idx="192">
                  <c:v>2258.58</c:v>
                </c:pt>
                <c:pt idx="193">
                  <c:v>2274.42</c:v>
                </c:pt>
                <c:pt idx="194">
                  <c:v>2293.3200000000002</c:v>
                </c:pt>
                <c:pt idx="195">
                  <c:v>2282.3200000000002</c:v>
                </c:pt>
                <c:pt idx="196">
                  <c:v>2297.62</c:v>
                </c:pt>
                <c:pt idx="197">
                  <c:v>2315.62</c:v>
                </c:pt>
                <c:pt idx="198">
                  <c:v>2326.4</c:v>
                </c:pt>
                <c:pt idx="199">
                  <c:v>2338.13</c:v>
                </c:pt>
                <c:pt idx="200">
                  <c:v>2320.13</c:v>
                </c:pt>
                <c:pt idx="201">
                  <c:v>2298.13</c:v>
                </c:pt>
                <c:pt idx="202">
                  <c:v>2313.9700000000003</c:v>
                </c:pt>
                <c:pt idx="203">
                  <c:v>2299.9700000000003</c:v>
                </c:pt>
                <c:pt idx="204">
                  <c:v>2318.0100000000002</c:v>
                </c:pt>
                <c:pt idx="205">
                  <c:v>2337.09</c:v>
                </c:pt>
                <c:pt idx="206">
                  <c:v>2319.09</c:v>
                </c:pt>
                <c:pt idx="207">
                  <c:v>2334.39</c:v>
                </c:pt>
                <c:pt idx="208">
                  <c:v>2312.39</c:v>
                </c:pt>
                <c:pt idx="209">
                  <c:v>2327.04</c:v>
                </c:pt>
                <c:pt idx="210">
                  <c:v>2315.04</c:v>
                </c:pt>
                <c:pt idx="211">
                  <c:v>2328.9</c:v>
                </c:pt>
                <c:pt idx="212">
                  <c:v>2318.9</c:v>
                </c:pt>
                <c:pt idx="213">
                  <c:v>2330.63</c:v>
                </c:pt>
                <c:pt idx="214">
                  <c:v>2309.63</c:v>
                </c:pt>
                <c:pt idx="215">
                  <c:v>2291.63</c:v>
                </c:pt>
                <c:pt idx="216">
                  <c:v>2303.0300000000002</c:v>
                </c:pt>
                <c:pt idx="217">
                  <c:v>2319.9499999999998</c:v>
                </c:pt>
                <c:pt idx="218">
                  <c:v>2333.15</c:v>
                </c:pt>
                <c:pt idx="219">
                  <c:v>2347.67</c:v>
                </c:pt>
                <c:pt idx="220">
                  <c:v>2363.35</c:v>
                </c:pt>
                <c:pt idx="221">
                  <c:v>2378.9499999999998</c:v>
                </c:pt>
                <c:pt idx="222">
                  <c:v>2360.9499999999998</c:v>
                </c:pt>
                <c:pt idx="223">
                  <c:v>2338.9499999999998</c:v>
                </c:pt>
                <c:pt idx="224">
                  <c:v>2353.5100000000002</c:v>
                </c:pt>
                <c:pt idx="225">
                  <c:v>2371.5100000000002</c:v>
                </c:pt>
                <c:pt idx="226">
                  <c:v>2357.5100000000002</c:v>
                </c:pt>
                <c:pt idx="227">
                  <c:v>2335.5100000000002</c:v>
                </c:pt>
                <c:pt idx="228">
                  <c:v>2317.5100000000002</c:v>
                </c:pt>
                <c:pt idx="229">
                  <c:v>2328.0700000000002</c:v>
                </c:pt>
                <c:pt idx="230">
                  <c:v>2306.0700000000002</c:v>
                </c:pt>
                <c:pt idx="231">
                  <c:v>2314.58</c:v>
                </c:pt>
                <c:pt idx="232">
                  <c:v>2331.3200000000002</c:v>
                </c:pt>
                <c:pt idx="233">
                  <c:v>2339.69</c:v>
                </c:pt>
                <c:pt idx="234">
                  <c:v>2353.77</c:v>
                </c:pt>
                <c:pt idx="235">
                  <c:v>2366.88</c:v>
                </c:pt>
                <c:pt idx="236">
                  <c:v>2349.88</c:v>
                </c:pt>
                <c:pt idx="237">
                  <c:v>2326.88</c:v>
                </c:pt>
                <c:pt idx="238">
                  <c:v>2303.88</c:v>
                </c:pt>
                <c:pt idx="239">
                  <c:v>2303.88</c:v>
                </c:pt>
                <c:pt idx="240">
                  <c:v>2280.88</c:v>
                </c:pt>
                <c:pt idx="241">
                  <c:v>2257.88</c:v>
                </c:pt>
                <c:pt idx="242">
                  <c:v>2272.2800000000002</c:v>
                </c:pt>
                <c:pt idx="243">
                  <c:v>2260.2800000000002</c:v>
                </c:pt>
                <c:pt idx="244">
                  <c:v>2275.23</c:v>
                </c:pt>
                <c:pt idx="245">
                  <c:v>2284.33</c:v>
                </c:pt>
                <c:pt idx="246">
                  <c:v>2303.5300000000002</c:v>
                </c:pt>
                <c:pt idx="247">
                  <c:v>2321.4700000000003</c:v>
                </c:pt>
                <c:pt idx="248">
                  <c:v>2340.0300000000002</c:v>
                </c:pt>
                <c:pt idx="249">
                  <c:v>2317.0300000000002</c:v>
                </c:pt>
                <c:pt idx="250">
                  <c:v>2294.0300000000002</c:v>
                </c:pt>
                <c:pt idx="251">
                  <c:v>2308.14</c:v>
                </c:pt>
                <c:pt idx="252">
                  <c:v>2327.52</c:v>
                </c:pt>
                <c:pt idx="253">
                  <c:v>2310.52</c:v>
                </c:pt>
                <c:pt idx="254">
                  <c:v>2326.16</c:v>
                </c:pt>
                <c:pt idx="255">
                  <c:v>2340.88</c:v>
                </c:pt>
                <c:pt idx="256">
                  <c:v>2358.5700000000002</c:v>
                </c:pt>
                <c:pt idx="257">
                  <c:v>2335.5700000000002</c:v>
                </c:pt>
                <c:pt idx="258">
                  <c:v>2358.11</c:v>
                </c:pt>
                <c:pt idx="259">
                  <c:v>2341.11</c:v>
                </c:pt>
                <c:pt idx="260">
                  <c:v>2324.11</c:v>
                </c:pt>
                <c:pt idx="261">
                  <c:v>2307.11</c:v>
                </c:pt>
                <c:pt idx="262">
                  <c:v>2321.83</c:v>
                </c:pt>
                <c:pt idx="263">
                  <c:v>2334.09</c:v>
                </c:pt>
                <c:pt idx="264">
                  <c:v>2317.09</c:v>
                </c:pt>
                <c:pt idx="265">
                  <c:v>2332.84</c:v>
                </c:pt>
                <c:pt idx="266">
                  <c:v>2332.84</c:v>
                </c:pt>
                <c:pt idx="267">
                  <c:v>2315.84</c:v>
                </c:pt>
                <c:pt idx="268">
                  <c:v>2333.1800000000003</c:v>
                </c:pt>
                <c:pt idx="269">
                  <c:v>2298.1800000000003</c:v>
                </c:pt>
                <c:pt idx="270">
                  <c:v>2317.96</c:v>
                </c:pt>
                <c:pt idx="271">
                  <c:v>2329.23</c:v>
                </c:pt>
                <c:pt idx="272">
                  <c:v>2346.23</c:v>
                </c:pt>
                <c:pt idx="273">
                  <c:v>2329.23</c:v>
                </c:pt>
                <c:pt idx="274">
                  <c:v>2306.23</c:v>
                </c:pt>
                <c:pt idx="275">
                  <c:v>2323.23</c:v>
                </c:pt>
                <c:pt idx="276">
                  <c:v>2338.5500000000002</c:v>
                </c:pt>
                <c:pt idx="277">
                  <c:v>2348.67</c:v>
                </c:pt>
                <c:pt idx="278">
                  <c:v>2330.67</c:v>
                </c:pt>
                <c:pt idx="279">
                  <c:v>2313.67</c:v>
                </c:pt>
                <c:pt idx="280">
                  <c:v>2334.83</c:v>
                </c:pt>
                <c:pt idx="281">
                  <c:v>2317.83</c:v>
                </c:pt>
                <c:pt idx="282">
                  <c:v>2300.83</c:v>
                </c:pt>
                <c:pt idx="283">
                  <c:v>2315.2800000000002</c:v>
                </c:pt>
                <c:pt idx="284">
                  <c:v>2329.31</c:v>
                </c:pt>
                <c:pt idx="285">
                  <c:v>2345.87</c:v>
                </c:pt>
                <c:pt idx="286">
                  <c:v>2360.36</c:v>
                </c:pt>
                <c:pt idx="287">
                  <c:v>2378.36</c:v>
                </c:pt>
                <c:pt idx="288">
                  <c:v>2361.36</c:v>
                </c:pt>
                <c:pt idx="289">
                  <c:v>2379.12</c:v>
                </c:pt>
                <c:pt idx="290">
                  <c:v>2397.7200000000003</c:v>
                </c:pt>
                <c:pt idx="291">
                  <c:v>2417.27</c:v>
                </c:pt>
                <c:pt idx="292">
                  <c:v>2437.67</c:v>
                </c:pt>
                <c:pt idx="293">
                  <c:v>2458.0700000000002</c:v>
                </c:pt>
                <c:pt idx="294">
                  <c:v>2472.52</c:v>
                </c:pt>
                <c:pt idx="295">
                  <c:v>2472.52</c:v>
                </c:pt>
                <c:pt idx="296">
                  <c:v>2489.52</c:v>
                </c:pt>
                <c:pt idx="297">
                  <c:v>2504.02</c:v>
                </c:pt>
                <c:pt idx="298">
                  <c:v>2525.02</c:v>
                </c:pt>
                <c:pt idx="299">
                  <c:v>2541.2200000000003</c:v>
                </c:pt>
                <c:pt idx="300">
                  <c:v>2559.7200000000003</c:v>
                </c:pt>
                <c:pt idx="301">
                  <c:v>2579.2200000000003</c:v>
                </c:pt>
                <c:pt idx="302">
                  <c:v>2597.7200000000003</c:v>
                </c:pt>
                <c:pt idx="303">
                  <c:v>2579.7200000000003</c:v>
                </c:pt>
                <c:pt idx="304">
                  <c:v>2599.52</c:v>
                </c:pt>
                <c:pt idx="305">
                  <c:v>2617.52</c:v>
                </c:pt>
                <c:pt idx="306">
                  <c:v>2633.18</c:v>
                </c:pt>
                <c:pt idx="307">
                  <c:v>2646.68</c:v>
                </c:pt>
                <c:pt idx="308">
                  <c:v>2665.9</c:v>
                </c:pt>
                <c:pt idx="309">
                  <c:v>2682.4</c:v>
                </c:pt>
                <c:pt idx="310">
                  <c:v>2695.4</c:v>
                </c:pt>
                <c:pt idx="311">
                  <c:v>2712.86</c:v>
                </c:pt>
                <c:pt idx="312">
                  <c:v>2698.86</c:v>
                </c:pt>
                <c:pt idx="313">
                  <c:v>2716.7799999999997</c:v>
                </c:pt>
                <c:pt idx="314">
                  <c:v>2698.7799999999997</c:v>
                </c:pt>
                <c:pt idx="315">
                  <c:v>2727.13</c:v>
                </c:pt>
                <c:pt idx="316">
                  <c:v>2750.13</c:v>
                </c:pt>
                <c:pt idx="317">
                  <c:v>2766.13</c:v>
                </c:pt>
                <c:pt idx="318">
                  <c:v>2753.13</c:v>
                </c:pt>
                <c:pt idx="319">
                  <c:v>2769.13</c:v>
                </c:pt>
                <c:pt idx="320">
                  <c:v>2746.13</c:v>
                </c:pt>
                <c:pt idx="321">
                  <c:v>2766.11</c:v>
                </c:pt>
                <c:pt idx="322">
                  <c:v>2746.11</c:v>
                </c:pt>
                <c:pt idx="323">
                  <c:v>2723.11</c:v>
                </c:pt>
                <c:pt idx="324">
                  <c:v>2746.11</c:v>
                </c:pt>
                <c:pt idx="325">
                  <c:v>2761.19</c:v>
                </c:pt>
                <c:pt idx="326">
                  <c:v>2782.95</c:v>
                </c:pt>
                <c:pt idx="327">
                  <c:v>2807.25</c:v>
                </c:pt>
                <c:pt idx="328">
                  <c:v>2787.25</c:v>
                </c:pt>
                <c:pt idx="329">
                  <c:v>2760.25</c:v>
                </c:pt>
                <c:pt idx="330">
                  <c:v>2760.25</c:v>
                </c:pt>
                <c:pt idx="331">
                  <c:v>2740.25</c:v>
                </c:pt>
                <c:pt idx="332">
                  <c:v>2727.25</c:v>
                </c:pt>
                <c:pt idx="333">
                  <c:v>2743.99</c:v>
                </c:pt>
                <c:pt idx="334">
                  <c:v>2730.99</c:v>
                </c:pt>
                <c:pt idx="335">
                  <c:v>2750.9700000000003</c:v>
                </c:pt>
                <c:pt idx="336">
                  <c:v>2730.9700000000003</c:v>
                </c:pt>
                <c:pt idx="337">
                  <c:v>2703.9700000000003</c:v>
                </c:pt>
                <c:pt idx="338">
                  <c:v>2716.66</c:v>
                </c:pt>
                <c:pt idx="339">
                  <c:v>2716.66</c:v>
                </c:pt>
                <c:pt idx="340">
                  <c:v>2716.66</c:v>
                </c:pt>
                <c:pt idx="341">
                  <c:v>2689.66</c:v>
                </c:pt>
                <c:pt idx="342">
                  <c:v>2705.26</c:v>
                </c:pt>
                <c:pt idx="343">
                  <c:v>2717.44</c:v>
                </c:pt>
                <c:pt idx="344">
                  <c:v>2736.84</c:v>
                </c:pt>
                <c:pt idx="345">
                  <c:v>2736.84</c:v>
                </c:pt>
                <c:pt idx="346">
                  <c:v>2748.7200000000003</c:v>
                </c:pt>
                <c:pt idx="347">
                  <c:v>2728.7200000000003</c:v>
                </c:pt>
                <c:pt idx="348">
                  <c:v>2747.92</c:v>
                </c:pt>
                <c:pt idx="349">
                  <c:v>2733.92</c:v>
                </c:pt>
                <c:pt idx="350">
                  <c:v>2748.16</c:v>
                </c:pt>
                <c:pt idx="351">
                  <c:v>2763.56</c:v>
                </c:pt>
                <c:pt idx="352">
                  <c:v>2743.56</c:v>
                </c:pt>
                <c:pt idx="353">
                  <c:v>2760.36</c:v>
                </c:pt>
                <c:pt idx="354">
                  <c:v>2775.7200000000003</c:v>
                </c:pt>
                <c:pt idx="355">
                  <c:v>2795.16</c:v>
                </c:pt>
                <c:pt idx="356">
                  <c:v>2775.16</c:v>
                </c:pt>
                <c:pt idx="357">
                  <c:v>2785.02</c:v>
                </c:pt>
                <c:pt idx="358">
                  <c:v>2758.02</c:v>
                </c:pt>
                <c:pt idx="359">
                  <c:v>2738.02</c:v>
                </c:pt>
                <c:pt idx="360">
                  <c:v>2715.02</c:v>
                </c:pt>
                <c:pt idx="361">
                  <c:v>2732.42</c:v>
                </c:pt>
                <c:pt idx="362">
                  <c:v>2705.42</c:v>
                </c:pt>
                <c:pt idx="363">
                  <c:v>2691.42</c:v>
                </c:pt>
                <c:pt idx="364">
                  <c:v>2671.42</c:v>
                </c:pt>
                <c:pt idx="365">
                  <c:v>2693.02</c:v>
                </c:pt>
                <c:pt idx="366">
                  <c:v>2708.6000000000004</c:v>
                </c:pt>
                <c:pt idx="367">
                  <c:v>2725.26</c:v>
                </c:pt>
                <c:pt idx="368">
                  <c:v>2732.26</c:v>
                </c:pt>
                <c:pt idx="369">
                  <c:v>2741.86</c:v>
                </c:pt>
                <c:pt idx="370">
                  <c:v>2756.8500000000004</c:v>
                </c:pt>
                <c:pt idx="371">
                  <c:v>2711.8500000000004</c:v>
                </c:pt>
                <c:pt idx="372">
                  <c:v>2724.25</c:v>
                </c:pt>
                <c:pt idx="373">
                  <c:v>2697.25</c:v>
                </c:pt>
                <c:pt idx="374">
                  <c:v>2677.25</c:v>
                </c:pt>
                <c:pt idx="375">
                  <c:v>2692.91</c:v>
                </c:pt>
                <c:pt idx="376">
                  <c:v>2712.91</c:v>
                </c:pt>
                <c:pt idx="377">
                  <c:v>2730.46</c:v>
                </c:pt>
                <c:pt idx="378">
                  <c:v>2749.36</c:v>
                </c:pt>
                <c:pt idx="379">
                  <c:v>2768.26</c:v>
                </c:pt>
                <c:pt idx="380">
                  <c:v>2781.76</c:v>
                </c:pt>
                <c:pt idx="381">
                  <c:v>2798.23</c:v>
                </c:pt>
                <c:pt idx="382">
                  <c:v>2778.23</c:v>
                </c:pt>
                <c:pt idx="383">
                  <c:v>2751.23</c:v>
                </c:pt>
                <c:pt idx="384">
                  <c:v>2751.23</c:v>
                </c:pt>
                <c:pt idx="385">
                  <c:v>2766.0299999999997</c:v>
                </c:pt>
                <c:pt idx="386">
                  <c:v>2777.64</c:v>
                </c:pt>
                <c:pt idx="387">
                  <c:v>2793.84</c:v>
                </c:pt>
                <c:pt idx="388">
                  <c:v>2766.84</c:v>
                </c:pt>
                <c:pt idx="389">
                  <c:v>2739.84</c:v>
                </c:pt>
                <c:pt idx="390">
                  <c:v>2739.84</c:v>
                </c:pt>
                <c:pt idx="391">
                  <c:v>2753.34</c:v>
                </c:pt>
                <c:pt idx="392">
                  <c:v>2771.74</c:v>
                </c:pt>
                <c:pt idx="393">
                  <c:v>2792.26</c:v>
                </c:pt>
                <c:pt idx="394">
                  <c:v>2811.16</c:v>
                </c:pt>
                <c:pt idx="395">
                  <c:v>2826.46</c:v>
                </c:pt>
                <c:pt idx="396">
                  <c:v>2799.46</c:v>
                </c:pt>
                <c:pt idx="397">
                  <c:v>2814.46</c:v>
                </c:pt>
                <c:pt idx="398">
                  <c:v>2828.77</c:v>
                </c:pt>
                <c:pt idx="399">
                  <c:v>2814.77</c:v>
                </c:pt>
                <c:pt idx="400">
                  <c:v>2787.77</c:v>
                </c:pt>
                <c:pt idx="401">
                  <c:v>2801.81</c:v>
                </c:pt>
                <c:pt idx="402">
                  <c:v>2814.2299999999996</c:v>
                </c:pt>
                <c:pt idx="403">
                  <c:v>2828.41</c:v>
                </c:pt>
                <c:pt idx="404">
                  <c:v>2808.41</c:v>
                </c:pt>
                <c:pt idx="405">
                  <c:v>2821.64</c:v>
                </c:pt>
                <c:pt idx="406">
                  <c:v>2832.4399999999996</c:v>
                </c:pt>
                <c:pt idx="407">
                  <c:v>2805.4399999999996</c:v>
                </c:pt>
                <c:pt idx="408">
                  <c:v>2778.4399999999996</c:v>
                </c:pt>
                <c:pt idx="409">
                  <c:v>2758.4399999999996</c:v>
                </c:pt>
                <c:pt idx="410">
                  <c:v>2773.0199999999995</c:v>
                </c:pt>
                <c:pt idx="411">
                  <c:v>2786.5199999999995</c:v>
                </c:pt>
                <c:pt idx="412">
                  <c:v>2804.3399999999997</c:v>
                </c:pt>
                <c:pt idx="413">
                  <c:v>2777.3399999999997</c:v>
                </c:pt>
                <c:pt idx="414">
                  <c:v>2750.3399999999997</c:v>
                </c:pt>
                <c:pt idx="415">
                  <c:v>2768.16</c:v>
                </c:pt>
                <c:pt idx="416">
                  <c:v>2788.68</c:v>
                </c:pt>
                <c:pt idx="417">
                  <c:v>2810.4399999999996</c:v>
                </c:pt>
                <c:pt idx="418">
                  <c:v>2790.4399999999996</c:v>
                </c:pt>
                <c:pt idx="419">
                  <c:v>2815.6</c:v>
                </c:pt>
                <c:pt idx="420">
                  <c:v>2801.6</c:v>
                </c:pt>
                <c:pt idx="421">
                  <c:v>2818.6099999999997</c:v>
                </c:pt>
                <c:pt idx="422">
                  <c:v>2791.6099999999997</c:v>
                </c:pt>
                <c:pt idx="423">
                  <c:v>2802.41</c:v>
                </c:pt>
                <c:pt idx="424">
                  <c:v>2775.41</c:v>
                </c:pt>
                <c:pt idx="425">
                  <c:v>2755.41</c:v>
                </c:pt>
                <c:pt idx="426">
                  <c:v>2769.72</c:v>
                </c:pt>
                <c:pt idx="427">
                  <c:v>2789.4399999999996</c:v>
                </c:pt>
                <c:pt idx="428">
                  <c:v>2805.64</c:v>
                </c:pt>
                <c:pt idx="429">
                  <c:v>2826.04</c:v>
                </c:pt>
                <c:pt idx="430">
                  <c:v>2799.04</c:v>
                </c:pt>
                <c:pt idx="431">
                  <c:v>2799.04</c:v>
                </c:pt>
                <c:pt idx="432">
                  <c:v>2815.24</c:v>
                </c:pt>
                <c:pt idx="433">
                  <c:v>2830.6299999999997</c:v>
                </c:pt>
                <c:pt idx="434">
                  <c:v>2803.6299999999997</c:v>
                </c:pt>
                <c:pt idx="435">
                  <c:v>2819.6299999999997</c:v>
                </c:pt>
                <c:pt idx="436">
                  <c:v>2840.83</c:v>
                </c:pt>
                <c:pt idx="437">
                  <c:v>2858.0299999999997</c:v>
                </c:pt>
                <c:pt idx="438">
                  <c:v>2879.0899999999997</c:v>
                </c:pt>
                <c:pt idx="439">
                  <c:v>2852.0899999999997</c:v>
                </c:pt>
                <c:pt idx="440">
                  <c:v>2825.0899999999997</c:v>
                </c:pt>
                <c:pt idx="441">
                  <c:v>2842.1899999999996</c:v>
                </c:pt>
                <c:pt idx="442">
                  <c:v>2815.1899999999996</c:v>
                </c:pt>
                <c:pt idx="443">
                  <c:v>2828.6899999999996</c:v>
                </c:pt>
                <c:pt idx="444">
                  <c:v>2801.6899999999996</c:v>
                </c:pt>
                <c:pt idx="445">
                  <c:v>2817.89</c:v>
                </c:pt>
                <c:pt idx="446">
                  <c:v>2835.89</c:v>
                </c:pt>
                <c:pt idx="447">
                  <c:v>2850.2</c:v>
                </c:pt>
                <c:pt idx="448">
                  <c:v>2830.2</c:v>
                </c:pt>
                <c:pt idx="449">
                  <c:v>2810.2</c:v>
                </c:pt>
                <c:pt idx="450">
                  <c:v>2829.83</c:v>
                </c:pt>
                <c:pt idx="451">
                  <c:v>2850.5899999999997</c:v>
                </c:pt>
                <c:pt idx="452">
                  <c:v>2871.35</c:v>
                </c:pt>
                <c:pt idx="453">
                  <c:v>2857.35</c:v>
                </c:pt>
                <c:pt idx="454">
                  <c:v>2837.35</c:v>
                </c:pt>
                <c:pt idx="455">
                  <c:v>2810.35</c:v>
                </c:pt>
                <c:pt idx="456">
                  <c:v>2828.5299999999997</c:v>
                </c:pt>
                <c:pt idx="457">
                  <c:v>2799.5299999999997</c:v>
                </c:pt>
                <c:pt idx="458">
                  <c:v>2808.9799999999996</c:v>
                </c:pt>
                <c:pt idx="459">
                  <c:v>2820.4799999999996</c:v>
                </c:pt>
                <c:pt idx="460">
                  <c:v>2842.33</c:v>
                </c:pt>
                <c:pt idx="461">
                  <c:v>2862.43</c:v>
                </c:pt>
                <c:pt idx="462">
                  <c:v>2832.43</c:v>
                </c:pt>
                <c:pt idx="463">
                  <c:v>2856.75</c:v>
                </c:pt>
                <c:pt idx="464">
                  <c:v>2877.6499999999996</c:v>
                </c:pt>
                <c:pt idx="465">
                  <c:v>2894.45</c:v>
                </c:pt>
                <c:pt idx="466">
                  <c:v>2871.45</c:v>
                </c:pt>
                <c:pt idx="467">
                  <c:v>2856.45</c:v>
                </c:pt>
                <c:pt idx="468">
                  <c:v>2878.2599999999998</c:v>
                </c:pt>
                <c:pt idx="469">
                  <c:v>2856.2599999999998</c:v>
                </c:pt>
                <c:pt idx="470">
                  <c:v>2826.2599999999998</c:v>
                </c:pt>
                <c:pt idx="471">
                  <c:v>2796.2599999999998</c:v>
                </c:pt>
                <c:pt idx="472">
                  <c:v>2813</c:v>
                </c:pt>
                <c:pt idx="473">
                  <c:v>2826.5</c:v>
                </c:pt>
                <c:pt idx="474">
                  <c:v>2796.5</c:v>
                </c:pt>
                <c:pt idx="475">
                  <c:v>2810.5599999999995</c:v>
                </c:pt>
                <c:pt idx="476">
                  <c:v>2815.24</c:v>
                </c:pt>
                <c:pt idx="477">
                  <c:v>2837.74</c:v>
                </c:pt>
                <c:pt idx="478">
                  <c:v>2859.9399999999996</c:v>
                </c:pt>
                <c:pt idx="479">
                  <c:v>2874.9399999999996</c:v>
                </c:pt>
                <c:pt idx="480">
                  <c:v>2844.9399999999996</c:v>
                </c:pt>
                <c:pt idx="481">
                  <c:v>2872.54</c:v>
                </c:pt>
                <c:pt idx="482">
                  <c:v>2872.54</c:v>
                </c:pt>
                <c:pt idx="483">
                  <c:v>2842.54</c:v>
                </c:pt>
                <c:pt idx="484">
                  <c:v>2812.54</c:v>
                </c:pt>
                <c:pt idx="485">
                  <c:v>2802.54</c:v>
                </c:pt>
                <c:pt idx="486">
                  <c:v>2818.5299999999997</c:v>
                </c:pt>
                <c:pt idx="487">
                  <c:v>2843.6099999999997</c:v>
                </c:pt>
                <c:pt idx="488">
                  <c:v>2823.6099999999997</c:v>
                </c:pt>
                <c:pt idx="489">
                  <c:v>2853.0099999999998</c:v>
                </c:pt>
                <c:pt idx="490">
                  <c:v>2831.0099999999998</c:v>
                </c:pt>
                <c:pt idx="491">
                  <c:v>2831.0099999999998</c:v>
                </c:pt>
                <c:pt idx="492">
                  <c:v>2814.0099999999998</c:v>
                </c:pt>
                <c:pt idx="493">
                  <c:v>2796.0099999999998</c:v>
                </c:pt>
                <c:pt idx="494">
                  <c:v>2804.3099999999995</c:v>
                </c:pt>
                <c:pt idx="495">
                  <c:v>2819.93</c:v>
                </c:pt>
                <c:pt idx="496">
                  <c:v>2834.6699999999996</c:v>
                </c:pt>
                <c:pt idx="497">
                  <c:v>2850.6699999999996</c:v>
                </c:pt>
                <c:pt idx="498">
                  <c:v>2828.6699999999996</c:v>
                </c:pt>
                <c:pt idx="499">
                  <c:v>2856.79</c:v>
                </c:pt>
                <c:pt idx="500">
                  <c:v>2881.87</c:v>
                </c:pt>
                <c:pt idx="501">
                  <c:v>2861.87</c:v>
                </c:pt>
                <c:pt idx="502">
                  <c:v>2831.87</c:v>
                </c:pt>
                <c:pt idx="503">
                  <c:v>2855.87</c:v>
                </c:pt>
                <c:pt idx="504">
                  <c:v>0</c:v>
                </c:pt>
                <c:pt idx="505">
                  <c:v>0</c:v>
                </c:pt>
                <c:pt idx="506">
                  <c:v>2810.87</c:v>
                </c:pt>
                <c:pt idx="507">
                  <c:v>2802.87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C-4D30-B8A5-7918E0B00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85433"/>
        <c:axId val="52166471"/>
      </c:areaChart>
      <c:catAx>
        <c:axId val="2718543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166471"/>
        <c:crosses val="autoZero"/>
        <c:auto val="1"/>
        <c:lblAlgn val="ctr"/>
        <c:lblOffset val="100"/>
        <c:noMultiLvlLbl val="0"/>
      </c:catAx>
      <c:valAx>
        <c:axId val="521664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minorGridlines/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18543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Drawdown — Picos y Valles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1"/>
        <c:ser>
          <c:idx val="0"/>
          <c:order val="0"/>
          <c:spPr>
            <a:solidFill>
              <a:srgbClr val="FFB3B3"/>
            </a:solidFill>
            <a:ln w="18000">
              <a:solidFill>
                <a:srgbClr val="FF0000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Registro!$O$5:$O$604</c:f>
              <c:strCache>
                <c:ptCount val="5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</c:strCache>
            </c:strRef>
          </c:cat>
          <c:val>
            <c:numRef>
              <c:f>Registro!$Q$5:$Q$604</c:f>
              <c:numCache>
                <c:formatCode>\+#,##0.00;\-#,##0.00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-20</c:v>
                </c:pt>
                <c:pt idx="3">
                  <c:v>-8.4000000000000909</c:v>
                </c:pt>
                <c:pt idx="4">
                  <c:v>0</c:v>
                </c:pt>
                <c:pt idx="5">
                  <c:v>-15</c:v>
                </c:pt>
                <c:pt idx="6">
                  <c:v>-30</c:v>
                </c:pt>
                <c:pt idx="7">
                  <c:v>-50</c:v>
                </c:pt>
                <c:pt idx="8">
                  <c:v>-50</c:v>
                </c:pt>
                <c:pt idx="9">
                  <c:v>-50</c:v>
                </c:pt>
                <c:pt idx="10">
                  <c:v>-37.099999999999909</c:v>
                </c:pt>
                <c:pt idx="11">
                  <c:v>-19.599999999999909</c:v>
                </c:pt>
                <c:pt idx="12">
                  <c:v>-7.5999999999999091</c:v>
                </c:pt>
                <c:pt idx="13">
                  <c:v>-27.599999999999909</c:v>
                </c:pt>
                <c:pt idx="14">
                  <c:v>-16.5</c:v>
                </c:pt>
                <c:pt idx="15">
                  <c:v>0</c:v>
                </c:pt>
                <c:pt idx="16">
                  <c:v>-15</c:v>
                </c:pt>
                <c:pt idx="17">
                  <c:v>-30</c:v>
                </c:pt>
                <c:pt idx="18">
                  <c:v>-45</c:v>
                </c:pt>
                <c:pt idx="19">
                  <c:v>-27</c:v>
                </c:pt>
                <c:pt idx="20">
                  <c:v>-19</c:v>
                </c:pt>
                <c:pt idx="21">
                  <c:v>-4</c:v>
                </c:pt>
                <c:pt idx="22">
                  <c:v>-24</c:v>
                </c:pt>
                <c:pt idx="23">
                  <c:v>-24</c:v>
                </c:pt>
                <c:pt idx="24">
                  <c:v>-2.5</c:v>
                </c:pt>
                <c:pt idx="25">
                  <c:v>0</c:v>
                </c:pt>
                <c:pt idx="26">
                  <c:v>-15.000000000000227</c:v>
                </c:pt>
                <c:pt idx="27">
                  <c:v>-30.000000000000227</c:v>
                </c:pt>
                <c:pt idx="28">
                  <c:v>-16.500000000000227</c:v>
                </c:pt>
                <c:pt idx="29">
                  <c:v>-31.500000000000227</c:v>
                </c:pt>
                <c:pt idx="30">
                  <c:v>-24.000000000000227</c:v>
                </c:pt>
                <c:pt idx="31">
                  <c:v>-44.000000000000227</c:v>
                </c:pt>
                <c:pt idx="32">
                  <c:v>-32.000000000000227</c:v>
                </c:pt>
                <c:pt idx="33">
                  <c:v>-57.000000000000227</c:v>
                </c:pt>
                <c:pt idx="34">
                  <c:v>-44.200000000000273</c:v>
                </c:pt>
                <c:pt idx="35">
                  <c:v>-64.200000000000273</c:v>
                </c:pt>
                <c:pt idx="36">
                  <c:v>-79.200000000000273</c:v>
                </c:pt>
                <c:pt idx="37">
                  <c:v>-60.450000000000273</c:v>
                </c:pt>
                <c:pt idx="38">
                  <c:v>-45.850000000000136</c:v>
                </c:pt>
                <c:pt idx="39">
                  <c:v>-29.800000000000182</c:v>
                </c:pt>
                <c:pt idx="40">
                  <c:v>-49.800000000000182</c:v>
                </c:pt>
                <c:pt idx="41">
                  <c:v>-33.600000000000136</c:v>
                </c:pt>
                <c:pt idx="42">
                  <c:v>-53.600000000000136</c:v>
                </c:pt>
                <c:pt idx="43">
                  <c:v>-42.200000000000273</c:v>
                </c:pt>
                <c:pt idx="44">
                  <c:v>-57.200000000000273</c:v>
                </c:pt>
                <c:pt idx="45">
                  <c:v>-45.200000000000273</c:v>
                </c:pt>
                <c:pt idx="46">
                  <c:v>-33.600000000000136</c:v>
                </c:pt>
                <c:pt idx="47">
                  <c:v>-48.600000000000136</c:v>
                </c:pt>
                <c:pt idx="48">
                  <c:v>-39.600000000000136</c:v>
                </c:pt>
                <c:pt idx="49">
                  <c:v>-26.550000000000182</c:v>
                </c:pt>
                <c:pt idx="50">
                  <c:v>-13.800000000000182</c:v>
                </c:pt>
                <c:pt idx="51">
                  <c:v>-7.8000000000001819</c:v>
                </c:pt>
                <c:pt idx="52">
                  <c:v>0</c:v>
                </c:pt>
                <c:pt idx="53">
                  <c:v>-15</c:v>
                </c:pt>
                <c:pt idx="54">
                  <c:v>-35</c:v>
                </c:pt>
                <c:pt idx="55">
                  <c:v>-15.5</c:v>
                </c:pt>
                <c:pt idx="56">
                  <c:v>-0.5</c:v>
                </c:pt>
                <c:pt idx="57">
                  <c:v>0</c:v>
                </c:pt>
                <c:pt idx="58">
                  <c:v>-10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-15</c:v>
                </c:pt>
                <c:pt idx="66">
                  <c:v>-6.75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-34</c:v>
                </c:pt>
                <c:pt idx="79">
                  <c:v>-14.960000000000036</c:v>
                </c:pt>
                <c:pt idx="80">
                  <c:v>0</c:v>
                </c:pt>
                <c:pt idx="81">
                  <c:v>0</c:v>
                </c:pt>
                <c:pt idx="82">
                  <c:v>-17</c:v>
                </c:pt>
                <c:pt idx="83">
                  <c:v>-45</c:v>
                </c:pt>
                <c:pt idx="84">
                  <c:v>-68</c:v>
                </c:pt>
                <c:pt idx="85">
                  <c:v>-54.400000000000091</c:v>
                </c:pt>
                <c:pt idx="86">
                  <c:v>-40.119999999999891</c:v>
                </c:pt>
                <c:pt idx="87">
                  <c:v>-28.920000000000073</c:v>
                </c:pt>
                <c:pt idx="88">
                  <c:v>-11.070000000000164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-17</c:v>
                </c:pt>
                <c:pt idx="95">
                  <c:v>-34</c:v>
                </c:pt>
                <c:pt idx="96">
                  <c:v>-18.190000000000055</c:v>
                </c:pt>
                <c:pt idx="97">
                  <c:v>-35.190000000000055</c:v>
                </c:pt>
                <c:pt idx="98">
                  <c:v>-63.190000000000055</c:v>
                </c:pt>
                <c:pt idx="99">
                  <c:v>-80.190000000000055</c:v>
                </c:pt>
                <c:pt idx="100">
                  <c:v>-75.710000000000036</c:v>
                </c:pt>
                <c:pt idx="101">
                  <c:v>-60.409999999999854</c:v>
                </c:pt>
                <c:pt idx="102">
                  <c:v>-83.409999999999854</c:v>
                </c:pt>
                <c:pt idx="103">
                  <c:v>-68.789999999999964</c:v>
                </c:pt>
                <c:pt idx="104">
                  <c:v>-96.789999999999964</c:v>
                </c:pt>
                <c:pt idx="105">
                  <c:v>-74.389999999999873</c:v>
                </c:pt>
                <c:pt idx="106">
                  <c:v>-56.909999999999854</c:v>
                </c:pt>
                <c:pt idx="107">
                  <c:v>-38.720000000000255</c:v>
                </c:pt>
                <c:pt idx="108">
                  <c:v>-55.720000000000255</c:v>
                </c:pt>
                <c:pt idx="109">
                  <c:v>-40.220000000000255</c:v>
                </c:pt>
                <c:pt idx="110">
                  <c:v>-30.019999999999982</c:v>
                </c:pt>
                <c:pt idx="111">
                  <c:v>-20.420000000000073</c:v>
                </c:pt>
                <c:pt idx="112">
                  <c:v>-5.9700000000002547</c:v>
                </c:pt>
                <c:pt idx="113">
                  <c:v>0</c:v>
                </c:pt>
                <c:pt idx="114">
                  <c:v>0</c:v>
                </c:pt>
                <c:pt idx="115">
                  <c:v>-23</c:v>
                </c:pt>
                <c:pt idx="116">
                  <c:v>-40</c:v>
                </c:pt>
                <c:pt idx="117">
                  <c:v>-62</c:v>
                </c:pt>
                <c:pt idx="118">
                  <c:v>-51.879999999999654</c:v>
                </c:pt>
                <c:pt idx="119">
                  <c:v>-40.379999999999654</c:v>
                </c:pt>
                <c:pt idx="120">
                  <c:v>-26.579999999999927</c:v>
                </c:pt>
                <c:pt idx="121">
                  <c:v>-10.940000000000055</c:v>
                </c:pt>
                <c:pt idx="122">
                  <c:v>-10.940000000000055</c:v>
                </c:pt>
                <c:pt idx="123">
                  <c:v>0</c:v>
                </c:pt>
                <c:pt idx="124">
                  <c:v>-21</c:v>
                </c:pt>
                <c:pt idx="125">
                  <c:v>-9.7300000000000182</c:v>
                </c:pt>
                <c:pt idx="126">
                  <c:v>0</c:v>
                </c:pt>
                <c:pt idx="127">
                  <c:v>-28</c:v>
                </c:pt>
                <c:pt idx="128">
                  <c:v>-14.659999999999854</c:v>
                </c:pt>
                <c:pt idx="129">
                  <c:v>-8.8800000000001091</c:v>
                </c:pt>
                <c:pt idx="130">
                  <c:v>0</c:v>
                </c:pt>
                <c:pt idx="131">
                  <c:v>-17</c:v>
                </c:pt>
                <c:pt idx="132">
                  <c:v>-2.8900000000003274</c:v>
                </c:pt>
                <c:pt idx="133">
                  <c:v>-19.890000000000327</c:v>
                </c:pt>
                <c:pt idx="134">
                  <c:v>-43.890000000000327</c:v>
                </c:pt>
                <c:pt idx="135">
                  <c:v>-29.25</c:v>
                </c:pt>
                <c:pt idx="136">
                  <c:v>-47.25</c:v>
                </c:pt>
                <c:pt idx="137">
                  <c:v>-26.550000000000182</c:v>
                </c:pt>
                <c:pt idx="138">
                  <c:v>-44.550000000000182</c:v>
                </c:pt>
                <c:pt idx="139">
                  <c:v>-68.550000000000182</c:v>
                </c:pt>
                <c:pt idx="140">
                  <c:v>-52.710000000000036</c:v>
                </c:pt>
                <c:pt idx="141">
                  <c:v>-31.110000000000127</c:v>
                </c:pt>
                <c:pt idx="142">
                  <c:v>-43.110000000000127</c:v>
                </c:pt>
                <c:pt idx="143">
                  <c:v>-67.110000000000127</c:v>
                </c:pt>
                <c:pt idx="144">
                  <c:v>-79.110000000000127</c:v>
                </c:pt>
                <c:pt idx="145">
                  <c:v>-91.110000000000127</c:v>
                </c:pt>
                <c:pt idx="146">
                  <c:v>-76.710000000000036</c:v>
                </c:pt>
                <c:pt idx="147">
                  <c:v>-49.110000000000127</c:v>
                </c:pt>
                <c:pt idx="148">
                  <c:v>-59.110000000000127</c:v>
                </c:pt>
                <c:pt idx="149">
                  <c:v>-34.910000000000309</c:v>
                </c:pt>
                <c:pt idx="150">
                  <c:v>-20.650000000000091</c:v>
                </c:pt>
                <c:pt idx="151">
                  <c:v>-5.25</c:v>
                </c:pt>
                <c:pt idx="152">
                  <c:v>-28.25</c:v>
                </c:pt>
                <c:pt idx="153">
                  <c:v>-12.150000000000091</c:v>
                </c:pt>
                <c:pt idx="154">
                  <c:v>-35.150000000000091</c:v>
                </c:pt>
                <c:pt idx="155">
                  <c:v>-71.150000000000091</c:v>
                </c:pt>
                <c:pt idx="156">
                  <c:v>-83.150000000000091</c:v>
                </c:pt>
                <c:pt idx="157">
                  <c:v>-101.15000000000009</c:v>
                </c:pt>
                <c:pt idx="158">
                  <c:v>-84.950000000000273</c:v>
                </c:pt>
                <c:pt idx="159">
                  <c:v>-68.960000000000036</c:v>
                </c:pt>
                <c:pt idx="160">
                  <c:v>-44.760000000000218</c:v>
                </c:pt>
                <c:pt idx="161">
                  <c:v>-67.760000000000218</c:v>
                </c:pt>
                <c:pt idx="162">
                  <c:v>-89.760000000000218</c:v>
                </c:pt>
                <c:pt idx="163">
                  <c:v>-80.079999999999927</c:v>
                </c:pt>
                <c:pt idx="164">
                  <c:v>-102.07999999999993</c:v>
                </c:pt>
                <c:pt idx="165">
                  <c:v>-87.680000000000291</c:v>
                </c:pt>
                <c:pt idx="166">
                  <c:v>-71.690000000000055</c:v>
                </c:pt>
                <c:pt idx="167">
                  <c:v>-93.690000000000055</c:v>
                </c:pt>
                <c:pt idx="168">
                  <c:v>-84.890000000000327</c:v>
                </c:pt>
                <c:pt idx="169">
                  <c:v>-95.890000000000327</c:v>
                </c:pt>
                <c:pt idx="170">
                  <c:v>-75.190000000000055</c:v>
                </c:pt>
                <c:pt idx="171">
                  <c:v>-97.190000000000055</c:v>
                </c:pt>
                <c:pt idx="172">
                  <c:v>-86.190000000000055</c:v>
                </c:pt>
                <c:pt idx="173">
                  <c:v>-64.950000000000273</c:v>
                </c:pt>
                <c:pt idx="174">
                  <c:v>-82.950000000000273</c:v>
                </c:pt>
                <c:pt idx="175">
                  <c:v>-73.180000000000291</c:v>
                </c:pt>
                <c:pt idx="176">
                  <c:v>-57.120000000000346</c:v>
                </c:pt>
                <c:pt idx="177">
                  <c:v>-46.120000000000346</c:v>
                </c:pt>
                <c:pt idx="178">
                  <c:v>-29.380000000000109</c:v>
                </c:pt>
                <c:pt idx="179">
                  <c:v>-51.380000000000109</c:v>
                </c:pt>
                <c:pt idx="180">
                  <c:v>-69.380000000000109</c:v>
                </c:pt>
                <c:pt idx="181">
                  <c:v>-55.960000000000036</c:v>
                </c:pt>
                <c:pt idx="182">
                  <c:v>-44.300000000000182</c:v>
                </c:pt>
                <c:pt idx="183">
                  <c:v>-66.300000000000182</c:v>
                </c:pt>
                <c:pt idx="184">
                  <c:v>-56.619999999999891</c:v>
                </c:pt>
                <c:pt idx="185">
                  <c:v>-74.619999999999891</c:v>
                </c:pt>
                <c:pt idx="186">
                  <c:v>-96.619999999999891</c:v>
                </c:pt>
                <c:pt idx="187">
                  <c:v>-118.61999999999989</c:v>
                </c:pt>
                <c:pt idx="188">
                  <c:v>-140.61999999999989</c:v>
                </c:pt>
                <c:pt idx="189">
                  <c:v>-158.61999999999989</c:v>
                </c:pt>
                <c:pt idx="190">
                  <c:v>-138.82000000000016</c:v>
                </c:pt>
                <c:pt idx="191">
                  <c:v>-156.82000000000016</c:v>
                </c:pt>
                <c:pt idx="192">
                  <c:v>-144.72000000000025</c:v>
                </c:pt>
                <c:pt idx="193">
                  <c:v>-128.88000000000011</c:v>
                </c:pt>
                <c:pt idx="194">
                  <c:v>-109.98000000000002</c:v>
                </c:pt>
                <c:pt idx="195">
                  <c:v>-120.98000000000002</c:v>
                </c:pt>
                <c:pt idx="196">
                  <c:v>-105.68000000000029</c:v>
                </c:pt>
                <c:pt idx="197">
                  <c:v>-87.680000000000291</c:v>
                </c:pt>
                <c:pt idx="198">
                  <c:v>-76.900000000000091</c:v>
                </c:pt>
                <c:pt idx="199">
                  <c:v>-65.170000000000073</c:v>
                </c:pt>
                <c:pt idx="200">
                  <c:v>-83.170000000000073</c:v>
                </c:pt>
                <c:pt idx="201">
                  <c:v>-105.17000000000007</c:v>
                </c:pt>
                <c:pt idx="202">
                  <c:v>-89.329999999999927</c:v>
                </c:pt>
                <c:pt idx="203">
                  <c:v>-103.32999999999993</c:v>
                </c:pt>
                <c:pt idx="204">
                  <c:v>-85.289999999999964</c:v>
                </c:pt>
                <c:pt idx="205">
                  <c:v>-66.210000000000036</c:v>
                </c:pt>
                <c:pt idx="206">
                  <c:v>-84.210000000000036</c:v>
                </c:pt>
                <c:pt idx="207">
                  <c:v>-68.910000000000309</c:v>
                </c:pt>
                <c:pt idx="208">
                  <c:v>-90.910000000000309</c:v>
                </c:pt>
                <c:pt idx="209">
                  <c:v>-76.260000000000218</c:v>
                </c:pt>
                <c:pt idx="210">
                  <c:v>-88.260000000000218</c:v>
                </c:pt>
                <c:pt idx="211">
                  <c:v>-74.400000000000091</c:v>
                </c:pt>
                <c:pt idx="212">
                  <c:v>-84.400000000000091</c:v>
                </c:pt>
                <c:pt idx="213">
                  <c:v>-72.670000000000073</c:v>
                </c:pt>
                <c:pt idx="214">
                  <c:v>-93.670000000000073</c:v>
                </c:pt>
                <c:pt idx="215">
                  <c:v>-111.67000000000007</c:v>
                </c:pt>
                <c:pt idx="216">
                  <c:v>-100.26999999999998</c:v>
                </c:pt>
                <c:pt idx="217">
                  <c:v>-83.350000000000364</c:v>
                </c:pt>
                <c:pt idx="218">
                  <c:v>-70.150000000000091</c:v>
                </c:pt>
                <c:pt idx="219">
                  <c:v>-55.630000000000109</c:v>
                </c:pt>
                <c:pt idx="220">
                  <c:v>-39.950000000000273</c:v>
                </c:pt>
                <c:pt idx="221">
                  <c:v>-24.350000000000364</c:v>
                </c:pt>
                <c:pt idx="222">
                  <c:v>-42.350000000000364</c:v>
                </c:pt>
                <c:pt idx="223">
                  <c:v>-64.350000000000364</c:v>
                </c:pt>
                <c:pt idx="224">
                  <c:v>-49.789999999999964</c:v>
                </c:pt>
                <c:pt idx="225">
                  <c:v>-31.789999999999964</c:v>
                </c:pt>
                <c:pt idx="226">
                  <c:v>-45.789999999999964</c:v>
                </c:pt>
                <c:pt idx="227">
                  <c:v>-67.789999999999964</c:v>
                </c:pt>
                <c:pt idx="228">
                  <c:v>-85.789999999999964</c:v>
                </c:pt>
                <c:pt idx="229">
                  <c:v>-75.230000000000018</c:v>
                </c:pt>
                <c:pt idx="230">
                  <c:v>-97.230000000000018</c:v>
                </c:pt>
                <c:pt idx="231">
                  <c:v>-88.720000000000255</c:v>
                </c:pt>
                <c:pt idx="232">
                  <c:v>-71.980000000000018</c:v>
                </c:pt>
                <c:pt idx="233">
                  <c:v>-63.610000000000127</c:v>
                </c:pt>
                <c:pt idx="234">
                  <c:v>-49.5300000000002</c:v>
                </c:pt>
                <c:pt idx="235">
                  <c:v>-36.420000000000073</c:v>
                </c:pt>
                <c:pt idx="236">
                  <c:v>-53.420000000000073</c:v>
                </c:pt>
                <c:pt idx="237">
                  <c:v>-76.420000000000073</c:v>
                </c:pt>
                <c:pt idx="238">
                  <c:v>-99.420000000000073</c:v>
                </c:pt>
                <c:pt idx="239">
                  <c:v>-99.420000000000073</c:v>
                </c:pt>
                <c:pt idx="240">
                  <c:v>-122.42000000000007</c:v>
                </c:pt>
                <c:pt idx="241">
                  <c:v>-145.42000000000007</c:v>
                </c:pt>
                <c:pt idx="242">
                  <c:v>-131.01999999999998</c:v>
                </c:pt>
                <c:pt idx="243">
                  <c:v>-143.01999999999998</c:v>
                </c:pt>
                <c:pt idx="244">
                  <c:v>-128.07000000000016</c:v>
                </c:pt>
                <c:pt idx="245">
                  <c:v>-118.97000000000025</c:v>
                </c:pt>
                <c:pt idx="246">
                  <c:v>-99.769999999999982</c:v>
                </c:pt>
                <c:pt idx="247">
                  <c:v>-81.829999999999927</c:v>
                </c:pt>
                <c:pt idx="248">
                  <c:v>-63.269999999999982</c:v>
                </c:pt>
                <c:pt idx="249">
                  <c:v>-86.269999999999982</c:v>
                </c:pt>
                <c:pt idx="250">
                  <c:v>-109.26999999999998</c:v>
                </c:pt>
                <c:pt idx="251">
                  <c:v>-95.160000000000309</c:v>
                </c:pt>
                <c:pt idx="252">
                  <c:v>-75.7800000000002</c:v>
                </c:pt>
                <c:pt idx="253">
                  <c:v>-92.7800000000002</c:v>
                </c:pt>
                <c:pt idx="254">
                  <c:v>-77.140000000000327</c:v>
                </c:pt>
                <c:pt idx="255">
                  <c:v>-62.420000000000073</c:v>
                </c:pt>
                <c:pt idx="256">
                  <c:v>-44.730000000000018</c:v>
                </c:pt>
                <c:pt idx="257">
                  <c:v>-67.730000000000018</c:v>
                </c:pt>
                <c:pt idx="258">
                  <c:v>-45.190000000000055</c:v>
                </c:pt>
                <c:pt idx="259">
                  <c:v>-62.190000000000055</c:v>
                </c:pt>
                <c:pt idx="260">
                  <c:v>-79.190000000000055</c:v>
                </c:pt>
                <c:pt idx="261">
                  <c:v>-96.190000000000055</c:v>
                </c:pt>
                <c:pt idx="262">
                  <c:v>-81.470000000000255</c:v>
                </c:pt>
                <c:pt idx="263">
                  <c:v>-69.210000000000036</c:v>
                </c:pt>
                <c:pt idx="264">
                  <c:v>-86.210000000000036</c:v>
                </c:pt>
                <c:pt idx="265">
                  <c:v>-70.460000000000036</c:v>
                </c:pt>
                <c:pt idx="266">
                  <c:v>-70.460000000000036</c:v>
                </c:pt>
                <c:pt idx="267">
                  <c:v>-87.460000000000036</c:v>
                </c:pt>
                <c:pt idx="268">
                  <c:v>-70.119999999999891</c:v>
                </c:pt>
                <c:pt idx="269">
                  <c:v>-105.11999999999989</c:v>
                </c:pt>
                <c:pt idx="270">
                  <c:v>-85.340000000000146</c:v>
                </c:pt>
                <c:pt idx="271">
                  <c:v>-74.070000000000164</c:v>
                </c:pt>
                <c:pt idx="272">
                  <c:v>-57.070000000000164</c:v>
                </c:pt>
                <c:pt idx="273">
                  <c:v>-74.070000000000164</c:v>
                </c:pt>
                <c:pt idx="274">
                  <c:v>-97.070000000000164</c:v>
                </c:pt>
                <c:pt idx="275">
                  <c:v>-80.070000000000164</c:v>
                </c:pt>
                <c:pt idx="276">
                  <c:v>-64.75</c:v>
                </c:pt>
                <c:pt idx="277">
                  <c:v>-54.630000000000109</c:v>
                </c:pt>
                <c:pt idx="278">
                  <c:v>-72.630000000000109</c:v>
                </c:pt>
                <c:pt idx="279">
                  <c:v>-89.630000000000109</c:v>
                </c:pt>
                <c:pt idx="280">
                  <c:v>-68.470000000000255</c:v>
                </c:pt>
                <c:pt idx="281">
                  <c:v>-85.470000000000255</c:v>
                </c:pt>
                <c:pt idx="282">
                  <c:v>-102.47000000000025</c:v>
                </c:pt>
                <c:pt idx="283">
                  <c:v>-88.019999999999982</c:v>
                </c:pt>
                <c:pt idx="284">
                  <c:v>-73.990000000000236</c:v>
                </c:pt>
                <c:pt idx="285">
                  <c:v>-57.430000000000291</c:v>
                </c:pt>
                <c:pt idx="286">
                  <c:v>-42.940000000000055</c:v>
                </c:pt>
                <c:pt idx="287">
                  <c:v>-24.940000000000055</c:v>
                </c:pt>
                <c:pt idx="288">
                  <c:v>-41.940000000000055</c:v>
                </c:pt>
                <c:pt idx="289">
                  <c:v>-24.180000000000291</c:v>
                </c:pt>
                <c:pt idx="290">
                  <c:v>-5.5799999999999272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-18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-14</c:v>
                </c:pt>
                <c:pt idx="313">
                  <c:v>0</c:v>
                </c:pt>
                <c:pt idx="314">
                  <c:v>-18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-13</c:v>
                </c:pt>
                <c:pt idx="319">
                  <c:v>0</c:v>
                </c:pt>
                <c:pt idx="320">
                  <c:v>-23</c:v>
                </c:pt>
                <c:pt idx="321">
                  <c:v>-3.0199999999999818</c:v>
                </c:pt>
                <c:pt idx="322">
                  <c:v>-23.019999999999982</c:v>
                </c:pt>
                <c:pt idx="323">
                  <c:v>-46.019999999999982</c:v>
                </c:pt>
                <c:pt idx="324">
                  <c:v>-23.019999999999982</c:v>
                </c:pt>
                <c:pt idx="325">
                  <c:v>-7.9400000000000546</c:v>
                </c:pt>
                <c:pt idx="326">
                  <c:v>0</c:v>
                </c:pt>
                <c:pt idx="327">
                  <c:v>0</c:v>
                </c:pt>
                <c:pt idx="328">
                  <c:v>-20</c:v>
                </c:pt>
                <c:pt idx="329">
                  <c:v>-47</c:v>
                </c:pt>
                <c:pt idx="330">
                  <c:v>-47</c:v>
                </c:pt>
                <c:pt idx="331">
                  <c:v>-67</c:v>
                </c:pt>
                <c:pt idx="332">
                  <c:v>-80</c:v>
                </c:pt>
                <c:pt idx="333">
                  <c:v>-63.260000000000218</c:v>
                </c:pt>
                <c:pt idx="334">
                  <c:v>-76.260000000000218</c:v>
                </c:pt>
                <c:pt idx="335">
                  <c:v>-56.279999999999745</c:v>
                </c:pt>
                <c:pt idx="336">
                  <c:v>-76.279999999999745</c:v>
                </c:pt>
                <c:pt idx="337">
                  <c:v>-103.27999999999975</c:v>
                </c:pt>
                <c:pt idx="338">
                  <c:v>-90.590000000000146</c:v>
                </c:pt>
                <c:pt idx="339">
                  <c:v>-90.590000000000146</c:v>
                </c:pt>
                <c:pt idx="340">
                  <c:v>-90.590000000000146</c:v>
                </c:pt>
                <c:pt idx="341">
                  <c:v>-117.59000000000015</c:v>
                </c:pt>
                <c:pt idx="342">
                  <c:v>-101.98999999999978</c:v>
                </c:pt>
                <c:pt idx="343">
                  <c:v>-89.809999999999945</c:v>
                </c:pt>
                <c:pt idx="344">
                  <c:v>-70.409999999999854</c:v>
                </c:pt>
                <c:pt idx="345">
                  <c:v>-70.409999999999854</c:v>
                </c:pt>
                <c:pt idx="346">
                  <c:v>-58.529999999999745</c:v>
                </c:pt>
                <c:pt idx="347">
                  <c:v>-78.529999999999745</c:v>
                </c:pt>
                <c:pt idx="348">
                  <c:v>-59.329999999999927</c:v>
                </c:pt>
                <c:pt idx="349">
                  <c:v>-73.329999999999927</c:v>
                </c:pt>
                <c:pt idx="350">
                  <c:v>-59.090000000000146</c:v>
                </c:pt>
                <c:pt idx="351">
                  <c:v>-43.690000000000055</c:v>
                </c:pt>
                <c:pt idx="352">
                  <c:v>-63.690000000000055</c:v>
                </c:pt>
                <c:pt idx="353">
                  <c:v>-46.889999999999873</c:v>
                </c:pt>
                <c:pt idx="354">
                  <c:v>-31.529999999999745</c:v>
                </c:pt>
                <c:pt idx="355">
                  <c:v>-12.090000000000146</c:v>
                </c:pt>
                <c:pt idx="356">
                  <c:v>-32.090000000000146</c:v>
                </c:pt>
                <c:pt idx="357">
                  <c:v>-22.230000000000018</c:v>
                </c:pt>
                <c:pt idx="358">
                  <c:v>-49.230000000000018</c:v>
                </c:pt>
                <c:pt idx="359">
                  <c:v>-69.230000000000018</c:v>
                </c:pt>
                <c:pt idx="360">
                  <c:v>-92.230000000000018</c:v>
                </c:pt>
                <c:pt idx="361">
                  <c:v>-74.829999999999927</c:v>
                </c:pt>
                <c:pt idx="362">
                  <c:v>-101.82999999999993</c:v>
                </c:pt>
                <c:pt idx="363">
                  <c:v>-115.82999999999993</c:v>
                </c:pt>
                <c:pt idx="364">
                  <c:v>-135.82999999999993</c:v>
                </c:pt>
                <c:pt idx="365">
                  <c:v>-114.23000000000002</c:v>
                </c:pt>
                <c:pt idx="366">
                  <c:v>-98.649999999999636</c:v>
                </c:pt>
                <c:pt idx="367">
                  <c:v>-81.989999999999782</c:v>
                </c:pt>
                <c:pt idx="368">
                  <c:v>-74.989999999999782</c:v>
                </c:pt>
                <c:pt idx="369">
                  <c:v>-65.389999999999873</c:v>
                </c:pt>
                <c:pt idx="370">
                  <c:v>-50.399999999999636</c:v>
                </c:pt>
                <c:pt idx="371">
                  <c:v>-95.399999999999636</c:v>
                </c:pt>
                <c:pt idx="372">
                  <c:v>-83</c:v>
                </c:pt>
                <c:pt idx="373">
                  <c:v>-110</c:v>
                </c:pt>
                <c:pt idx="374">
                  <c:v>-130</c:v>
                </c:pt>
                <c:pt idx="375">
                  <c:v>-114.34000000000015</c:v>
                </c:pt>
                <c:pt idx="376">
                  <c:v>-94.340000000000146</c:v>
                </c:pt>
                <c:pt idx="377">
                  <c:v>-76.789999999999964</c:v>
                </c:pt>
                <c:pt idx="378">
                  <c:v>-57.889999999999873</c:v>
                </c:pt>
                <c:pt idx="379">
                  <c:v>-38.989999999999782</c:v>
                </c:pt>
                <c:pt idx="380">
                  <c:v>-25.489999999999782</c:v>
                </c:pt>
                <c:pt idx="381">
                  <c:v>-9.0199999999999818</c:v>
                </c:pt>
                <c:pt idx="382">
                  <c:v>-29.019999999999982</c:v>
                </c:pt>
                <c:pt idx="383">
                  <c:v>-56.019999999999982</c:v>
                </c:pt>
                <c:pt idx="384">
                  <c:v>-56.019999999999982</c:v>
                </c:pt>
                <c:pt idx="385">
                  <c:v>-41.220000000000255</c:v>
                </c:pt>
                <c:pt idx="386">
                  <c:v>-29.610000000000127</c:v>
                </c:pt>
                <c:pt idx="387">
                  <c:v>-13.409999999999854</c:v>
                </c:pt>
                <c:pt idx="388">
                  <c:v>-40.409999999999854</c:v>
                </c:pt>
                <c:pt idx="389">
                  <c:v>-67.409999999999854</c:v>
                </c:pt>
                <c:pt idx="390">
                  <c:v>-67.409999999999854</c:v>
                </c:pt>
                <c:pt idx="391">
                  <c:v>-53.909999999999854</c:v>
                </c:pt>
                <c:pt idx="392">
                  <c:v>-35.510000000000218</c:v>
                </c:pt>
                <c:pt idx="393">
                  <c:v>-14.989999999999782</c:v>
                </c:pt>
                <c:pt idx="394">
                  <c:v>0</c:v>
                </c:pt>
                <c:pt idx="395">
                  <c:v>0</c:v>
                </c:pt>
                <c:pt idx="396">
                  <c:v>-27</c:v>
                </c:pt>
                <c:pt idx="397">
                  <c:v>-12</c:v>
                </c:pt>
                <c:pt idx="398">
                  <c:v>0</c:v>
                </c:pt>
                <c:pt idx="399">
                  <c:v>-14</c:v>
                </c:pt>
                <c:pt idx="400">
                  <c:v>-41</c:v>
                </c:pt>
                <c:pt idx="401">
                  <c:v>-26.960000000000036</c:v>
                </c:pt>
                <c:pt idx="402">
                  <c:v>-14.540000000000418</c:v>
                </c:pt>
                <c:pt idx="403">
                  <c:v>-0.36000000000012733</c:v>
                </c:pt>
                <c:pt idx="404">
                  <c:v>-20.360000000000127</c:v>
                </c:pt>
                <c:pt idx="405">
                  <c:v>-7.1300000000001091</c:v>
                </c:pt>
                <c:pt idx="406">
                  <c:v>0</c:v>
                </c:pt>
                <c:pt idx="407">
                  <c:v>-27</c:v>
                </c:pt>
                <c:pt idx="408">
                  <c:v>-54</c:v>
                </c:pt>
                <c:pt idx="409">
                  <c:v>-74</c:v>
                </c:pt>
                <c:pt idx="410">
                  <c:v>-59.420000000000073</c:v>
                </c:pt>
                <c:pt idx="411">
                  <c:v>-45.920000000000073</c:v>
                </c:pt>
                <c:pt idx="412">
                  <c:v>-28.099999999999909</c:v>
                </c:pt>
                <c:pt idx="413">
                  <c:v>-55.099999999999909</c:v>
                </c:pt>
                <c:pt idx="414">
                  <c:v>-82.099999999999909</c:v>
                </c:pt>
                <c:pt idx="415">
                  <c:v>-64.279999999999745</c:v>
                </c:pt>
                <c:pt idx="416">
                  <c:v>-43.759999999999764</c:v>
                </c:pt>
                <c:pt idx="417">
                  <c:v>-22</c:v>
                </c:pt>
                <c:pt idx="418">
                  <c:v>-42</c:v>
                </c:pt>
                <c:pt idx="419">
                  <c:v>-16.839999999999691</c:v>
                </c:pt>
                <c:pt idx="420">
                  <c:v>-30.839999999999691</c:v>
                </c:pt>
                <c:pt idx="421">
                  <c:v>-13.829999999999927</c:v>
                </c:pt>
                <c:pt idx="422">
                  <c:v>-40.829999999999927</c:v>
                </c:pt>
                <c:pt idx="423">
                  <c:v>-30.029999999999745</c:v>
                </c:pt>
                <c:pt idx="424">
                  <c:v>-57.029999999999745</c:v>
                </c:pt>
                <c:pt idx="425">
                  <c:v>-77.029999999999745</c:v>
                </c:pt>
                <c:pt idx="426">
                  <c:v>-62.7199999999998</c:v>
                </c:pt>
                <c:pt idx="427">
                  <c:v>-43</c:v>
                </c:pt>
                <c:pt idx="428">
                  <c:v>-26.799999999999727</c:v>
                </c:pt>
                <c:pt idx="429">
                  <c:v>-6.3999999999996362</c:v>
                </c:pt>
                <c:pt idx="430">
                  <c:v>-33.399999999999636</c:v>
                </c:pt>
                <c:pt idx="431">
                  <c:v>-33.399999999999636</c:v>
                </c:pt>
                <c:pt idx="432">
                  <c:v>-17.199999999999818</c:v>
                </c:pt>
                <c:pt idx="433">
                  <c:v>-1.8099999999999454</c:v>
                </c:pt>
                <c:pt idx="434">
                  <c:v>-28.809999999999945</c:v>
                </c:pt>
                <c:pt idx="435">
                  <c:v>-12.809999999999945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-27</c:v>
                </c:pt>
                <c:pt idx="440">
                  <c:v>-54</c:v>
                </c:pt>
                <c:pt idx="441">
                  <c:v>-36.900000000000091</c:v>
                </c:pt>
                <c:pt idx="442">
                  <c:v>-63.900000000000091</c:v>
                </c:pt>
                <c:pt idx="443">
                  <c:v>-50.400000000000091</c:v>
                </c:pt>
                <c:pt idx="444">
                  <c:v>-77.400000000000091</c:v>
                </c:pt>
                <c:pt idx="445">
                  <c:v>-61.199999999999818</c:v>
                </c:pt>
                <c:pt idx="446">
                  <c:v>-43.199999999999818</c:v>
                </c:pt>
                <c:pt idx="447">
                  <c:v>-28.889999999999873</c:v>
                </c:pt>
                <c:pt idx="448">
                  <c:v>-48.889999999999873</c:v>
                </c:pt>
                <c:pt idx="449">
                  <c:v>-68.889999999999873</c:v>
                </c:pt>
                <c:pt idx="450">
                  <c:v>-49.259999999999764</c:v>
                </c:pt>
                <c:pt idx="451">
                  <c:v>-28.5</c:v>
                </c:pt>
                <c:pt idx="452">
                  <c:v>-7.7399999999997817</c:v>
                </c:pt>
                <c:pt idx="453">
                  <c:v>-21.739999999999782</c:v>
                </c:pt>
                <c:pt idx="454">
                  <c:v>-41.739999999999782</c:v>
                </c:pt>
                <c:pt idx="455">
                  <c:v>-68.739999999999782</c:v>
                </c:pt>
                <c:pt idx="456">
                  <c:v>-50.559999999999945</c:v>
                </c:pt>
                <c:pt idx="457">
                  <c:v>-79.559999999999945</c:v>
                </c:pt>
                <c:pt idx="458">
                  <c:v>-70.110000000000127</c:v>
                </c:pt>
                <c:pt idx="459">
                  <c:v>-58.610000000000127</c:v>
                </c:pt>
                <c:pt idx="460">
                  <c:v>-36.759999999999764</c:v>
                </c:pt>
                <c:pt idx="461">
                  <c:v>-16.659999999999854</c:v>
                </c:pt>
                <c:pt idx="462">
                  <c:v>-46.659999999999854</c:v>
                </c:pt>
                <c:pt idx="463">
                  <c:v>-22.339999999999691</c:v>
                </c:pt>
                <c:pt idx="464">
                  <c:v>-1.4400000000000546</c:v>
                </c:pt>
                <c:pt idx="465">
                  <c:v>0</c:v>
                </c:pt>
                <c:pt idx="466">
                  <c:v>-23</c:v>
                </c:pt>
                <c:pt idx="467">
                  <c:v>-38</c:v>
                </c:pt>
                <c:pt idx="468">
                  <c:v>-16.190000000000055</c:v>
                </c:pt>
                <c:pt idx="469">
                  <c:v>-38.190000000000055</c:v>
                </c:pt>
                <c:pt idx="470">
                  <c:v>-68.190000000000055</c:v>
                </c:pt>
                <c:pt idx="471">
                  <c:v>-98.190000000000055</c:v>
                </c:pt>
                <c:pt idx="472">
                  <c:v>-81.449999999999818</c:v>
                </c:pt>
                <c:pt idx="473">
                  <c:v>-67.949999999999818</c:v>
                </c:pt>
                <c:pt idx="474">
                  <c:v>-97.949999999999818</c:v>
                </c:pt>
                <c:pt idx="475">
                  <c:v>-83.890000000000327</c:v>
                </c:pt>
                <c:pt idx="476">
                  <c:v>-79.210000000000036</c:v>
                </c:pt>
                <c:pt idx="477">
                  <c:v>-56.710000000000036</c:v>
                </c:pt>
                <c:pt idx="478">
                  <c:v>-34.510000000000218</c:v>
                </c:pt>
                <c:pt idx="479">
                  <c:v>-19.510000000000218</c:v>
                </c:pt>
                <c:pt idx="480">
                  <c:v>-49.510000000000218</c:v>
                </c:pt>
                <c:pt idx="481">
                  <c:v>-21.909999999999854</c:v>
                </c:pt>
                <c:pt idx="482">
                  <c:v>-21.909999999999854</c:v>
                </c:pt>
                <c:pt idx="483">
                  <c:v>-51.909999999999854</c:v>
                </c:pt>
                <c:pt idx="484">
                  <c:v>-81.909999999999854</c:v>
                </c:pt>
                <c:pt idx="485">
                  <c:v>-91.909999999999854</c:v>
                </c:pt>
                <c:pt idx="486">
                  <c:v>-75.920000000000073</c:v>
                </c:pt>
                <c:pt idx="487">
                  <c:v>-50.840000000000146</c:v>
                </c:pt>
                <c:pt idx="488">
                  <c:v>-70.840000000000146</c:v>
                </c:pt>
                <c:pt idx="489">
                  <c:v>-41.440000000000055</c:v>
                </c:pt>
                <c:pt idx="490">
                  <c:v>-63.440000000000055</c:v>
                </c:pt>
                <c:pt idx="491">
                  <c:v>-63.440000000000055</c:v>
                </c:pt>
                <c:pt idx="492">
                  <c:v>-80.440000000000055</c:v>
                </c:pt>
                <c:pt idx="493">
                  <c:v>-98.440000000000055</c:v>
                </c:pt>
                <c:pt idx="494">
                  <c:v>-90.140000000000327</c:v>
                </c:pt>
                <c:pt idx="495">
                  <c:v>-74.519999999999982</c:v>
                </c:pt>
                <c:pt idx="496">
                  <c:v>-59.7800000000002</c:v>
                </c:pt>
                <c:pt idx="497">
                  <c:v>-43.7800000000002</c:v>
                </c:pt>
                <c:pt idx="498">
                  <c:v>-65.7800000000002</c:v>
                </c:pt>
                <c:pt idx="499">
                  <c:v>-37.659999999999854</c:v>
                </c:pt>
                <c:pt idx="500">
                  <c:v>-12.579999999999927</c:v>
                </c:pt>
                <c:pt idx="501">
                  <c:v>-32.579999999999927</c:v>
                </c:pt>
                <c:pt idx="502">
                  <c:v>-62.579999999999927</c:v>
                </c:pt>
                <c:pt idx="503">
                  <c:v>-38.579999999999927</c:v>
                </c:pt>
                <c:pt idx="504">
                  <c:v>0</c:v>
                </c:pt>
                <c:pt idx="505">
                  <c:v>0</c:v>
                </c:pt>
                <c:pt idx="506">
                  <c:v>-83.579999999999927</c:v>
                </c:pt>
                <c:pt idx="507">
                  <c:v>-91.579999999999927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6-4C9B-A33D-BA5F6E5D7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91272"/>
        <c:axId val="17742308"/>
      </c:areaChart>
      <c:catAx>
        <c:axId val="86791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742308"/>
        <c:crosses val="autoZero"/>
        <c:auto val="1"/>
        <c:lblAlgn val="ctr"/>
        <c:lblOffset val="100"/>
        <c:noMultiLvlLbl val="0"/>
      </c:catAx>
      <c:valAx>
        <c:axId val="177423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+#,##0.00;\-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79127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EV+ Histórico Acumulado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800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Registro!$O$5:$O$604</c:f>
              <c:strCache>
                <c:ptCount val="5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</c:strCache>
            </c:strRef>
          </c:cat>
          <c:val>
            <c:numRef>
              <c:f>Registro!$T$5:$T$604</c:f>
              <c:numCache>
                <c:formatCode>#,##0.00</c:formatCode>
                <c:ptCount val="600"/>
                <c:pt idx="0">
                  <c:v>1.99</c:v>
                </c:pt>
                <c:pt idx="1">
                  <c:v>4.07</c:v>
                </c:pt>
                <c:pt idx="2">
                  <c:v>3.0700000000000003</c:v>
                </c:pt>
                <c:pt idx="3">
                  <c:v>2.3100000000000005</c:v>
                </c:pt>
                <c:pt idx="4">
                  <c:v>6.49</c:v>
                </c:pt>
                <c:pt idx="5">
                  <c:v>9.76</c:v>
                </c:pt>
                <c:pt idx="6">
                  <c:v>12.12</c:v>
                </c:pt>
                <c:pt idx="7">
                  <c:v>12.34</c:v>
                </c:pt>
                <c:pt idx="8">
                  <c:v>15.61</c:v>
                </c:pt>
                <c:pt idx="9">
                  <c:v>12.85</c:v>
                </c:pt>
                <c:pt idx="10">
                  <c:v>14.84</c:v>
                </c:pt>
                <c:pt idx="11">
                  <c:v>15.72</c:v>
                </c:pt>
                <c:pt idx="12">
                  <c:v>17.16</c:v>
                </c:pt>
                <c:pt idx="13">
                  <c:v>15.67</c:v>
                </c:pt>
                <c:pt idx="14">
                  <c:v>16.559999999999999</c:v>
                </c:pt>
                <c:pt idx="15">
                  <c:v>20.74</c:v>
                </c:pt>
                <c:pt idx="16">
                  <c:v>25.38</c:v>
                </c:pt>
                <c:pt idx="17">
                  <c:v>29.75</c:v>
                </c:pt>
                <c:pt idx="18">
                  <c:v>34.659999999999997</c:v>
                </c:pt>
                <c:pt idx="19">
                  <c:v>39.76</c:v>
                </c:pt>
                <c:pt idx="20">
                  <c:v>36.809999999999995</c:v>
                </c:pt>
                <c:pt idx="21">
                  <c:v>40.08</c:v>
                </c:pt>
                <c:pt idx="22">
                  <c:v>40.42</c:v>
                </c:pt>
                <c:pt idx="23">
                  <c:v>41.410000000000004</c:v>
                </c:pt>
                <c:pt idx="24">
                  <c:v>44.730000000000004</c:v>
                </c:pt>
                <c:pt idx="25">
                  <c:v>50.92</c:v>
                </c:pt>
                <c:pt idx="26">
                  <c:v>54.190000000000005</c:v>
                </c:pt>
                <c:pt idx="27">
                  <c:v>57.460000000000008</c:v>
                </c:pt>
                <c:pt idx="28">
                  <c:v>59.820000000000007</c:v>
                </c:pt>
                <c:pt idx="29">
                  <c:v>63.090000000000011</c:v>
                </c:pt>
                <c:pt idx="30">
                  <c:v>57.88000000000001</c:v>
                </c:pt>
                <c:pt idx="31">
                  <c:v>59.320000000000007</c:v>
                </c:pt>
                <c:pt idx="32">
                  <c:v>60.760000000000005</c:v>
                </c:pt>
                <c:pt idx="33">
                  <c:v>63.17</c:v>
                </c:pt>
                <c:pt idx="34">
                  <c:v>63.15</c:v>
                </c:pt>
                <c:pt idx="35">
                  <c:v>65.8</c:v>
                </c:pt>
                <c:pt idx="36">
                  <c:v>67.7</c:v>
                </c:pt>
                <c:pt idx="37">
                  <c:v>73.25</c:v>
                </c:pt>
                <c:pt idx="38">
                  <c:v>74.319999999999993</c:v>
                </c:pt>
                <c:pt idx="39">
                  <c:v>78.22999999999999</c:v>
                </c:pt>
                <c:pt idx="40">
                  <c:v>79.789999999999992</c:v>
                </c:pt>
                <c:pt idx="41">
                  <c:v>81.839999999999989</c:v>
                </c:pt>
                <c:pt idx="42">
                  <c:v>81.939999999999984</c:v>
                </c:pt>
                <c:pt idx="43">
                  <c:v>81.059999999999988</c:v>
                </c:pt>
                <c:pt idx="44">
                  <c:v>82.32</c:v>
                </c:pt>
                <c:pt idx="45">
                  <c:v>81.809999999999988</c:v>
                </c:pt>
                <c:pt idx="46">
                  <c:v>81.049999999999983</c:v>
                </c:pt>
                <c:pt idx="47">
                  <c:v>84.139999999999986</c:v>
                </c:pt>
                <c:pt idx="48">
                  <c:v>83.759999999999991</c:v>
                </c:pt>
                <c:pt idx="49">
                  <c:v>85.839999999999989</c:v>
                </c:pt>
                <c:pt idx="50">
                  <c:v>87.74</c:v>
                </c:pt>
                <c:pt idx="51">
                  <c:v>79.66</c:v>
                </c:pt>
                <c:pt idx="52">
                  <c:v>83.89</c:v>
                </c:pt>
                <c:pt idx="53">
                  <c:v>86.98</c:v>
                </c:pt>
                <c:pt idx="54">
                  <c:v>88.660000000000011</c:v>
                </c:pt>
                <c:pt idx="55">
                  <c:v>94.670000000000016</c:v>
                </c:pt>
                <c:pt idx="56">
                  <c:v>94.030000000000015</c:v>
                </c:pt>
                <c:pt idx="57">
                  <c:v>91.930000000000021</c:v>
                </c:pt>
                <c:pt idx="58">
                  <c:v>94.720000000000027</c:v>
                </c:pt>
                <c:pt idx="59">
                  <c:v>94.700000000000031</c:v>
                </c:pt>
                <c:pt idx="60">
                  <c:v>99.340000000000032</c:v>
                </c:pt>
                <c:pt idx="61">
                  <c:v>99.680000000000035</c:v>
                </c:pt>
                <c:pt idx="62">
                  <c:v>103.59000000000003</c:v>
                </c:pt>
                <c:pt idx="63">
                  <c:v>102.47000000000003</c:v>
                </c:pt>
                <c:pt idx="64">
                  <c:v>101.35000000000002</c:v>
                </c:pt>
                <c:pt idx="65">
                  <c:v>105.53000000000003</c:v>
                </c:pt>
                <c:pt idx="66">
                  <c:v>100.78000000000003</c:v>
                </c:pt>
                <c:pt idx="67">
                  <c:v>104.05000000000003</c:v>
                </c:pt>
                <c:pt idx="68">
                  <c:v>106.22000000000003</c:v>
                </c:pt>
                <c:pt idx="69">
                  <c:v>110.04000000000002</c:v>
                </c:pt>
                <c:pt idx="70">
                  <c:v>115.14000000000001</c:v>
                </c:pt>
                <c:pt idx="71">
                  <c:v>113.65000000000002</c:v>
                </c:pt>
                <c:pt idx="72">
                  <c:v>111.68000000000002</c:v>
                </c:pt>
                <c:pt idx="73">
                  <c:v>112.87000000000002</c:v>
                </c:pt>
                <c:pt idx="74">
                  <c:v>114.79000000000002</c:v>
                </c:pt>
                <c:pt idx="75">
                  <c:v>110.34000000000002</c:v>
                </c:pt>
                <c:pt idx="76">
                  <c:v>105.59000000000002</c:v>
                </c:pt>
                <c:pt idx="77">
                  <c:v>108.86000000000001</c:v>
                </c:pt>
                <c:pt idx="78">
                  <c:v>100.12000000000002</c:v>
                </c:pt>
                <c:pt idx="79">
                  <c:v>105.07000000000002</c:v>
                </c:pt>
                <c:pt idx="80">
                  <c:v>107.74000000000002</c:v>
                </c:pt>
                <c:pt idx="81">
                  <c:v>108.13000000000002</c:v>
                </c:pt>
                <c:pt idx="82">
                  <c:v>117.01000000000002</c:v>
                </c:pt>
                <c:pt idx="83">
                  <c:v>118.68000000000002</c:v>
                </c:pt>
                <c:pt idx="84">
                  <c:v>120.33000000000003</c:v>
                </c:pt>
                <c:pt idx="85">
                  <c:v>121.97000000000003</c:v>
                </c:pt>
                <c:pt idx="86">
                  <c:v>124.02000000000002</c:v>
                </c:pt>
                <c:pt idx="87">
                  <c:v>119.89000000000003</c:v>
                </c:pt>
                <c:pt idx="88">
                  <c:v>124.11000000000003</c:v>
                </c:pt>
                <c:pt idx="89">
                  <c:v>124.50000000000003</c:v>
                </c:pt>
                <c:pt idx="90">
                  <c:v>127.79000000000003</c:v>
                </c:pt>
                <c:pt idx="91">
                  <c:v>127.20000000000003</c:v>
                </c:pt>
                <c:pt idx="92">
                  <c:v>126.61000000000003</c:v>
                </c:pt>
                <c:pt idx="93">
                  <c:v>128.66000000000003</c:v>
                </c:pt>
                <c:pt idx="94">
                  <c:v>132.37000000000003</c:v>
                </c:pt>
                <c:pt idx="95">
                  <c:v>137.63000000000002</c:v>
                </c:pt>
                <c:pt idx="96">
                  <c:v>140.61000000000001</c:v>
                </c:pt>
                <c:pt idx="97">
                  <c:v>144.11000000000001</c:v>
                </c:pt>
                <c:pt idx="98">
                  <c:v>140.49</c:v>
                </c:pt>
                <c:pt idx="99">
                  <c:v>144.71</c:v>
                </c:pt>
                <c:pt idx="100">
                  <c:v>136.49</c:v>
                </c:pt>
                <c:pt idx="101">
                  <c:v>139.16</c:v>
                </c:pt>
                <c:pt idx="102">
                  <c:v>139.69</c:v>
                </c:pt>
                <c:pt idx="103">
                  <c:v>141.94999999999999</c:v>
                </c:pt>
                <c:pt idx="104">
                  <c:v>142.94</c:v>
                </c:pt>
                <c:pt idx="105">
                  <c:v>145.63</c:v>
                </c:pt>
                <c:pt idx="106">
                  <c:v>147.28</c:v>
                </c:pt>
                <c:pt idx="107">
                  <c:v>151.71</c:v>
                </c:pt>
                <c:pt idx="108">
                  <c:v>153.86000000000001</c:v>
                </c:pt>
                <c:pt idx="109">
                  <c:v>159.39000000000001</c:v>
                </c:pt>
                <c:pt idx="110">
                  <c:v>152.31</c:v>
                </c:pt>
                <c:pt idx="111">
                  <c:v>152.29</c:v>
                </c:pt>
                <c:pt idx="112">
                  <c:v>154.44</c:v>
                </c:pt>
                <c:pt idx="113">
                  <c:v>158.87</c:v>
                </c:pt>
                <c:pt idx="114">
                  <c:v>159.20000000000002</c:v>
                </c:pt>
                <c:pt idx="115">
                  <c:v>159.17000000000002</c:v>
                </c:pt>
                <c:pt idx="116">
                  <c:v>161.12</c:v>
                </c:pt>
                <c:pt idx="117">
                  <c:v>161.9</c:v>
                </c:pt>
                <c:pt idx="118">
                  <c:v>159.07</c:v>
                </c:pt>
                <c:pt idx="119">
                  <c:v>157.07999999999998</c:v>
                </c:pt>
                <c:pt idx="120">
                  <c:v>156.48999999999998</c:v>
                </c:pt>
                <c:pt idx="121">
                  <c:v>159.36999999999998</c:v>
                </c:pt>
                <c:pt idx="122">
                  <c:v>163.50999999999996</c:v>
                </c:pt>
                <c:pt idx="123">
                  <c:v>165.99999999999997</c:v>
                </c:pt>
                <c:pt idx="124">
                  <c:v>167.11999999999998</c:v>
                </c:pt>
                <c:pt idx="125">
                  <c:v>164.98999999999998</c:v>
                </c:pt>
                <c:pt idx="126">
                  <c:v>167.27999999999997</c:v>
                </c:pt>
                <c:pt idx="127">
                  <c:v>163.14999999999998</c:v>
                </c:pt>
                <c:pt idx="128">
                  <c:v>162.27999999999997</c:v>
                </c:pt>
                <c:pt idx="129">
                  <c:v>152.50999999999996</c:v>
                </c:pt>
                <c:pt idx="130">
                  <c:v>155.27999999999997</c:v>
                </c:pt>
                <c:pt idx="131">
                  <c:v>157.11999999999998</c:v>
                </c:pt>
                <c:pt idx="132">
                  <c:v>159.06999999999996</c:v>
                </c:pt>
                <c:pt idx="133">
                  <c:v>162.25999999999996</c:v>
                </c:pt>
                <c:pt idx="134">
                  <c:v>161.64999999999995</c:v>
                </c:pt>
                <c:pt idx="135">
                  <c:v>161.17999999999995</c:v>
                </c:pt>
                <c:pt idx="136">
                  <c:v>162.90999999999994</c:v>
                </c:pt>
                <c:pt idx="137">
                  <c:v>168.47999999999993</c:v>
                </c:pt>
                <c:pt idx="138">
                  <c:v>171.74999999999994</c:v>
                </c:pt>
                <c:pt idx="139">
                  <c:v>174.93999999999994</c:v>
                </c:pt>
                <c:pt idx="140">
                  <c:v>177.54999999999995</c:v>
                </c:pt>
                <c:pt idx="141">
                  <c:v>186.00999999999996</c:v>
                </c:pt>
                <c:pt idx="142">
                  <c:v>189.35999999999996</c:v>
                </c:pt>
                <c:pt idx="143">
                  <c:v>189.61999999999995</c:v>
                </c:pt>
                <c:pt idx="144">
                  <c:v>195.88999999999996</c:v>
                </c:pt>
                <c:pt idx="145">
                  <c:v>205.07999999999996</c:v>
                </c:pt>
                <c:pt idx="146">
                  <c:v>204.46999999999994</c:v>
                </c:pt>
                <c:pt idx="147">
                  <c:v>211.88999999999993</c:v>
                </c:pt>
                <c:pt idx="148">
                  <c:v>217.29999999999993</c:v>
                </c:pt>
                <c:pt idx="149">
                  <c:v>223.43999999999991</c:v>
                </c:pt>
                <c:pt idx="150">
                  <c:v>223.12999999999991</c:v>
                </c:pt>
                <c:pt idx="151">
                  <c:v>228.20999999999992</c:v>
                </c:pt>
                <c:pt idx="152">
                  <c:v>234.19999999999993</c:v>
                </c:pt>
                <c:pt idx="153">
                  <c:v>235.00999999999993</c:v>
                </c:pt>
                <c:pt idx="154">
                  <c:v>236.19999999999993</c:v>
                </c:pt>
                <c:pt idx="155">
                  <c:v>230.01999999999992</c:v>
                </c:pt>
                <c:pt idx="156">
                  <c:v>235.55999999999992</c:v>
                </c:pt>
                <c:pt idx="157">
                  <c:v>240.79999999999993</c:v>
                </c:pt>
                <c:pt idx="158">
                  <c:v>243.62999999999994</c:v>
                </c:pt>
                <c:pt idx="159">
                  <c:v>244.76999999999992</c:v>
                </c:pt>
                <c:pt idx="160">
                  <c:v>250.90999999999991</c:v>
                </c:pt>
                <c:pt idx="161">
                  <c:v>249.1999999999999</c:v>
                </c:pt>
                <c:pt idx="162">
                  <c:v>246.89999999999989</c:v>
                </c:pt>
                <c:pt idx="163">
                  <c:v>244.18999999999988</c:v>
                </c:pt>
                <c:pt idx="164">
                  <c:v>242.28999999999988</c:v>
                </c:pt>
                <c:pt idx="165">
                  <c:v>244.01999999999987</c:v>
                </c:pt>
                <c:pt idx="166">
                  <c:v>245.15999999999985</c:v>
                </c:pt>
                <c:pt idx="167">
                  <c:v>244.59999999999985</c:v>
                </c:pt>
                <c:pt idx="168">
                  <c:v>241.35999999999984</c:v>
                </c:pt>
                <c:pt idx="169">
                  <c:v>245.76999999999984</c:v>
                </c:pt>
                <c:pt idx="170">
                  <c:v>251.33999999999983</c:v>
                </c:pt>
                <c:pt idx="171">
                  <c:v>249.16999999999985</c:v>
                </c:pt>
                <c:pt idx="172">
                  <c:v>251.56999999999985</c:v>
                </c:pt>
                <c:pt idx="173">
                  <c:v>257.46999999999986</c:v>
                </c:pt>
                <c:pt idx="174">
                  <c:v>264.12999999999988</c:v>
                </c:pt>
                <c:pt idx="175">
                  <c:v>261.4799999999999</c:v>
                </c:pt>
                <c:pt idx="176">
                  <c:v>262.65999999999991</c:v>
                </c:pt>
                <c:pt idx="177">
                  <c:v>260.75999999999993</c:v>
                </c:pt>
                <c:pt idx="178">
                  <c:v>263.91999999999996</c:v>
                </c:pt>
                <c:pt idx="179">
                  <c:v>263.75999999999993</c:v>
                </c:pt>
                <c:pt idx="180">
                  <c:v>265.81999999999994</c:v>
                </c:pt>
                <c:pt idx="181">
                  <c:v>265.38999999999993</c:v>
                </c:pt>
                <c:pt idx="182">
                  <c:v>263.88999999999993</c:v>
                </c:pt>
                <c:pt idx="183">
                  <c:v>266.53999999999991</c:v>
                </c:pt>
                <c:pt idx="184">
                  <c:v>263.82999999999993</c:v>
                </c:pt>
                <c:pt idx="185">
                  <c:v>265.55999999999995</c:v>
                </c:pt>
                <c:pt idx="186">
                  <c:v>262.31999999999994</c:v>
                </c:pt>
                <c:pt idx="187">
                  <c:v>259.07999999999993</c:v>
                </c:pt>
                <c:pt idx="188">
                  <c:v>256.90999999999991</c:v>
                </c:pt>
                <c:pt idx="189">
                  <c:v>258.63999999999993</c:v>
                </c:pt>
                <c:pt idx="190">
                  <c:v>263.65999999999991</c:v>
                </c:pt>
                <c:pt idx="191">
                  <c:v>265.71999999999991</c:v>
                </c:pt>
                <c:pt idx="192">
                  <c:v>264.4899999999999</c:v>
                </c:pt>
                <c:pt idx="193">
                  <c:v>267.09999999999991</c:v>
                </c:pt>
                <c:pt idx="194">
                  <c:v>271.56999999999994</c:v>
                </c:pt>
                <c:pt idx="195">
                  <c:v>276.50999999999993</c:v>
                </c:pt>
                <c:pt idx="196">
                  <c:v>278.78999999999991</c:v>
                </c:pt>
                <c:pt idx="197">
                  <c:v>282.70999999999992</c:v>
                </c:pt>
                <c:pt idx="198">
                  <c:v>280.6699999999999</c:v>
                </c:pt>
                <c:pt idx="199">
                  <c:v>279.20999999999992</c:v>
                </c:pt>
                <c:pt idx="200">
                  <c:v>283.12999999999994</c:v>
                </c:pt>
                <c:pt idx="201">
                  <c:v>281.22999999999996</c:v>
                </c:pt>
                <c:pt idx="202">
                  <c:v>283.83999999999997</c:v>
                </c:pt>
                <c:pt idx="203">
                  <c:v>287.57</c:v>
                </c:pt>
                <c:pt idx="204">
                  <c:v>289.95</c:v>
                </c:pt>
                <c:pt idx="205">
                  <c:v>294.52999999999997</c:v>
                </c:pt>
                <c:pt idx="206">
                  <c:v>300.64999999999998</c:v>
                </c:pt>
                <c:pt idx="207">
                  <c:v>302.92999999999995</c:v>
                </c:pt>
                <c:pt idx="208">
                  <c:v>299.68999999999994</c:v>
                </c:pt>
                <c:pt idx="209">
                  <c:v>300.00999999999993</c:v>
                </c:pt>
                <c:pt idx="210">
                  <c:v>300.42999999999995</c:v>
                </c:pt>
                <c:pt idx="211">
                  <c:v>300.26999999999992</c:v>
                </c:pt>
                <c:pt idx="212">
                  <c:v>299.03999999999991</c:v>
                </c:pt>
                <c:pt idx="213">
                  <c:v>297.57999999999993</c:v>
                </c:pt>
                <c:pt idx="214">
                  <c:v>298.82999999999993</c:v>
                </c:pt>
                <c:pt idx="215">
                  <c:v>300.55999999999995</c:v>
                </c:pt>
                <c:pt idx="216">
                  <c:v>302.80999999999995</c:v>
                </c:pt>
                <c:pt idx="217">
                  <c:v>304.50999999999993</c:v>
                </c:pt>
                <c:pt idx="218">
                  <c:v>303.94999999999993</c:v>
                </c:pt>
                <c:pt idx="219">
                  <c:v>304.18999999999994</c:v>
                </c:pt>
                <c:pt idx="220">
                  <c:v>308.26999999999992</c:v>
                </c:pt>
                <c:pt idx="221">
                  <c:v>313.07999999999993</c:v>
                </c:pt>
                <c:pt idx="222">
                  <c:v>316.45999999999992</c:v>
                </c:pt>
                <c:pt idx="223">
                  <c:v>314.15999999999991</c:v>
                </c:pt>
                <c:pt idx="224">
                  <c:v>317.5499999999999</c:v>
                </c:pt>
                <c:pt idx="225">
                  <c:v>321.46999999999991</c:v>
                </c:pt>
                <c:pt idx="226">
                  <c:v>320.8599999999999</c:v>
                </c:pt>
                <c:pt idx="227">
                  <c:v>319.90999999999991</c:v>
                </c:pt>
                <c:pt idx="228">
                  <c:v>327.6699999999999</c:v>
                </c:pt>
                <c:pt idx="229">
                  <c:v>325.49999999999989</c:v>
                </c:pt>
                <c:pt idx="230">
                  <c:v>325.33999999999986</c:v>
                </c:pt>
                <c:pt idx="231">
                  <c:v>321.52999999999986</c:v>
                </c:pt>
                <c:pt idx="232">
                  <c:v>324.68999999999988</c:v>
                </c:pt>
                <c:pt idx="233">
                  <c:v>320.7999999999999</c:v>
                </c:pt>
                <c:pt idx="234">
                  <c:v>320.76999999999992</c:v>
                </c:pt>
                <c:pt idx="235">
                  <c:v>319.75999999999993</c:v>
                </c:pt>
                <c:pt idx="236">
                  <c:v>322.51999999999992</c:v>
                </c:pt>
                <c:pt idx="237">
                  <c:v>319.82999999999993</c:v>
                </c:pt>
                <c:pt idx="238">
                  <c:v>319.51999999999992</c:v>
                </c:pt>
                <c:pt idx="239">
                  <c:v>318.08999999999992</c:v>
                </c:pt>
                <c:pt idx="240">
                  <c:v>317.07999999999993</c:v>
                </c:pt>
                <c:pt idx="241">
                  <c:v>314.80999999999995</c:v>
                </c:pt>
                <c:pt idx="242">
                  <c:v>318.88999999999993</c:v>
                </c:pt>
                <c:pt idx="243">
                  <c:v>323.54999999999995</c:v>
                </c:pt>
                <c:pt idx="244">
                  <c:v>323.65999999999997</c:v>
                </c:pt>
                <c:pt idx="245">
                  <c:v>315.52</c:v>
                </c:pt>
                <c:pt idx="246">
                  <c:v>320.95999999999998</c:v>
                </c:pt>
                <c:pt idx="247">
                  <c:v>322.89</c:v>
                </c:pt>
                <c:pt idx="248">
                  <c:v>322.84999999999997</c:v>
                </c:pt>
                <c:pt idx="249">
                  <c:v>321.14</c:v>
                </c:pt>
                <c:pt idx="250">
                  <c:v>321.47999999999996</c:v>
                </c:pt>
                <c:pt idx="251">
                  <c:v>323.42999999999995</c:v>
                </c:pt>
                <c:pt idx="252">
                  <c:v>328.59</c:v>
                </c:pt>
                <c:pt idx="253">
                  <c:v>332.29999999999995</c:v>
                </c:pt>
                <c:pt idx="254">
                  <c:v>335.17999999999995</c:v>
                </c:pt>
                <c:pt idx="255">
                  <c:v>335.15</c:v>
                </c:pt>
                <c:pt idx="256">
                  <c:v>336.92999999999995</c:v>
                </c:pt>
                <c:pt idx="257">
                  <c:v>335.91999999999996</c:v>
                </c:pt>
                <c:pt idx="258">
                  <c:v>340.65</c:v>
                </c:pt>
                <c:pt idx="259">
                  <c:v>344.97999999999996</c:v>
                </c:pt>
                <c:pt idx="260">
                  <c:v>349.71999999999997</c:v>
                </c:pt>
                <c:pt idx="261">
                  <c:v>355.19</c:v>
                </c:pt>
                <c:pt idx="262">
                  <c:v>355.16</c:v>
                </c:pt>
                <c:pt idx="263">
                  <c:v>353.63000000000005</c:v>
                </c:pt>
                <c:pt idx="264">
                  <c:v>357.54000000000008</c:v>
                </c:pt>
                <c:pt idx="265">
                  <c:v>358.92000000000007</c:v>
                </c:pt>
                <c:pt idx="266">
                  <c:v>356.65000000000009</c:v>
                </c:pt>
                <c:pt idx="267">
                  <c:v>359.22000000000008</c:v>
                </c:pt>
                <c:pt idx="268">
                  <c:v>363.13000000000011</c:v>
                </c:pt>
                <c:pt idx="269">
                  <c:v>356.91000000000008</c:v>
                </c:pt>
                <c:pt idx="270">
                  <c:v>359.96000000000009</c:v>
                </c:pt>
                <c:pt idx="271">
                  <c:v>357.8300000000001</c:v>
                </c:pt>
                <c:pt idx="272">
                  <c:v>361.54000000000008</c:v>
                </c:pt>
                <c:pt idx="273">
                  <c:v>364.94000000000005</c:v>
                </c:pt>
                <c:pt idx="274">
                  <c:v>366.17000000000007</c:v>
                </c:pt>
                <c:pt idx="275">
                  <c:v>369.88000000000005</c:v>
                </c:pt>
                <c:pt idx="276">
                  <c:v>370.22</c:v>
                </c:pt>
                <c:pt idx="277">
                  <c:v>367.39000000000004</c:v>
                </c:pt>
                <c:pt idx="278">
                  <c:v>369.01000000000005</c:v>
                </c:pt>
                <c:pt idx="279">
                  <c:v>372.30000000000007</c:v>
                </c:pt>
                <c:pt idx="280">
                  <c:v>376.19000000000005</c:v>
                </c:pt>
                <c:pt idx="281">
                  <c:v>379.59000000000003</c:v>
                </c:pt>
                <c:pt idx="282">
                  <c:v>382.16</c:v>
                </c:pt>
                <c:pt idx="283">
                  <c:v>384.31</c:v>
                </c:pt>
                <c:pt idx="284">
                  <c:v>383.86</c:v>
                </c:pt>
                <c:pt idx="285">
                  <c:v>384.95</c:v>
                </c:pt>
                <c:pt idx="286">
                  <c:v>384.78</c:v>
                </c:pt>
                <c:pt idx="287">
                  <c:v>391.04999999999995</c:v>
                </c:pt>
                <c:pt idx="288">
                  <c:v>396.52</c:v>
                </c:pt>
                <c:pt idx="289">
                  <c:v>402.64</c:v>
                </c:pt>
                <c:pt idx="290">
                  <c:v>409.28</c:v>
                </c:pt>
                <c:pt idx="291">
                  <c:v>414.53999999999996</c:v>
                </c:pt>
                <c:pt idx="292">
                  <c:v>420.31999999999994</c:v>
                </c:pt>
                <c:pt idx="293">
                  <c:v>426.09999999999991</c:v>
                </c:pt>
                <c:pt idx="294">
                  <c:v>428.24999999999989</c:v>
                </c:pt>
                <c:pt idx="295">
                  <c:v>426.71999999999991</c:v>
                </c:pt>
                <c:pt idx="296">
                  <c:v>430.42999999999989</c:v>
                </c:pt>
                <c:pt idx="297">
                  <c:v>429.4899999999999</c:v>
                </c:pt>
                <c:pt idx="298">
                  <c:v>432.49999999999989</c:v>
                </c:pt>
                <c:pt idx="299">
                  <c:v>435.32999999999987</c:v>
                </c:pt>
                <c:pt idx="300">
                  <c:v>436.81999999999988</c:v>
                </c:pt>
                <c:pt idx="301">
                  <c:v>438.9199999999999</c:v>
                </c:pt>
                <c:pt idx="302">
                  <c:v>440.40999999999991</c:v>
                </c:pt>
                <c:pt idx="303">
                  <c:v>443.45999999999992</c:v>
                </c:pt>
                <c:pt idx="304">
                  <c:v>448.4799999999999</c:v>
                </c:pt>
                <c:pt idx="305">
                  <c:v>452.39999999999992</c:v>
                </c:pt>
                <c:pt idx="306">
                  <c:v>454.89999999999992</c:v>
                </c:pt>
                <c:pt idx="307">
                  <c:v>456.07999999999993</c:v>
                </c:pt>
                <c:pt idx="308">
                  <c:v>455.65999999999991</c:v>
                </c:pt>
                <c:pt idx="309">
                  <c:v>455.92999999999989</c:v>
                </c:pt>
                <c:pt idx="310">
                  <c:v>454.06999999999988</c:v>
                </c:pt>
                <c:pt idx="311">
                  <c:v>457.6699999999999</c:v>
                </c:pt>
                <c:pt idx="312">
                  <c:v>461.56999999999988</c:v>
                </c:pt>
                <c:pt idx="313">
                  <c:v>466.2299999999999</c:v>
                </c:pt>
                <c:pt idx="314">
                  <c:v>468.61999999999989</c:v>
                </c:pt>
                <c:pt idx="315">
                  <c:v>475.32999999999987</c:v>
                </c:pt>
                <c:pt idx="316">
                  <c:v>481.51999999999987</c:v>
                </c:pt>
                <c:pt idx="317">
                  <c:v>483.43999999999988</c:v>
                </c:pt>
                <c:pt idx="318">
                  <c:v>488.08999999999986</c:v>
                </c:pt>
                <c:pt idx="319">
                  <c:v>490.00999999999988</c:v>
                </c:pt>
                <c:pt idx="320">
                  <c:v>490.53999999999985</c:v>
                </c:pt>
                <c:pt idx="321">
                  <c:v>492.14999999999986</c:v>
                </c:pt>
                <c:pt idx="322">
                  <c:v>509.70999999999987</c:v>
                </c:pt>
                <c:pt idx="323">
                  <c:v>509.67999999999989</c:v>
                </c:pt>
                <c:pt idx="324">
                  <c:v>515.86999999999989</c:v>
                </c:pt>
                <c:pt idx="325">
                  <c:v>519.96999999999991</c:v>
                </c:pt>
                <c:pt idx="326">
                  <c:v>519.92999999999995</c:v>
                </c:pt>
                <c:pt idx="327">
                  <c:v>524.16999999999996</c:v>
                </c:pt>
                <c:pt idx="328">
                  <c:v>525.96999999999991</c:v>
                </c:pt>
                <c:pt idx="329">
                  <c:v>525.6099999999999</c:v>
                </c:pt>
                <c:pt idx="330">
                  <c:v>520.06999999999994</c:v>
                </c:pt>
                <c:pt idx="331">
                  <c:v>521.62999999999988</c:v>
                </c:pt>
                <c:pt idx="332">
                  <c:v>526.04999999999984</c:v>
                </c:pt>
                <c:pt idx="333">
                  <c:v>525.68999999999983</c:v>
                </c:pt>
                <c:pt idx="334">
                  <c:v>529.31999999999982</c:v>
                </c:pt>
                <c:pt idx="335">
                  <c:v>530.92999999999984</c:v>
                </c:pt>
                <c:pt idx="336">
                  <c:v>535.52999999999986</c:v>
                </c:pt>
                <c:pt idx="337">
                  <c:v>537.79999999999984</c:v>
                </c:pt>
                <c:pt idx="338">
                  <c:v>534.9699999999998</c:v>
                </c:pt>
                <c:pt idx="339">
                  <c:v>530.98999999999978</c:v>
                </c:pt>
                <c:pt idx="340">
                  <c:v>536.87999999999977</c:v>
                </c:pt>
                <c:pt idx="341">
                  <c:v>534.86999999999978</c:v>
                </c:pt>
                <c:pt idx="342">
                  <c:v>536.54999999999973</c:v>
                </c:pt>
                <c:pt idx="343">
                  <c:v>538.48999999999978</c:v>
                </c:pt>
                <c:pt idx="344">
                  <c:v>542.47999999999979</c:v>
                </c:pt>
                <c:pt idx="345">
                  <c:v>542.93999999999983</c:v>
                </c:pt>
                <c:pt idx="346">
                  <c:v>539.61999999999978</c:v>
                </c:pt>
                <c:pt idx="347">
                  <c:v>542.87999999999977</c:v>
                </c:pt>
                <c:pt idx="348">
                  <c:v>546.74999999999977</c:v>
                </c:pt>
                <c:pt idx="349">
                  <c:v>551.75999999999976</c:v>
                </c:pt>
                <c:pt idx="350">
                  <c:v>554.17999999999972</c:v>
                </c:pt>
                <c:pt idx="351">
                  <c:v>558.0799999999997</c:v>
                </c:pt>
                <c:pt idx="352">
                  <c:v>564.26999999999975</c:v>
                </c:pt>
                <c:pt idx="353">
                  <c:v>566.67999999999972</c:v>
                </c:pt>
                <c:pt idx="354">
                  <c:v>569.77999999999975</c:v>
                </c:pt>
                <c:pt idx="355">
                  <c:v>571.05999999999972</c:v>
                </c:pt>
                <c:pt idx="356">
                  <c:v>576.26999999999975</c:v>
                </c:pt>
                <c:pt idx="357">
                  <c:v>575.62999999999977</c:v>
                </c:pt>
                <c:pt idx="358">
                  <c:v>575.5999999999998</c:v>
                </c:pt>
                <c:pt idx="359">
                  <c:v>578.73999999999978</c:v>
                </c:pt>
                <c:pt idx="360">
                  <c:v>579.26999999999975</c:v>
                </c:pt>
                <c:pt idx="361">
                  <c:v>582.04999999999973</c:v>
                </c:pt>
                <c:pt idx="362">
                  <c:v>585.62999999999977</c:v>
                </c:pt>
                <c:pt idx="363">
                  <c:v>589.70999999999981</c:v>
                </c:pt>
                <c:pt idx="364">
                  <c:v>591.26999999999975</c:v>
                </c:pt>
                <c:pt idx="365">
                  <c:v>596.5999999999998</c:v>
                </c:pt>
                <c:pt idx="366">
                  <c:v>598.65999999999974</c:v>
                </c:pt>
                <c:pt idx="367">
                  <c:v>600.98999999999978</c:v>
                </c:pt>
                <c:pt idx="368">
                  <c:v>603.29999999999973</c:v>
                </c:pt>
                <c:pt idx="369">
                  <c:v>604.4499999999997</c:v>
                </c:pt>
                <c:pt idx="370">
                  <c:v>595.97999999999968</c:v>
                </c:pt>
                <c:pt idx="371">
                  <c:v>587.97999999999968</c:v>
                </c:pt>
                <c:pt idx="372">
                  <c:v>587.7099999999997</c:v>
                </c:pt>
                <c:pt idx="373">
                  <c:v>592.93999999999971</c:v>
                </c:pt>
                <c:pt idx="374">
                  <c:v>597.29999999999973</c:v>
                </c:pt>
                <c:pt idx="375">
                  <c:v>596.27999999999975</c:v>
                </c:pt>
                <c:pt idx="376">
                  <c:v>600.63999999999976</c:v>
                </c:pt>
                <c:pt idx="377">
                  <c:v>600.76999999999975</c:v>
                </c:pt>
                <c:pt idx="378">
                  <c:v>601.7199999999998</c:v>
                </c:pt>
                <c:pt idx="379">
                  <c:v>602.66999999999985</c:v>
                </c:pt>
                <c:pt idx="380">
                  <c:v>600.32999999999981</c:v>
                </c:pt>
                <c:pt idx="381">
                  <c:v>599.79999999999984</c:v>
                </c:pt>
                <c:pt idx="382">
                  <c:v>605.00999999999988</c:v>
                </c:pt>
                <c:pt idx="383">
                  <c:v>607.1099999999999</c:v>
                </c:pt>
                <c:pt idx="384">
                  <c:v>609.37999999999988</c:v>
                </c:pt>
                <c:pt idx="385">
                  <c:v>614.4799999999999</c:v>
                </c:pt>
                <c:pt idx="386">
                  <c:v>610.9899999999999</c:v>
                </c:pt>
                <c:pt idx="387">
                  <c:v>610.29999999999984</c:v>
                </c:pt>
                <c:pt idx="388">
                  <c:v>611.24999999999989</c:v>
                </c:pt>
                <c:pt idx="389">
                  <c:v>613.51999999999987</c:v>
                </c:pt>
                <c:pt idx="390">
                  <c:v>613.93999999999983</c:v>
                </c:pt>
                <c:pt idx="391">
                  <c:v>604.56999999999982</c:v>
                </c:pt>
                <c:pt idx="392">
                  <c:v>607.95999999999981</c:v>
                </c:pt>
                <c:pt idx="393">
                  <c:v>609.89999999999986</c:v>
                </c:pt>
                <c:pt idx="394">
                  <c:v>610.84999999999991</c:v>
                </c:pt>
                <c:pt idx="395">
                  <c:v>613.51999999999987</c:v>
                </c:pt>
                <c:pt idx="396">
                  <c:v>613.9799999999999</c:v>
                </c:pt>
                <c:pt idx="397">
                  <c:v>618.41999999999996</c:v>
                </c:pt>
                <c:pt idx="398">
                  <c:v>616.57999999999993</c:v>
                </c:pt>
                <c:pt idx="399">
                  <c:v>623.46999999999991</c:v>
                </c:pt>
                <c:pt idx="400">
                  <c:v>625.89999999999986</c:v>
                </c:pt>
                <c:pt idx="401">
                  <c:v>623.88999999999987</c:v>
                </c:pt>
                <c:pt idx="402">
                  <c:v>620.89999999999986</c:v>
                </c:pt>
                <c:pt idx="403">
                  <c:v>618.9799999999999</c:v>
                </c:pt>
                <c:pt idx="404">
                  <c:v>625.28999999999985</c:v>
                </c:pt>
                <c:pt idx="405">
                  <c:v>622.78999999999985</c:v>
                </c:pt>
                <c:pt idx="406">
                  <c:v>618.80999999999983</c:v>
                </c:pt>
                <c:pt idx="407">
                  <c:v>620.41999999999985</c:v>
                </c:pt>
                <c:pt idx="408">
                  <c:v>618.07999999999981</c:v>
                </c:pt>
                <c:pt idx="409">
                  <c:v>620.72999999999979</c:v>
                </c:pt>
                <c:pt idx="410">
                  <c:v>619.04999999999984</c:v>
                </c:pt>
                <c:pt idx="411">
                  <c:v>616.70999999999981</c:v>
                </c:pt>
                <c:pt idx="412">
                  <c:v>617.00999999999976</c:v>
                </c:pt>
                <c:pt idx="413">
                  <c:v>616.72999999999979</c:v>
                </c:pt>
                <c:pt idx="414">
                  <c:v>614.93999999999983</c:v>
                </c:pt>
                <c:pt idx="415">
                  <c:v>615.23999999999978</c:v>
                </c:pt>
                <c:pt idx="416">
                  <c:v>617.17999999999984</c:v>
                </c:pt>
                <c:pt idx="417">
                  <c:v>617.13999999999987</c:v>
                </c:pt>
                <c:pt idx="418">
                  <c:v>622.71999999999991</c:v>
                </c:pt>
                <c:pt idx="419">
                  <c:v>624.74999999999989</c:v>
                </c:pt>
                <c:pt idx="420">
                  <c:v>633.33999999999992</c:v>
                </c:pt>
                <c:pt idx="421">
                  <c:v>633.13999999999987</c:v>
                </c:pt>
                <c:pt idx="422">
                  <c:v>635.40999999999985</c:v>
                </c:pt>
                <c:pt idx="423">
                  <c:v>631.42999999999984</c:v>
                </c:pt>
                <c:pt idx="424">
                  <c:v>633.36999999999989</c:v>
                </c:pt>
                <c:pt idx="425">
                  <c:v>636.01999999999987</c:v>
                </c:pt>
                <c:pt idx="426">
                  <c:v>634.17999999999984</c:v>
                </c:pt>
                <c:pt idx="427">
                  <c:v>632.89999999999986</c:v>
                </c:pt>
                <c:pt idx="428">
                  <c:v>632.20999999999981</c:v>
                </c:pt>
                <c:pt idx="429">
                  <c:v>636.80999999999983</c:v>
                </c:pt>
                <c:pt idx="430">
                  <c:v>636.11999999999978</c:v>
                </c:pt>
                <c:pt idx="431">
                  <c:v>636.41999999999973</c:v>
                </c:pt>
                <c:pt idx="432">
                  <c:v>635.72999999999968</c:v>
                </c:pt>
                <c:pt idx="433">
                  <c:v>634.54999999999973</c:v>
                </c:pt>
                <c:pt idx="434">
                  <c:v>635.8299999999997</c:v>
                </c:pt>
                <c:pt idx="435">
                  <c:v>637.74999999999966</c:v>
                </c:pt>
                <c:pt idx="436">
                  <c:v>642.83999999999969</c:v>
                </c:pt>
                <c:pt idx="437">
                  <c:v>645.48999999999967</c:v>
                </c:pt>
                <c:pt idx="438">
                  <c:v>647.75999999999965</c:v>
                </c:pt>
                <c:pt idx="439">
                  <c:v>659.39999999999964</c:v>
                </c:pt>
                <c:pt idx="440">
                  <c:v>662.97999999999968</c:v>
                </c:pt>
                <c:pt idx="441">
                  <c:v>655.79999999999973</c:v>
                </c:pt>
                <c:pt idx="442">
                  <c:v>655.76999999999975</c:v>
                </c:pt>
                <c:pt idx="443">
                  <c:v>653.42999999999972</c:v>
                </c:pt>
                <c:pt idx="444">
                  <c:v>653.55999999999972</c:v>
                </c:pt>
                <c:pt idx="445">
                  <c:v>645.8299999999997</c:v>
                </c:pt>
                <c:pt idx="446">
                  <c:v>648.96999999999969</c:v>
                </c:pt>
                <c:pt idx="447">
                  <c:v>647.12999999999965</c:v>
                </c:pt>
                <c:pt idx="448">
                  <c:v>654.89999999999964</c:v>
                </c:pt>
                <c:pt idx="449">
                  <c:v>657.79999999999961</c:v>
                </c:pt>
                <c:pt idx="450">
                  <c:v>659.19999999999959</c:v>
                </c:pt>
                <c:pt idx="451">
                  <c:v>661.28999999999962</c:v>
                </c:pt>
                <c:pt idx="452">
                  <c:v>663.37999999999965</c:v>
                </c:pt>
                <c:pt idx="453">
                  <c:v>671.71999999999969</c:v>
                </c:pt>
                <c:pt idx="454">
                  <c:v>676.31999999999971</c:v>
                </c:pt>
                <c:pt idx="455">
                  <c:v>674.52999999999975</c:v>
                </c:pt>
                <c:pt idx="456">
                  <c:v>677.77999999999975</c:v>
                </c:pt>
                <c:pt idx="457">
                  <c:v>675.26999999999975</c:v>
                </c:pt>
                <c:pt idx="458">
                  <c:v>675.15999999999974</c:v>
                </c:pt>
                <c:pt idx="459">
                  <c:v>672.38999999999976</c:v>
                </c:pt>
                <c:pt idx="460">
                  <c:v>676.6999999999997</c:v>
                </c:pt>
                <c:pt idx="461">
                  <c:v>677.2099999999997</c:v>
                </c:pt>
                <c:pt idx="462">
                  <c:v>680.27999999999975</c:v>
                </c:pt>
                <c:pt idx="463">
                  <c:v>687.65999999999974</c:v>
                </c:pt>
                <c:pt idx="464">
                  <c:v>691.78999999999974</c:v>
                </c:pt>
                <c:pt idx="465">
                  <c:v>690.28999999999974</c:v>
                </c:pt>
                <c:pt idx="466">
                  <c:v>690.25999999999976</c:v>
                </c:pt>
                <c:pt idx="467">
                  <c:v>698.54999999999973</c:v>
                </c:pt>
                <c:pt idx="468">
                  <c:v>700.09999999999968</c:v>
                </c:pt>
                <c:pt idx="469">
                  <c:v>704.35999999999967</c:v>
                </c:pt>
                <c:pt idx="470">
                  <c:v>704.13999999999965</c:v>
                </c:pt>
                <c:pt idx="471">
                  <c:v>699.71999999999969</c:v>
                </c:pt>
                <c:pt idx="472">
                  <c:v>699.35999999999967</c:v>
                </c:pt>
                <c:pt idx="473">
                  <c:v>695.84999999999968</c:v>
                </c:pt>
                <c:pt idx="474">
                  <c:v>697.63999999999965</c:v>
                </c:pt>
                <c:pt idx="475">
                  <c:v>691.33999999999969</c:v>
                </c:pt>
                <c:pt idx="476">
                  <c:v>691.83999999999969</c:v>
                </c:pt>
                <c:pt idx="477">
                  <c:v>693.80999999999972</c:v>
                </c:pt>
                <c:pt idx="478">
                  <c:v>695.59999999999968</c:v>
                </c:pt>
                <c:pt idx="479">
                  <c:v>692.99999999999966</c:v>
                </c:pt>
                <c:pt idx="480">
                  <c:v>698.0799999999997</c:v>
                </c:pt>
                <c:pt idx="481">
                  <c:v>703.15999999999974</c:v>
                </c:pt>
                <c:pt idx="482">
                  <c:v>701.71999999999969</c:v>
                </c:pt>
                <c:pt idx="483">
                  <c:v>708.25999999999965</c:v>
                </c:pt>
                <c:pt idx="484">
                  <c:v>706.39999999999964</c:v>
                </c:pt>
                <c:pt idx="485">
                  <c:v>705.52999999999963</c:v>
                </c:pt>
                <c:pt idx="486">
                  <c:v>703.53999999999962</c:v>
                </c:pt>
                <c:pt idx="487">
                  <c:v>710.20999999999958</c:v>
                </c:pt>
                <c:pt idx="488">
                  <c:v>714.5699999999996</c:v>
                </c:pt>
                <c:pt idx="489">
                  <c:v>720.73999999999955</c:v>
                </c:pt>
                <c:pt idx="490">
                  <c:v>723.52999999999952</c:v>
                </c:pt>
                <c:pt idx="491">
                  <c:v>724.40999999999951</c:v>
                </c:pt>
                <c:pt idx="492">
                  <c:v>726.55999999999949</c:v>
                </c:pt>
                <c:pt idx="493">
                  <c:v>728.28999999999951</c:v>
                </c:pt>
                <c:pt idx="494">
                  <c:v>729.4299999999995</c:v>
                </c:pt>
                <c:pt idx="495">
                  <c:v>730.33999999999946</c:v>
                </c:pt>
                <c:pt idx="496">
                  <c:v>730.70999999999947</c:v>
                </c:pt>
                <c:pt idx="497">
                  <c:v>730.6799999999995</c:v>
                </c:pt>
                <c:pt idx="498">
                  <c:v>736.81999999999948</c:v>
                </c:pt>
                <c:pt idx="499">
                  <c:v>739.08999999999946</c:v>
                </c:pt>
                <c:pt idx="500">
                  <c:v>739.50999999999942</c:v>
                </c:pt>
                <c:pt idx="501">
                  <c:v>740.57999999999947</c:v>
                </c:pt>
                <c:pt idx="502">
                  <c:v>742.73999999999944</c:v>
                </c:pt>
                <c:pt idx="503">
                  <c:v>745.62999999999943</c:v>
                </c:pt>
                <c:pt idx="504">
                  <c:v>745.62999999999943</c:v>
                </c:pt>
                <c:pt idx="505">
                  <c:v>745.62999999999943</c:v>
                </c:pt>
                <c:pt idx="506">
                  <c:v>737.34999999999945</c:v>
                </c:pt>
                <c:pt idx="507">
                  <c:v>736.6599999999994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85-49FD-B9C3-A7035358C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2298227"/>
        <c:axId val="78720302"/>
      </c:lineChart>
      <c:catAx>
        <c:axId val="622982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720302"/>
        <c:crosses val="autoZero"/>
        <c:auto val="1"/>
        <c:lblAlgn val="ctr"/>
        <c:lblOffset val="100"/>
        <c:noMultiLvlLbl val="0"/>
      </c:catAx>
      <c:valAx>
        <c:axId val="787203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2982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Beneficio por Casa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Dashboard!$A$11:$A$23</c:f>
              <c:strCache>
                <c:ptCount val="13"/>
                <c:pt idx="0">
                  <c:v>Winamax</c:v>
                </c:pt>
                <c:pt idx="1">
                  <c:v>Yosport</c:v>
                </c:pt>
                <c:pt idx="2">
                  <c:v>Paf</c:v>
                </c:pt>
                <c:pt idx="3">
                  <c:v>Pokerstars</c:v>
                </c:pt>
                <c:pt idx="4">
                  <c:v>Sportium</c:v>
                </c:pt>
                <c:pt idx="5">
                  <c:v>SpeedyBet</c:v>
                </c:pt>
                <c:pt idx="6">
                  <c:v>Casumo</c:v>
                </c:pt>
                <c:pt idx="7">
                  <c:v>Retabet</c:v>
                </c:pt>
                <c:pt idx="8">
                  <c:v>GoldenBull</c:v>
                </c:pt>
                <c:pt idx="9">
                  <c:v>Bet365</c:v>
                </c:pt>
                <c:pt idx="10">
                  <c:v>Botemania</c:v>
                </c:pt>
                <c:pt idx="11">
                  <c:v>Paston</c:v>
                </c:pt>
                <c:pt idx="12">
                  <c:v>Casino Gran Madrid</c:v>
                </c:pt>
              </c:strCache>
            </c:strRef>
          </c:cat>
          <c:val>
            <c:numRef>
              <c:f>Dashboard!$C$11:$C$23</c:f>
              <c:numCache>
                <c:formatCode>\+#,##0.00;\-#,##0.00</c:formatCode>
                <c:ptCount val="13"/>
                <c:pt idx="0">
                  <c:v>180.77000000000004</c:v>
                </c:pt>
                <c:pt idx="1">
                  <c:v>108.83999999999997</c:v>
                </c:pt>
                <c:pt idx="2">
                  <c:v>51.420000000000059</c:v>
                </c:pt>
                <c:pt idx="3">
                  <c:v>128.46</c:v>
                </c:pt>
                <c:pt idx="4">
                  <c:v>169.8</c:v>
                </c:pt>
                <c:pt idx="5">
                  <c:v>-88.300000000000011</c:v>
                </c:pt>
                <c:pt idx="6">
                  <c:v>166.29999999999995</c:v>
                </c:pt>
                <c:pt idx="7">
                  <c:v>0</c:v>
                </c:pt>
                <c:pt idx="8">
                  <c:v>133.40000000000009</c:v>
                </c:pt>
                <c:pt idx="9">
                  <c:v>-47.82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D-44B4-A7EC-CB55D3D54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1067"/>
        <c:axId val="50169493"/>
      </c:barChart>
      <c:catAx>
        <c:axId val="40710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69493"/>
        <c:crosses val="autoZero"/>
        <c:auto val="1"/>
        <c:lblAlgn val="ctr"/>
        <c:lblOffset val="100"/>
        <c:noMultiLvlLbl val="0"/>
      </c:catAx>
      <c:valAx>
        <c:axId val="501694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+#,##0.00;\-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710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27</xdr:row>
      <xdr:rowOff>0</xdr:rowOff>
    </xdr:from>
    <xdr:to>
      <xdr:col>17</xdr:col>
      <xdr:colOff>3480</xdr:colOff>
      <xdr:row>54</xdr:row>
      <xdr:rowOff>189360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9525</xdr:colOff>
      <xdr:row>28</xdr:row>
      <xdr:rowOff>180975</xdr:rowOff>
    </xdr:from>
    <xdr:to>
      <xdr:col>8</xdr:col>
      <xdr:colOff>8475</xdr:colOff>
      <xdr:row>56</xdr:row>
      <xdr:rowOff>179835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9525</xdr:colOff>
      <xdr:row>57</xdr:row>
      <xdr:rowOff>76200</xdr:rowOff>
    </xdr:from>
    <xdr:to>
      <xdr:col>8</xdr:col>
      <xdr:colOff>8475</xdr:colOff>
      <xdr:row>89</xdr:row>
      <xdr:rowOff>75060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57</xdr:row>
      <xdr:rowOff>0</xdr:rowOff>
    </xdr:from>
    <xdr:to>
      <xdr:col>17</xdr:col>
      <xdr:colOff>3480</xdr:colOff>
      <xdr:row>88</xdr:row>
      <xdr:rowOff>189360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4605</xdr:colOff>
      <xdr:row>39</xdr:row>
      <xdr:rowOff>227520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19</xdr:col>
      <xdr:colOff>4605</xdr:colOff>
      <xdr:row>81</xdr:row>
      <xdr:rowOff>227520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84</xdr:row>
      <xdr:rowOff>0</xdr:rowOff>
    </xdr:from>
    <xdr:to>
      <xdr:col>19</xdr:col>
      <xdr:colOff>4605</xdr:colOff>
      <xdr:row>123</xdr:row>
      <xdr:rowOff>227520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126</xdr:row>
      <xdr:rowOff>0</xdr:rowOff>
    </xdr:from>
    <xdr:to>
      <xdr:col>19</xdr:col>
      <xdr:colOff>4605</xdr:colOff>
      <xdr:row>165</xdr:row>
      <xdr:rowOff>227520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J75:J76" totalsRowShown="0">
  <autoFilter ref="J75:J76" xr:uid="{00000000-0009-0000-0100-000001000000}"/>
  <tableColumns count="1">
    <tableColumn id="1" xr3:uid="{00000000-0010-0000-0000-000001000000}" name="Columna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B56:B57" totalsRowShown="0">
  <autoFilter ref="B56:B57" xr:uid="{00000000-0009-0000-0100-000002000000}"/>
  <tableColumns count="1">
    <tableColumn id="1" xr3:uid="{00000000-0010-0000-0100-000001000000}" name="Columna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A4:R2205" totalsRowShown="0">
  <autoFilter ref="A4:R2205" xr:uid="{00000000-0009-0000-0100-000003000000}"/>
  <tableColumns count="18">
    <tableColumn id="1" xr3:uid="{00000000-0010-0000-0200-000001000000}" name="Fecha"/>
    <tableColumn id="2" xr3:uid="{00000000-0010-0000-0200-000002000000}" name="Casa"/>
    <tableColumn id="3" xr3:uid="{00000000-0010-0000-0200-000003000000}" name="Evento"/>
    <tableColumn id="4" xr3:uid="{00000000-0010-0000-0200-000004000000}" name="Mercado"/>
    <tableColumn id="5" xr3:uid="{00000000-0010-0000-0200-000005000000}" name="Selección"/>
    <tableColumn id="6" xr3:uid="{00000000-0010-0000-0200-000006000000}" name="Cuota"/>
    <tableColumn id="7" xr3:uid="{00000000-0010-0000-0200-000007000000}" name="Stake (€)"/>
    <tableColumn id="8" xr3:uid="{00000000-0010-0000-0200-000008000000}" name="Tipo"/>
    <tableColumn id="9" xr3:uid="{00000000-0010-0000-0200-000009000000}" name="Resultado"/>
    <tableColumn id="10" xr3:uid="{00000000-0010-0000-0200-00000A000000}" name="Beneficio (€)"/>
    <tableColumn id="11" xr3:uid="{00000000-0010-0000-0200-00000B000000}" name="Bank acum. (€)"/>
    <tableColumn id="12" xr3:uid="{00000000-0010-0000-0200-00000C000000}" name="ROI apuesta"/>
    <tableColumn id="13" xr3:uid="{00000000-0010-0000-0200-00000D000000}" name="Apuestas hoy (casa)"/>
    <tableColumn id="14" xr3:uid="{00000000-0010-0000-0200-00000E000000}" name="Notas"/>
    <tableColumn id="15" xr3:uid="{00000000-0010-0000-0200-00000F000000}" name="Nº apuesta"/>
    <tableColumn id="16" xr3:uid="{00000000-0010-0000-0200-000010000000}" name="Bank máx. acum. (€)"/>
    <tableColumn id="17" xr3:uid="{00000000-0010-0000-0200-000011000000}" name="Drawdown (€)"/>
    <tableColumn id="18" xr3:uid="{00000000-0010-0000-0200-000012000000}" name="Importe Cash Out (€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6"/>
  <sheetViews>
    <sheetView showGridLines="0" topLeftCell="A31" zoomScaleNormal="100" workbookViewId="0">
      <selection activeCell="Q4" sqref="Q4"/>
    </sheetView>
  </sheetViews>
  <sheetFormatPr defaultColWidth="8.7109375" defaultRowHeight="15"/>
  <cols>
    <col min="1" max="1" width="13" style="1" customWidth="1"/>
    <col min="2" max="2" width="14" style="1" customWidth="1"/>
    <col min="3" max="3" width="13" style="1" customWidth="1"/>
    <col min="4" max="4" width="14" style="1" customWidth="1"/>
    <col min="5" max="5" width="10" style="1" customWidth="1"/>
    <col min="6" max="6" width="14" style="1" customWidth="1"/>
    <col min="7" max="9" width="10" style="1" customWidth="1"/>
    <col min="10" max="10" width="13.85546875" style="1" customWidth="1"/>
    <col min="11" max="11" width="10" style="1" customWidth="1"/>
    <col min="12" max="12" width="12" style="1" customWidth="1"/>
    <col min="13" max="13" width="14" style="1" customWidth="1"/>
    <col min="14" max="14" width="16" style="1" customWidth="1"/>
    <col min="15" max="16" width="13" style="1" customWidth="1"/>
  </cols>
  <sheetData>
    <row r="1" spans="1:18" ht="19.5" customHeight="1">
      <c r="A1" s="178" t="s">
        <v>0</v>
      </c>
      <c r="B1" s="178"/>
      <c r="C1" s="178"/>
      <c r="D1" s="178"/>
      <c r="E1" s="178"/>
      <c r="F1" s="178"/>
      <c r="G1" s="178"/>
      <c r="H1" s="178"/>
    </row>
    <row r="2" spans="1:18" ht="15" customHeight="1">
      <c r="A2" s="179" t="s">
        <v>1</v>
      </c>
      <c r="B2" s="179"/>
      <c r="C2" s="179"/>
      <c r="D2" s="179"/>
      <c r="E2" s="179"/>
      <c r="F2" s="179"/>
      <c r="G2" s="179"/>
      <c r="H2" s="179"/>
    </row>
    <row r="3" spans="1:18" ht="15" customHeight="1">
      <c r="A3" s="2">
        <v>2160</v>
      </c>
    </row>
    <row r="4" spans="1:18" ht="15" customHeight="1">
      <c r="A4" s="187">
        <f>$A$3+SUM(Registro!J5:J604)</f>
        <v>2962.87</v>
      </c>
      <c r="B4" s="187"/>
      <c r="C4" s="188">
        <f>IFERROR(SUM(Registro!J5:J604),0)</f>
        <v>802.86999999999978</v>
      </c>
      <c r="D4" s="188"/>
      <c r="E4" s="189">
        <f>IFERROR(C4/$A$3,0)</f>
        <v>0.37169907407407399</v>
      </c>
      <c r="F4" s="189"/>
      <c r="G4" s="190">
        <f>COUNTIFS(Registro!A5:A604,"&lt;&gt;",Registro!B5:B604,"&lt;&gt;")</f>
        <v>508</v>
      </c>
      <c r="H4" s="190"/>
      <c r="I4" s="182">
        <f>IFERROR(AVERAGEIFS(Registro!F5:F604,Registro!I5:I604,"&lt;&gt;Pendiente",Registro!B5:B604,"&lt;&gt;"),0)</f>
        <v>1.8058636363636356</v>
      </c>
      <c r="J4" s="182"/>
      <c r="K4" s="183">
        <f>IFERROR(AVERAGEIFS(Registro!G5:G604,Registro!I5:I604,"&lt;&gt;Pendiente",Registro!B5:B604,"&lt;&gt;"),0)</f>
        <v>21.351778656126481</v>
      </c>
      <c r="L4" s="183"/>
      <c r="M4" s="184">
        <f>IFERROR(MIN(Registro!Q5:Q604),0)</f>
        <v>-158.61999999999989</v>
      </c>
      <c r="N4" s="184"/>
      <c r="O4" s="185">
        <f>IFERROR(C4/SUMIF(Registro!I5:I604,"&lt;&gt;Pendiente",Registro!G5:G604),0)</f>
        <v>7.4312291743798567E-2</v>
      </c>
      <c r="P4" s="185"/>
      <c r="Q4" s="186">
        <f>IFERROR(M4/MAX(Registro!P5:P604),0)</f>
        <v>-5.4801430323550206E-2</v>
      </c>
      <c r="R4" s="186"/>
    </row>
    <row r="5" spans="1:18" ht="15" customHeight="1">
      <c r="A5" s="187"/>
      <c r="B5" s="187"/>
      <c r="C5" s="188"/>
      <c r="D5" s="188"/>
      <c r="E5" s="189"/>
      <c r="F5" s="189"/>
      <c r="G5" s="190"/>
      <c r="H5" s="190"/>
      <c r="I5" s="182"/>
      <c r="J5" s="182"/>
      <c r="K5" s="183"/>
      <c r="L5" s="183"/>
      <c r="M5" s="184"/>
      <c r="N5" s="184"/>
      <c r="O5" s="185"/>
      <c r="P5" s="185"/>
      <c r="Q5" s="186"/>
      <c r="R5" s="186"/>
    </row>
    <row r="6" spans="1:18" ht="15" customHeight="1">
      <c r="A6" s="187"/>
      <c r="B6" s="187"/>
      <c r="C6" s="188"/>
      <c r="D6" s="188"/>
      <c r="E6" s="189"/>
      <c r="F6" s="189"/>
      <c r="G6" s="190"/>
      <c r="H6" s="190"/>
      <c r="I6" s="182"/>
      <c r="J6" s="182"/>
      <c r="K6" s="183"/>
      <c r="L6" s="183"/>
      <c r="M6" s="184"/>
      <c r="N6" s="184"/>
      <c r="O6" s="185"/>
      <c r="P6" s="185"/>
      <c r="Q6" s="186"/>
      <c r="R6" s="186"/>
    </row>
    <row r="7" spans="1:18" ht="15" customHeight="1">
      <c r="A7" s="180" t="s">
        <v>2</v>
      </c>
      <c r="B7" s="180"/>
      <c r="C7" s="180" t="s">
        <v>3</v>
      </c>
      <c r="D7" s="180"/>
      <c r="E7" s="180" t="s">
        <v>4</v>
      </c>
      <c r="F7" s="180"/>
      <c r="G7" s="180" t="s">
        <v>5</v>
      </c>
      <c r="H7" s="180"/>
      <c r="I7" s="180" t="s">
        <v>6</v>
      </c>
      <c r="J7" s="180"/>
      <c r="K7" s="180" t="s">
        <v>7</v>
      </c>
      <c r="L7" s="180"/>
      <c r="M7" s="180" t="s">
        <v>8</v>
      </c>
      <c r="N7" s="180"/>
      <c r="O7" s="181" t="s">
        <v>9</v>
      </c>
      <c r="P7" s="181"/>
      <c r="Q7" s="181" t="s">
        <v>10</v>
      </c>
      <c r="R7" s="181"/>
    </row>
    <row r="9" spans="1:18" ht="15" customHeight="1">
      <c r="A9" s="3" t="s">
        <v>11</v>
      </c>
    </row>
    <row r="10" spans="1:18" ht="30" customHeight="1">
      <c r="A10" s="4" t="s">
        <v>12</v>
      </c>
      <c r="B10" s="4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  <c r="H10" s="4" t="s">
        <v>19</v>
      </c>
      <c r="I10" s="4" t="s">
        <v>20</v>
      </c>
      <c r="J10" s="4" t="s">
        <v>21</v>
      </c>
      <c r="K10" s="4" t="s">
        <v>22</v>
      </c>
      <c r="L10" s="4" t="s">
        <v>23</v>
      </c>
      <c r="M10" s="4" t="s">
        <v>24</v>
      </c>
      <c r="N10" s="4" t="s">
        <v>25</v>
      </c>
      <c r="O10" s="4" t="s">
        <v>26</v>
      </c>
      <c r="P10" s="4" t="s">
        <v>27</v>
      </c>
    </row>
    <row r="11" spans="1:18" ht="15" customHeight="1">
      <c r="A11" s="5" t="s">
        <v>28</v>
      </c>
      <c r="B11" s="6">
        <v>260</v>
      </c>
      <c r="C11" s="7">
        <f>IFERROR(SUMIF(Registro!B$5:B$604,A11,Registro!J$5:J$604),0)</f>
        <v>180.77000000000004</v>
      </c>
      <c r="D11" s="6">
        <f>B11+C11</f>
        <v>440.77000000000004</v>
      </c>
      <c r="E11" s="8">
        <f>IFERROR(C11/B11,0)</f>
        <v>0.69526923076923097</v>
      </c>
      <c r="F11" s="9">
        <f>COUNTIFS(Registro!B$5:B$604,A11,Registro!A$5:A$604,"&lt;&gt;")</f>
        <v>100</v>
      </c>
      <c r="G11" s="9">
        <f>COUNTIFS(Registro!B$5:B$604,A11,Registro!I$5:I$604,"Ganada")</f>
        <v>54</v>
      </c>
      <c r="H11" s="9">
        <f>COUNTIFS(Registro!B$5:B$604,A11,Registro!I$5:I$604,"Perdida")</f>
        <v>37</v>
      </c>
      <c r="I11" s="10">
        <f>COUNTIFS(Registro!B$5:B$604,A11,Registro!I$5:I$604,"Anulada")</f>
        <v>8</v>
      </c>
      <c r="J11" s="10">
        <f>COUNTIFS(Registro!B$5:B$604,A11,Registro!I$5:I$604,"Pendiente")</f>
        <v>1</v>
      </c>
      <c r="K11" s="8">
        <f>IFERROR(G11/(G11+H11),0)</f>
        <v>0.59340659340659341</v>
      </c>
      <c r="L11" s="11">
        <f>IFERROR(AVERAGEIFS(Registro!F$5:F$604,Registro!B$5:B$604,A11),0)</f>
        <v>1.7805000000000004</v>
      </c>
      <c r="M11" s="6">
        <f>IFERROR(AVERAGEIFS(Registro!G$5:G$604,Registro!B$5:B$604,A11),0)</f>
        <v>23.89</v>
      </c>
      <c r="N11" s="7">
        <f>IFERROR(AVERAGEIFS(Registro!J$5:J$604,Registro!B$5:B$604,A11,Registro!I$5:I$604,"&lt;&gt;Pendiente"),0)</f>
        <v>1.8259595959595964</v>
      </c>
      <c r="O11" s="10">
        <f ca="1">COUNTIFS(Registro!B$5:B$604,A11,Registro!A$5:A$604,TODAY())</f>
        <v>6</v>
      </c>
      <c r="P11" s="10" t="str">
        <f ca="1">IF(O11&gt;=10,"🔴 LÍMITE",IF(O11&gt;=8,"🟠 CERCA","🟢 OK"))</f>
        <v>🟢 OK</v>
      </c>
    </row>
    <row r="12" spans="1:18" ht="15" customHeight="1">
      <c r="A12" s="12" t="s">
        <v>29</v>
      </c>
      <c r="B12" s="13">
        <v>200</v>
      </c>
      <c r="C12" s="14">
        <f>IFERROR(SUMIF(Registro!B$5:B$604,A12,Registro!J$5:J$604),0)</f>
        <v>108.83999999999997</v>
      </c>
      <c r="D12" s="13">
        <f>B12+C12</f>
        <v>308.83999999999997</v>
      </c>
      <c r="E12" s="15">
        <f>IFERROR(C12/B12,0)</f>
        <v>0.54419999999999991</v>
      </c>
      <c r="F12" s="16">
        <f>COUNTIFS(Registro!B$5:B$604,A12,Registro!A$5:A$604,"&lt;&gt;")</f>
        <v>24</v>
      </c>
      <c r="G12" s="16">
        <f>COUNTIFS(Registro!B$5:B$604,A12,Registro!I$5:I$604,"Ganada")</f>
        <v>19</v>
      </c>
      <c r="H12" s="16">
        <f>COUNTIFS(Registro!B$5:B$604,A12,Registro!I$5:I$604,"Perdida")</f>
        <v>5</v>
      </c>
      <c r="I12" s="17">
        <f>COUNTIFS(Registro!B$5:B$604,A12,Registro!I$5:I$604,"Anulada")</f>
        <v>0</v>
      </c>
      <c r="J12" s="17">
        <f>COUNTIFS(Registro!B$5:B$604,A12,Registro!I$5:I$604,"Pendiente")</f>
        <v>0</v>
      </c>
      <c r="K12" s="15">
        <f>IFERROR(G12/(G12+H12),0)</f>
        <v>0.79166666666666663</v>
      </c>
      <c r="L12" s="18">
        <f>IFERROR(AVERAGEIFS(Registro!F$5:F$604,Registro!B$5:B$604,A12),0)</f>
        <v>1.5995833333333334</v>
      </c>
      <c r="M12" s="13">
        <f>IFERROR(AVERAGEIFS(Registro!G$5:G$604,Registro!B$5:B$604,A12),0)</f>
        <v>21.083333333333332</v>
      </c>
      <c r="N12" s="14">
        <f>IFERROR(AVERAGEIFS(Registro!J$5:J$604,Registro!B$5:B$604,A12,Registro!I$5:I$604,"&lt;&gt;Pendiente"),0)</f>
        <v>4.5349999999999993</v>
      </c>
      <c r="O12" s="17">
        <f ca="1">COUNTIFS(Registro!B$5:B$604,A12,Registro!A$5:A$604,TODAY())</f>
        <v>0</v>
      </c>
      <c r="P12" s="17" t="str">
        <f ca="1">IF(O12&gt;=10,"🔴 LÍMITE",IF(O12&gt;=8,"🟠 CERCA","🟢 OK"))</f>
        <v>🟢 OK</v>
      </c>
    </row>
    <row r="13" spans="1:18" ht="15" customHeight="1">
      <c r="A13" s="19" t="s">
        <v>30</v>
      </c>
      <c r="B13" s="20">
        <v>200</v>
      </c>
      <c r="C13" s="21">
        <f>IFERROR(SUMIF(Registro!B$5:B$604,A13,Registro!J$5:J$604),0)</f>
        <v>51.420000000000059</v>
      </c>
      <c r="D13" s="20">
        <f>B13+C13</f>
        <v>251.42000000000007</v>
      </c>
      <c r="E13" s="22">
        <f>IFERROR(C13/B13,0)</f>
        <v>0.25710000000000027</v>
      </c>
      <c r="F13" s="23">
        <f>COUNTIFS(Registro!B$5:B$604,A13,Registro!A$5:A$604,"&lt;&gt;")</f>
        <v>100</v>
      </c>
      <c r="G13" s="23">
        <f>COUNTIFS(Registro!B$5:B$604,A13,Registro!I$5:I$604,"Ganada")</f>
        <v>58</v>
      </c>
      <c r="H13" s="23">
        <f>COUNTIFS(Registro!B$5:B$604,A13,Registro!I$5:I$604,"Perdida")</f>
        <v>39</v>
      </c>
      <c r="I13" s="24">
        <f>COUNTIFS(Registro!B$5:B$604,A13,Registro!I$5:I$604,"Anulada")</f>
        <v>3</v>
      </c>
      <c r="J13" s="24">
        <f>COUNTIFS(Registro!B$5:B$604,A13,Registro!I$5:I$604,"Pendiente")</f>
        <v>0</v>
      </c>
      <c r="K13" s="22">
        <f>IFERROR(G13/(G13+H13),0)</f>
        <v>0.59793814432989689</v>
      </c>
      <c r="L13" s="25">
        <f>IFERROR(AVERAGEIFS(Registro!F$5:F$604,Registro!B$5:B$604,A13),0)</f>
        <v>1.7958999999999992</v>
      </c>
      <c r="M13" s="20">
        <f>IFERROR(AVERAGEIFS(Registro!G$5:G$604,Registro!B$5:B$604,A13),0)</f>
        <v>20.79</v>
      </c>
      <c r="N13" s="21">
        <f>IFERROR(AVERAGEIFS(Registro!J$5:J$604,Registro!B$5:B$604,A13,Registro!I$5:I$604,"&lt;&gt;Pendiente"),0)</f>
        <v>0.51420000000000055</v>
      </c>
      <c r="O13" s="24">
        <f ca="1">COUNTIFS(Registro!B$5:B$604,A13,Registro!A$5:A$604,TODAY())</f>
        <v>10</v>
      </c>
      <c r="P13" s="24" t="str">
        <f ca="1">IF(O13&gt;=10,"🔴 LÍMITE",IF(O13&gt;=8,"🟠 CERCA","🟢 OK"))</f>
        <v>🔴 LÍMITE</v>
      </c>
    </row>
    <row r="14" spans="1:18" ht="15" customHeight="1">
      <c r="A14" s="26" t="s">
        <v>31</v>
      </c>
      <c r="B14" s="27">
        <v>200</v>
      </c>
      <c r="C14" s="28">
        <f>IFERROR(SUMIF(Registro!B$5:B$604,A14,Registro!J$5:J$604),0)</f>
        <v>128.46</v>
      </c>
      <c r="D14" s="27">
        <f>B14+C14</f>
        <v>328.46000000000004</v>
      </c>
      <c r="E14" s="29">
        <f>IFERROR(C14/B14,0)</f>
        <v>0.64230000000000009</v>
      </c>
      <c r="F14" s="30">
        <f>COUNTIFS(Registro!B$5:B$604,A14,Registro!A$5:A$604,"&lt;&gt;")</f>
        <v>57</v>
      </c>
      <c r="G14" s="30">
        <f>COUNTIFS(Registro!B$5:B$604,A14,Registro!I$5:I$604,"Ganada")</f>
        <v>33</v>
      </c>
      <c r="H14" s="30">
        <f>COUNTIFS(Registro!B$5:B$604,A14,Registro!I$5:I$604,"Perdida")</f>
        <v>24</v>
      </c>
      <c r="I14" s="31">
        <f>COUNTIFS(Registro!B$5:B$604,A14,Registro!I$5:I$604,"Anulada")</f>
        <v>0</v>
      </c>
      <c r="J14" s="31">
        <f>COUNTIFS(Registro!B$5:B$604,A14,Registro!I$5:I$604,"Pendiente")</f>
        <v>0</v>
      </c>
      <c r="K14" s="29">
        <f>IFERROR(G14/(G14+H14),0)</f>
        <v>0.57894736842105265</v>
      </c>
      <c r="L14" s="32">
        <f>IFERROR(AVERAGEIFS(Registro!F$5:F$604,Registro!B$5:B$604,A14),0)</f>
        <v>1.9115789473684206</v>
      </c>
      <c r="M14" s="27">
        <f>IFERROR(AVERAGEIFS(Registro!G$5:G$604,Registro!B$5:B$604,A14),0)</f>
        <v>16.526315789473685</v>
      </c>
      <c r="N14" s="28">
        <f>IFERROR(AVERAGEIFS(Registro!J$5:J$604,Registro!B$5:B$604,A14,Registro!I$5:I$604,"&lt;&gt;Pendiente"),0)</f>
        <v>2.2536842105263157</v>
      </c>
      <c r="O14" s="31">
        <f ca="1">COUNTIFS(Registro!B$5:B$604,A14,Registro!A$5:A$604,TODAY())</f>
        <v>3</v>
      </c>
      <c r="P14" s="31" t="str">
        <f ca="1">IF(O14&gt;=10,"🔴 LÍMITE",IF(O14&gt;=8,"🟠 CERCA","🟢 OK"))</f>
        <v>🟢 OK</v>
      </c>
    </row>
    <row r="15" spans="1:18" ht="15" customHeight="1">
      <c r="A15" s="33" t="s">
        <v>32</v>
      </c>
      <c r="B15" s="34">
        <v>100</v>
      </c>
      <c r="C15" s="35">
        <f>IFERROR(SUMIF(Registro!B$5:B$604,A15,Registro!J$5:J$604),0)</f>
        <v>169.8</v>
      </c>
      <c r="D15" s="34">
        <f>B15+C15</f>
        <v>269.8</v>
      </c>
      <c r="E15" s="36">
        <f>IFERROR(C15/B15,0)</f>
        <v>1.6980000000000002</v>
      </c>
      <c r="F15" s="37">
        <f>COUNTIFS(Registro!B$5:B$604,A15,Registro!A$5:A$604,"&lt;&gt;")</f>
        <v>74</v>
      </c>
      <c r="G15" s="37">
        <f>COUNTIFS(Registro!B$5:B$604,A15,Registro!I$5:I$604,"Ganada")</f>
        <v>46</v>
      </c>
      <c r="H15" s="37">
        <f>COUNTIFS(Registro!B$5:B$604,A15,Registro!I$5:I$604,"Perdida")</f>
        <v>26</v>
      </c>
      <c r="I15" s="38">
        <f>COUNTIFS(Registro!B$5:B$604,A15,Registro!I$5:I$604,"Anulada")</f>
        <v>2</v>
      </c>
      <c r="J15" s="38">
        <f>COUNTIFS(Registro!B$5:B$604,A15,Registro!I$5:I$604,"Pendiente")</f>
        <v>0</v>
      </c>
      <c r="K15" s="36">
        <f>IFERROR(G15/(G15+H15),0)</f>
        <v>0.63888888888888884</v>
      </c>
      <c r="L15" s="39">
        <f>IFERROR(AVERAGEIFS(Registro!F$5:F$604,Registro!B$5:B$604,A15),0)</f>
        <v>1.7429324324324325</v>
      </c>
      <c r="M15" s="34">
        <f>IFERROR(AVERAGEIFS(Registro!G$5:G$604,Registro!B$5:B$604,A15),0)</f>
        <v>22.72972972972973</v>
      </c>
      <c r="N15" s="35">
        <f>IFERROR(AVERAGEIFS(Registro!J$5:J$604,Registro!B$5:B$604,A15,Registro!I$5:I$604,"&lt;&gt;Pendiente"),0)</f>
        <v>2.2945945945945949</v>
      </c>
      <c r="O15" s="38">
        <f ca="1">COUNTIFS(Registro!B$5:B$604,A15,Registro!A$5:A$604,TODAY())</f>
        <v>2</v>
      </c>
      <c r="P15" s="38" t="str">
        <f ca="1">IF(O15&gt;=10,"🔴 LÍMITE",IF(O15&gt;=8,"🟠 CERCA","🟢 OK"))</f>
        <v>🟢 OK</v>
      </c>
    </row>
    <row r="16" spans="1:18" ht="15" customHeight="1">
      <c r="A16" s="40" t="s">
        <v>33</v>
      </c>
      <c r="B16" s="41">
        <v>100</v>
      </c>
      <c r="C16" s="42">
        <f>IFERROR(SUMIF(Registro!B$5:B$604,A16,Registro!J$5:J$604),0)</f>
        <v>-88.300000000000011</v>
      </c>
      <c r="D16" s="41">
        <f>B16+C16</f>
        <v>11.699999999999989</v>
      </c>
      <c r="E16" s="43">
        <f>IFERROR(C16/B16,0)</f>
        <v>-0.88300000000000012</v>
      </c>
      <c r="F16" s="44">
        <f>COUNTIFS(Registro!B$5:B$604,A16,Registro!A$5:A$604,"&lt;&gt;")</f>
        <v>61</v>
      </c>
      <c r="G16" s="44">
        <f>COUNTIFS(Registro!B$5:B$604,A16,Registro!I$5:I$604,"Ganada")</f>
        <v>32</v>
      </c>
      <c r="H16" s="44">
        <f>COUNTIFS(Registro!B$5:B$604,A16,Registro!I$5:I$604,"Perdida")</f>
        <v>28</v>
      </c>
      <c r="I16" s="45">
        <f>COUNTIFS(Registro!B$5:B$604,A16,Registro!I$5:I$604,"Anulada")</f>
        <v>0</v>
      </c>
      <c r="J16" s="45">
        <f>COUNTIFS(Registro!B$5:B$604,A16,Registro!I$5:I$604,"Pendiente")</f>
        <v>1</v>
      </c>
      <c r="K16" s="43">
        <f>IFERROR(G16/(G16+H16),0)</f>
        <v>0.53333333333333333</v>
      </c>
      <c r="L16" s="46">
        <f>IFERROR(AVERAGEIFS(Registro!F$5:F$604,Registro!B$5:B$604,A16),0)</f>
        <v>1.8413114754098359</v>
      </c>
      <c r="M16" s="41">
        <f>IFERROR(AVERAGEIFS(Registro!G$5:G$604,Registro!B$5:B$604,A16),0)</f>
        <v>20.475409836065573</v>
      </c>
      <c r="N16" s="42">
        <f>IFERROR(AVERAGEIFS(Registro!J$5:J$604,Registro!B$5:B$604,A16,Registro!I$5:I$604,"&lt;&gt;Pendiente"),0)</f>
        <v>-1.4716666666666669</v>
      </c>
      <c r="O16" s="45">
        <f ca="1">COUNTIFS(Registro!B$5:B$604,A16,Registro!A$5:A$604,TODAY())</f>
        <v>2</v>
      </c>
      <c r="P16" s="45" t="str">
        <f ca="1">IF(O16&gt;=10,"🔴 LÍMITE",IF(O16&gt;=8,"🟠 CERCA","🟢 OK"))</f>
        <v>🟢 OK</v>
      </c>
    </row>
    <row r="17" spans="1:16" ht="15" customHeight="1">
      <c r="A17" s="47" t="s">
        <v>34</v>
      </c>
      <c r="B17" s="48">
        <v>17.690000000000001</v>
      </c>
      <c r="C17" s="49">
        <f>IFERROR(SUMIF(Registro!B$5:B$604,A17,Registro!J$5:J$604),0)</f>
        <v>166.29999999999995</v>
      </c>
      <c r="D17" s="48">
        <f>B17+C17</f>
        <v>183.98999999999995</v>
      </c>
      <c r="E17" s="50">
        <f>IFERROR(C17/B17,0)</f>
        <v>9.4007914075748982</v>
      </c>
      <c r="F17" s="51">
        <f>COUNTIFS(Registro!B$5:B$604,A17,Registro!A$5:A$604,"&lt;&gt;")</f>
        <v>20</v>
      </c>
      <c r="G17" s="51">
        <f>COUNTIFS(Registro!B$5:B$604,A17,Registro!I$5:I$604,"Ganada")</f>
        <v>16</v>
      </c>
      <c r="H17" s="51">
        <f>COUNTIFS(Registro!B$5:B$604,A17,Registro!I$5:I$604,"Perdida")</f>
        <v>3</v>
      </c>
      <c r="I17" s="52">
        <f>COUNTIFS(Registro!B$5:B$604,A17,Registro!I$5:I$604,"Anulada")</f>
        <v>1</v>
      </c>
      <c r="J17" s="52">
        <f>COUNTIFS(Registro!B$5:B$604,A17,Registro!I$5:I$604,"Pendiente")</f>
        <v>0</v>
      </c>
      <c r="K17" s="50">
        <f>IFERROR(G17/(G17+H17),0)</f>
        <v>0.84210526315789469</v>
      </c>
      <c r="L17" s="53">
        <f>IFERROR(AVERAGEIFS(Registro!F$5:F$604,Registro!B$5:B$604,A17),0)</f>
        <v>1.5939999999999996</v>
      </c>
      <c r="M17" s="48">
        <f>IFERROR(AVERAGEIFS(Registro!G$5:G$604,Registro!B$5:B$604,A17),0)</f>
        <v>28.8</v>
      </c>
      <c r="N17" s="49">
        <f>IFERROR(AVERAGEIFS(Registro!J$5:J$604,Registro!B$5:B$604,A17,Registro!I$5:I$604,"&lt;&gt;Pendiente"),0)</f>
        <v>8.3149999999999977</v>
      </c>
      <c r="O17" s="52">
        <f ca="1">COUNTIFS(Registro!B$5:B$604,A17,Registro!A$5:A$604,TODAY())</f>
        <v>0</v>
      </c>
      <c r="P17" s="52" t="str">
        <f ca="1">IF(O17&gt;=10,"🔴 LÍMITE",IF(O17&gt;=8,"🟠 CERCA","🟢 OK"))</f>
        <v>🟢 OK</v>
      </c>
    </row>
    <row r="18" spans="1:16" ht="15" customHeight="1">
      <c r="A18" s="54" t="s">
        <v>35</v>
      </c>
      <c r="B18" s="55">
        <v>0</v>
      </c>
      <c r="C18" s="56">
        <f>IFERROR(SUMIF(Registro!B$5:B$604,A18,Registro!J$5:J$604),0)</f>
        <v>0</v>
      </c>
      <c r="D18" s="55">
        <f>B18+C18</f>
        <v>0</v>
      </c>
      <c r="E18" s="57">
        <f>IFERROR(C18/B18,0)</f>
        <v>0</v>
      </c>
      <c r="F18" s="58">
        <f>COUNTIFS(Registro!B$5:B$604,A18,Registro!A$5:A$604,"&lt;&gt;")</f>
        <v>0</v>
      </c>
      <c r="G18" s="58">
        <f>COUNTIFS(Registro!B$5:B$604,A18,Registro!I$5:I$604,"Ganada")</f>
        <v>0</v>
      </c>
      <c r="H18" s="58">
        <f>COUNTIFS(Registro!B$5:B$604,A18,Registro!I$5:I$604,"Perdida")</f>
        <v>0</v>
      </c>
      <c r="I18" s="59">
        <f>COUNTIFS(Registro!B$5:B$604,A18,Registro!I$5:I$604,"Anulada")</f>
        <v>0</v>
      </c>
      <c r="J18" s="59">
        <f>COUNTIFS(Registro!B$5:B$604,A18,Registro!I$5:I$604,"Pendiente")</f>
        <v>0</v>
      </c>
      <c r="K18" s="57">
        <f>IFERROR(G18/(G18+H18),0)</f>
        <v>0</v>
      </c>
      <c r="L18" s="60">
        <f>IFERROR(AVERAGEIFS(Registro!F$5:F$604,Registro!B$5:B$604,A18),0)</f>
        <v>0</v>
      </c>
      <c r="M18" s="55">
        <f>IFERROR(AVERAGEIFS(Registro!G$5:G$604,Registro!B$5:B$604,A18),0)</f>
        <v>0</v>
      </c>
      <c r="N18" s="56">
        <f>IFERROR(AVERAGEIFS(Registro!J$5:J$604,Registro!B$5:B$604,A18,Registro!I$5:I$604,"&lt;&gt;Pendiente"),0)</f>
        <v>0</v>
      </c>
      <c r="O18" s="59">
        <f ca="1">COUNTIFS(Registro!B$5:B$604,A18,Registro!A$5:A$604,TODAY())</f>
        <v>0</v>
      </c>
      <c r="P18" s="59" t="str">
        <f ca="1">IF(O18&gt;=10,"🔴 LÍMITE",IF(O18&gt;=8,"🟠 CERCA","🟢 OK"))</f>
        <v>🟢 OK</v>
      </c>
    </row>
    <row r="19" spans="1:16" ht="15" customHeight="1">
      <c r="A19" s="61" t="s">
        <v>36</v>
      </c>
      <c r="B19" s="62">
        <v>100</v>
      </c>
      <c r="C19" s="63">
        <f>IFERROR(SUMIF(Registro!B$5:B$604,A19,Registro!J$5:J$604),0)</f>
        <v>133.40000000000009</v>
      </c>
      <c r="D19" s="62">
        <f>B19+C19</f>
        <v>233.40000000000009</v>
      </c>
      <c r="E19" s="64">
        <f>IFERROR(C19/B19,0)</f>
        <v>1.334000000000001</v>
      </c>
      <c r="F19" s="65">
        <f>COUNTIFS(Registro!B$5:B$604,A19,Registro!A$5:A$604,"&lt;&gt;")</f>
        <v>64</v>
      </c>
      <c r="G19" s="65">
        <f>COUNTIFS(Registro!B$5:B$604,A19,Registro!I$5:I$604,"Ganada")</f>
        <v>39</v>
      </c>
      <c r="H19" s="65">
        <f>COUNTIFS(Registro!B$5:B$604,A19,Registro!I$5:I$604,"Perdida")</f>
        <v>25</v>
      </c>
      <c r="I19" s="66">
        <f>COUNTIFS(Registro!B$5:B$604,A19,Registro!I$5:I$604,"Anulada")</f>
        <v>0</v>
      </c>
      <c r="J19" s="66">
        <f>COUNTIFS(Registro!B$5:B$604,A19,Registro!I$5:I$604,"Pendiente")</f>
        <v>0</v>
      </c>
      <c r="K19" s="64">
        <f>IFERROR(G19/(G19+H19),0)</f>
        <v>0.609375</v>
      </c>
      <c r="L19" s="67">
        <f>IFERROR(AVERAGEIFS(Registro!F$5:F$604,Registro!B$5:B$604,A19),0)</f>
        <v>1.9156250000000004</v>
      </c>
      <c r="M19" s="62">
        <f>IFERROR(AVERAGEIFS(Registro!G$5:G$604,Registro!B$5:B$604,A19),0)</f>
        <v>20.328125</v>
      </c>
      <c r="N19" s="63">
        <f>IFERROR(AVERAGEIFS(Registro!J$5:J$604,Registro!B$5:B$604,A19,Registro!I$5:I$604,"&lt;&gt;Pendiente"),0)</f>
        <v>2.0843750000000014</v>
      </c>
      <c r="O19" s="66">
        <f ca="1">COUNTIFS(Registro!B$5:B$604,A19,Registro!A$5:A$604,TODAY())</f>
        <v>0</v>
      </c>
      <c r="P19" s="66" t="str">
        <f ca="1">IF(O19&gt;=10,"🔴 LÍMITE",IF(O19&gt;=8,"🟠 CERCA","🟢 OK"))</f>
        <v>🟢 OK</v>
      </c>
    </row>
    <row r="20" spans="1:16" ht="15" customHeight="1">
      <c r="A20" s="68" t="s">
        <v>37</v>
      </c>
      <c r="B20" s="69">
        <v>55</v>
      </c>
      <c r="C20" s="70">
        <f>IFERROR(SUMIF(Registro!B$5:B$604,A20,Registro!J$5:J$604),0)</f>
        <v>-47.82</v>
      </c>
      <c r="D20" s="69">
        <f>B20+C20</f>
        <v>7.18</v>
      </c>
      <c r="E20" s="71"/>
      <c r="F20" s="72">
        <f>COUNTIFS(Registro!B$5:B$604,A20,Registro!A$5:A$604,"&lt;&gt;")</f>
        <v>8</v>
      </c>
      <c r="G20" s="72">
        <f>COUNTIFS(Registro!B$5:B$604,A20,Registro!I$5:I$604,"Ganada")</f>
        <v>3</v>
      </c>
      <c r="H20" s="72">
        <f>COUNTIFS(Registro!B$5:B$604,A20,Registro!I$5:I$604,"Perdida")</f>
        <v>4</v>
      </c>
      <c r="I20" s="73">
        <f>COUNTIFS(Registro!B$5:B$604,A20,Registro!I$5:I$604,"Anulada")</f>
        <v>1</v>
      </c>
      <c r="J20" s="73">
        <f>COUNTIFS(Registro!B$5:B$604,A20,Registro!I$5:I$604,"Pendiente")</f>
        <v>0</v>
      </c>
      <c r="K20" s="71">
        <f>IFERROR(G20/(G20+H20),0)</f>
        <v>0.42857142857142855</v>
      </c>
      <c r="L20" s="74">
        <f>IFERROR(AVERAGEIFS(Registro!F$5:F$604,Registro!B$5:B$604,A20),0)</f>
        <v>2.0337499999999999</v>
      </c>
      <c r="M20" s="69">
        <f>IFERROR(AVERAGEIFS(Registro!G$5:G$604,Registro!B$5:B$604,A20),0)</f>
        <v>17.5</v>
      </c>
      <c r="N20" s="70">
        <f>IFERROR(AVERAGEIFS(Registro!J$5:J$604,Registro!B$5:B$604,A20,Registro!I$5:I$604,"&lt;&gt;Pendiente"),0)</f>
        <v>-5.9775</v>
      </c>
      <c r="O20" s="73">
        <f ca="1">COUNTIFS(Registro!B$5:B$604,A20,Registro!A$5:A$604,TODAY())</f>
        <v>0</v>
      </c>
      <c r="P20" s="73" t="str">
        <f ca="1">IF(O20&gt;=10,"🔴 LÍMITE",IF(O20&gt;=8,"🟠 CERCA","🟢 OK"))</f>
        <v>🟢 OK</v>
      </c>
    </row>
    <row r="21" spans="1:16" ht="15" customHeight="1">
      <c r="A21" s="75" t="s">
        <v>38</v>
      </c>
      <c r="B21" s="76">
        <v>0</v>
      </c>
      <c r="C21" s="77">
        <f>IFERROR(SUMIF(Registro!B$5:B$604,A21,Registro!J$5:J$604),0)</f>
        <v>0</v>
      </c>
      <c r="D21" s="76">
        <f>B21+C21</f>
        <v>0</v>
      </c>
      <c r="E21" s="78">
        <f>IFERROR(C21/B21,0)</f>
        <v>0</v>
      </c>
      <c r="F21" s="79">
        <f>COUNTIFS(Registro!B$5:B$604,A21,Registro!A$5:A$604,"&lt;&gt;")</f>
        <v>0</v>
      </c>
      <c r="G21" s="79">
        <f>COUNTIFS(Registro!B$5:B$604,A21,Registro!I$5:I$604,"Ganada")</f>
        <v>0</v>
      </c>
      <c r="H21" s="79">
        <f>COUNTIFS(Registro!B$5:B$604,A21,Registro!I$5:I$604,"Perdida")</f>
        <v>0</v>
      </c>
      <c r="I21" s="80">
        <f>COUNTIFS(Registro!B$5:B$604,A21,Registro!I$5:I$604,"Anulada")</f>
        <v>0</v>
      </c>
      <c r="J21" s="80">
        <f>COUNTIFS(Registro!B$5:B$604,A21,Registro!I$5:I$604,"Pendiente")</f>
        <v>0</v>
      </c>
      <c r="K21" s="78">
        <f>IFERROR(G21/(G21+H21),0)</f>
        <v>0</v>
      </c>
      <c r="L21" s="81">
        <f>IFERROR(AVERAGEIFS(Registro!F$5:F$604,Registro!B$5:B$604,A21),0)</f>
        <v>0</v>
      </c>
      <c r="M21" s="76">
        <f>IFERROR(AVERAGEIFS(Registro!G$5:G$604,Registro!B$5:B$604,A21),0)</f>
        <v>0</v>
      </c>
      <c r="N21" s="77">
        <f>IFERROR(AVERAGEIFS(Registro!J$5:J$604,Registro!B$5:B$604,A21,Registro!I$5:I$604,"&lt;&gt;Pendiente"),0)</f>
        <v>0</v>
      </c>
      <c r="O21" s="80">
        <f ca="1">COUNTIFS(Registro!B$5:B$604,A21,Registro!A$5:A$604,TODAY())</f>
        <v>0</v>
      </c>
      <c r="P21" s="80" t="str">
        <f ca="1">IF(O21&gt;=10,"🔴 LÍMITE",IF(O21&gt;=8,"🟠 CERCA","🟢 OK"))</f>
        <v>🟢 OK</v>
      </c>
    </row>
    <row r="22" spans="1:16" ht="15" customHeight="1">
      <c r="A22" s="82" t="s">
        <v>39</v>
      </c>
      <c r="B22" s="83">
        <v>0</v>
      </c>
      <c r="C22" s="84">
        <f>IFERROR(SUMIF(Registro!B$5:B$604,A22,Registro!J$5:J$604),0)</f>
        <v>0</v>
      </c>
      <c r="D22" s="83">
        <f>B22+C22</f>
        <v>0</v>
      </c>
      <c r="E22" s="85">
        <f>IFERROR(C22/B22,0)</f>
        <v>0</v>
      </c>
      <c r="F22" s="86">
        <f>COUNTIFS(Registro!B$5:B$604,A22,Registro!A$5:A$604,"&lt;&gt;")</f>
        <v>0</v>
      </c>
      <c r="G22" s="86">
        <f>COUNTIFS(Registro!B$5:B$604,A22,Registro!I$5:I$604,"Ganada")</f>
        <v>0</v>
      </c>
      <c r="H22" s="86">
        <f>COUNTIFS(Registro!B$5:B$604,A22,Registro!I$5:I$604,"Perdida")</f>
        <v>0</v>
      </c>
      <c r="I22" s="87">
        <f>COUNTIFS(Registro!B$5:B$604,A22,Registro!I$5:I$604,"Anulada")</f>
        <v>0</v>
      </c>
      <c r="J22" s="87">
        <f>COUNTIFS(Registro!B$5:B$604,A22,Registro!I$5:I$604,"Pendiente")</f>
        <v>0</v>
      </c>
      <c r="K22" s="85">
        <f>IFERROR(G22/(G22+H22),0)</f>
        <v>0</v>
      </c>
      <c r="L22" s="88">
        <f>IFERROR(AVERAGEIFS(Registro!F$5:F$604,Registro!B$5:B$604,A22),0)</f>
        <v>0</v>
      </c>
      <c r="M22" s="83">
        <f>IFERROR(AVERAGEIFS(Registro!G$5:G$604,Registro!B$5:B$604,A22),0)</f>
        <v>0</v>
      </c>
      <c r="N22" s="84">
        <f>IFERROR(AVERAGEIFS(Registro!J$5:J$604,Registro!B$5:B$604,A22,Registro!I$5:I$604,"&lt;&gt;Pendiente"),0)</f>
        <v>0</v>
      </c>
      <c r="O22" s="87">
        <f ca="1">COUNTIFS(Registro!B$5:B$604,A22,Registro!A$5:A$604,TODAY())</f>
        <v>0</v>
      </c>
      <c r="P22" s="87" t="str">
        <f ca="1">IF(O22&gt;=10,"🔴 LÍMITE",IF(O22&gt;=8,"🟠 CERCA","🟢 OK"))</f>
        <v>🟢 OK</v>
      </c>
    </row>
    <row r="23" spans="1:16" ht="15" customHeight="1">
      <c r="A23" s="89" t="s">
        <v>40</v>
      </c>
      <c r="B23" s="90">
        <v>0</v>
      </c>
      <c r="C23" s="91">
        <f>IFERROR(SUMIF(Registro!B$5:B$604,A23,Registro!J$5:J$604),0)</f>
        <v>0</v>
      </c>
      <c r="D23" s="90">
        <f>B23+C23</f>
        <v>0</v>
      </c>
      <c r="E23" s="92">
        <f>IFERROR(C23/B23,0)</f>
        <v>0</v>
      </c>
      <c r="F23" s="93">
        <f>COUNTIFS(Registro!B$5:B$604,A23,Registro!A$5:A$604,"&lt;&gt;")</f>
        <v>0</v>
      </c>
      <c r="G23" s="93">
        <f>COUNTIFS(Registro!B$5:B$604,A23,Registro!I$5:I$604,"Ganada")</f>
        <v>0</v>
      </c>
      <c r="H23" s="93">
        <f>COUNTIFS(Registro!B$5:B$604,A23,Registro!I$5:I$604,"Perdida")</f>
        <v>0</v>
      </c>
      <c r="I23" s="94">
        <f>COUNTIFS(Registro!B$5:B$604,A23,Registro!I$5:I$604,"Anulada")</f>
        <v>0</v>
      </c>
      <c r="J23" s="94">
        <f>COUNTIFS(Registro!B$5:B$604,A23,Registro!I$5:I$604,"Pendiente")</f>
        <v>0</v>
      </c>
      <c r="K23" s="92">
        <f>IFERROR(G23/(G23+H23),0)</f>
        <v>0</v>
      </c>
      <c r="L23" s="95">
        <f>IFERROR(AVERAGEIFS(Registro!F$5:F$604,Registro!B$5:B$604,A23),0)</f>
        <v>0</v>
      </c>
      <c r="M23" s="90">
        <f>IFERROR(AVERAGEIFS(Registro!G$5:G$604,Registro!B$5:B$604,A23),0)</f>
        <v>0</v>
      </c>
      <c r="N23" s="91">
        <f>IFERROR(AVERAGEIFS(Registro!J$5:J$604,Registro!B$5:B$604,A23,Registro!I$5:I$604,"&lt;&gt;Pendiente"),0)</f>
        <v>0</v>
      </c>
      <c r="O23" s="94">
        <f ca="1">COUNTIFS(Registro!B$5:B$604,A23,Registro!A$5:A$604,TODAY())</f>
        <v>0</v>
      </c>
      <c r="P23" s="94" t="str">
        <f ca="1">IF(O23&gt;=10,"🔴 LÍMITE",IF(O23&gt;=8,"🟠 CERCA","🟢 OK"))</f>
        <v>🟢 OK</v>
      </c>
    </row>
    <row r="24" spans="1:16" ht="15" customHeight="1">
      <c r="A24" s="96" t="s">
        <v>41</v>
      </c>
      <c r="B24" s="97">
        <f>SUM(B11:B23)</f>
        <v>1232.69</v>
      </c>
      <c r="C24" s="98">
        <f>SUM(C11:C23)</f>
        <v>802.87000000000023</v>
      </c>
      <c r="D24" s="97">
        <f>B24+C24</f>
        <v>2035.5600000000004</v>
      </c>
      <c r="E24" s="99">
        <f>IFERROR(C24/$A$3,0)</f>
        <v>0.37169907407407415</v>
      </c>
      <c r="F24" s="100">
        <f>SUM(F11:F23)</f>
        <v>508</v>
      </c>
      <c r="G24" s="100">
        <f>SUM(G11:G23)</f>
        <v>300</v>
      </c>
      <c r="H24" s="100">
        <f>SUM(H11:H23)</f>
        <v>191</v>
      </c>
      <c r="I24" s="101">
        <f>SUM(I11:I23)</f>
        <v>15</v>
      </c>
      <c r="J24" s="101">
        <f>SUM(J11:J23)</f>
        <v>2</v>
      </c>
      <c r="K24" s="99">
        <f>IFERROR(G24/(G24+H24),0)</f>
        <v>0.61099796334012224</v>
      </c>
      <c r="L24" s="102">
        <f>IFERROR(AVERAGEIFS(Registro!F5:F604,Registro!I5:I604,"&lt;&gt;Pendiente"),0)</f>
        <v>1.8058636363636356</v>
      </c>
      <c r="M24" s="97">
        <f>IFERROR(AVERAGEIFS(Registro!G5:G604,Registro!I5:I604,"&lt;&gt;Pendiente"),0)</f>
        <v>21.351778656126481</v>
      </c>
      <c r="N24" s="98">
        <f>IFERROR(AVERAGEIFS(Registro!J5:J604,Registro!I5:I604,"&lt;&gt;Pendiente"),0)</f>
        <v>1.5866996047430826</v>
      </c>
      <c r="O24" s="101">
        <f ca="1">SUM(O11:O23)</f>
        <v>23</v>
      </c>
      <c r="P24" s="101"/>
    </row>
    <row r="25" spans="1:16" ht="15" customHeight="1">
      <c r="A25" s="103" t="s">
        <v>42</v>
      </c>
      <c r="B25" s="104">
        <f>$A$3-B24</f>
        <v>927.31</v>
      </c>
      <c r="C25" s="105" t="s">
        <v>43</v>
      </c>
    </row>
    <row r="46" spans="11:11" ht="15" customHeight="1">
      <c r="K46" s="1">
        <v>1.8</v>
      </c>
    </row>
    <row r="56" spans="2:2" ht="15" customHeight="1">
      <c r="B56" s="106" t="s">
        <v>44</v>
      </c>
    </row>
    <row r="69" spans="3:10" ht="15" customHeight="1">
      <c r="C69" s="1" t="s">
        <v>45</v>
      </c>
    </row>
    <row r="75" spans="3:10" ht="15" customHeight="1">
      <c r="J75" s="106" t="s">
        <v>44</v>
      </c>
    </row>
    <row r="76" spans="3:10" ht="15" customHeight="1">
      <c r="J76" s="1" t="s">
        <v>45</v>
      </c>
    </row>
  </sheetData>
  <mergeCells count="20">
    <mergeCell ref="A1:H1"/>
    <mergeCell ref="A2:H2"/>
    <mergeCell ref="A4:B6"/>
    <mergeCell ref="C4:D6"/>
    <mergeCell ref="E4:F6"/>
    <mergeCell ref="G4:H6"/>
    <mergeCell ref="I4:J6"/>
    <mergeCell ref="K4:L6"/>
    <mergeCell ref="M4:N6"/>
    <mergeCell ref="O4:P6"/>
    <mergeCell ref="Q4:R6"/>
    <mergeCell ref="K7:L7"/>
    <mergeCell ref="M7:N7"/>
    <mergeCell ref="O7:P7"/>
    <mergeCell ref="Q7:R7"/>
    <mergeCell ref="A7:B7"/>
    <mergeCell ref="C7:D7"/>
    <mergeCell ref="E7:F7"/>
    <mergeCell ref="G7:H7"/>
    <mergeCell ref="I7:J7"/>
  </mergeCells>
  <conditionalFormatting sqref="K11:K19">
    <cfRule type="cellIs" dxfId="94" priority="2" operator="equal">
      <formula>"🔴 LÍMITE"</formula>
    </cfRule>
    <cfRule type="cellIs" dxfId="93" priority="3" operator="equal">
      <formula>"🟠 CERCA"</formula>
    </cfRule>
    <cfRule type="cellIs" dxfId="92" priority="4" operator="equal">
      <formula>"🟢 OK"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604"/>
  <sheetViews>
    <sheetView tabSelected="1" topLeftCell="D1" zoomScaleNormal="100" workbookViewId="0">
      <pane ySplit="4" topLeftCell="A507" activePane="bottomLeft" state="frozen"/>
      <selection pane="bottomLeft" activeCell="I510" sqref="I510"/>
      <selection activeCell="E1" sqref="E1"/>
    </sheetView>
  </sheetViews>
  <sheetFormatPr defaultColWidth="8.7109375" defaultRowHeight="15"/>
  <cols>
    <col min="1" max="1" width="12" style="1" customWidth="1"/>
    <col min="2" max="2" width="14" style="1" customWidth="1"/>
    <col min="3" max="3" width="38" style="1" customWidth="1"/>
    <col min="4" max="4" width="16" style="1" customWidth="1"/>
    <col min="5" max="5" width="27.85546875" style="1" customWidth="1"/>
    <col min="6" max="6" width="9" style="1" customWidth="1"/>
    <col min="7" max="7" width="11" style="1" customWidth="1"/>
    <col min="8" max="8" width="12" style="1" customWidth="1"/>
    <col min="9" max="9" width="13" style="1" customWidth="1"/>
    <col min="10" max="10" width="14.28515625" style="1" customWidth="1"/>
    <col min="11" max="11" width="16.28515625" style="1" customWidth="1"/>
    <col min="12" max="12" width="14" style="1" customWidth="1"/>
    <col min="13" max="13" width="18.28515625" style="1" customWidth="1"/>
    <col min="14" max="14" width="14" style="1" customWidth="1"/>
    <col min="15" max="15" width="12.7109375" style="1" customWidth="1"/>
    <col min="16" max="16" width="18.28515625" style="1" customWidth="1"/>
    <col min="17" max="17" width="15.28515625" style="1" customWidth="1"/>
    <col min="18" max="18" width="18.28515625" style="1" customWidth="1"/>
  </cols>
  <sheetData>
    <row r="1" spans="1:20" ht="19.5" customHeight="1">
      <c r="A1" s="178" t="s">
        <v>46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</row>
    <row r="2" spans="1:20" ht="15" customHeight="1">
      <c r="A2" s="179" t="s">
        <v>47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</row>
    <row r="4" spans="1:20" ht="31.5" customHeight="1">
      <c r="A4" s="107" t="s">
        <v>48</v>
      </c>
      <c r="B4" s="108" t="s">
        <v>12</v>
      </c>
      <c r="C4" s="109" t="s">
        <v>49</v>
      </c>
      <c r="D4" s="108" t="s">
        <v>50</v>
      </c>
      <c r="E4" s="108" t="s">
        <v>51</v>
      </c>
      <c r="F4" s="108" t="s">
        <v>52</v>
      </c>
      <c r="G4" s="108" t="s">
        <v>53</v>
      </c>
      <c r="H4" s="108" t="s">
        <v>54</v>
      </c>
      <c r="I4" s="108" t="s">
        <v>55</v>
      </c>
      <c r="J4" s="108" t="s">
        <v>14</v>
      </c>
      <c r="K4" s="108" t="s">
        <v>56</v>
      </c>
      <c r="L4" s="108" t="s">
        <v>57</v>
      </c>
      <c r="M4" s="108" t="s">
        <v>58</v>
      </c>
      <c r="N4" s="108" t="s">
        <v>59</v>
      </c>
      <c r="O4" s="108" t="s">
        <v>60</v>
      </c>
      <c r="P4" s="108" t="s">
        <v>61</v>
      </c>
      <c r="Q4" s="108" t="s">
        <v>62</v>
      </c>
      <c r="R4" s="108" t="s">
        <v>63</v>
      </c>
      <c r="S4" s="1" t="s">
        <v>64</v>
      </c>
      <c r="T4" s="1" t="s">
        <v>65</v>
      </c>
    </row>
    <row r="5" spans="1:20" ht="15" customHeight="1">
      <c r="A5" s="110">
        <v>46194</v>
      </c>
      <c r="B5" s="111" t="s">
        <v>30</v>
      </c>
      <c r="C5" s="112" t="s">
        <v>66</v>
      </c>
      <c r="D5" s="113" t="s">
        <v>67</v>
      </c>
      <c r="E5" s="114" t="s">
        <v>68</v>
      </c>
      <c r="F5" s="115">
        <v>1.86</v>
      </c>
      <c r="G5" s="116">
        <v>15</v>
      </c>
      <c r="H5" s="120" t="s">
        <v>69</v>
      </c>
      <c r="I5" s="120" t="s">
        <v>70</v>
      </c>
      <c r="J5" s="117">
        <f>IF($A5="","",IF($I5="Ganada",ROUND($G5*($F5-1),2),IF($I5="Medio Ganada",ROUND($G5/2*($F5-1),2),IF($I5="Perdida",IF($H5="Free Bet",0,-$G5),IF($I5="Medio Perdida",IF($H5="Free Bet",0,-$G5/2),IF($I5="Reembolso",IF($R5="","",ROUND($R5-$G5,2)),IF($I5="Anulada",0,"")))))))</f>
        <v>12.9</v>
      </c>
      <c r="K5" s="118">
        <f>IF(J5="","",2000+SUM(J$5:J5))</f>
        <v>2012.9</v>
      </c>
      <c r="L5" s="119">
        <f>IF(OR($I5="Ganada",$I5="Perdida",$I5="Medio Ganada",$I5="Medio Perdida"),IF($G5=0,"",J5/$G5),"")</f>
        <v>0.86</v>
      </c>
      <c r="M5" s="120">
        <f>IF(OR($A5="",$B5=""),"",COUNTIFS($A$5:A5,A5,$B$5:B5,B5))</f>
        <v>1</v>
      </c>
      <c r="N5" s="120">
        <f>IF($A5="","",COUNTA($A$5:$A5))</f>
        <v>1</v>
      </c>
      <c r="O5" s="120">
        <f>IF($A5="","",COUNTA($A$5:$A5))</f>
        <v>1</v>
      </c>
      <c r="P5" s="118">
        <f>IF($K5="","",MAX($K$5:K5))</f>
        <v>2012.9</v>
      </c>
      <c r="Q5" s="117">
        <f>IF($K5="","",K5-P5)</f>
        <v>0</v>
      </c>
      <c r="R5" s="118"/>
      <c r="S5" s="2">
        <f>IF(OR($A5="",$F5=""),"",IF($I5="Pendiente","",ROUND($G5*($F5*0.609-1),2)))</f>
        <v>1.99</v>
      </c>
      <c r="T5" s="2">
        <f>IF($A5="","",IFERROR(SUM($S$5:S5),0))</f>
        <v>1.99</v>
      </c>
    </row>
    <row r="6" spans="1:20" ht="17.25" customHeight="1">
      <c r="A6" s="110">
        <v>46194</v>
      </c>
      <c r="B6" s="111" t="s">
        <v>30</v>
      </c>
      <c r="C6" s="121" t="s">
        <v>71</v>
      </c>
      <c r="D6" s="113" t="s">
        <v>67</v>
      </c>
      <c r="E6" s="114" t="s">
        <v>72</v>
      </c>
      <c r="F6" s="115">
        <v>1.87</v>
      </c>
      <c r="G6" s="116">
        <v>15</v>
      </c>
      <c r="H6" s="120" t="s">
        <v>69</v>
      </c>
      <c r="I6" s="120" t="s">
        <v>70</v>
      </c>
      <c r="J6" s="117">
        <f>IF($A6="","",IF($I6="Ganada",ROUND($G6*($F6-1),2),IF($I6="Medio Ganada",ROUND($G6/2*($F6-1),2),IF($I6="Perdida",IF($H6="Free Bet",0,-$G6),IF($I6="Medio Perdida",IF($H6="Free Bet",0,-$G6/2),IF($I6="Reembolso",IF($R6="","",ROUND($R6-$G6,2)),IF($I6="Anulada",0,"")))))))</f>
        <v>13.05</v>
      </c>
      <c r="K6" s="118">
        <f>IF(J6="","",2000+SUM(J$5:J6))</f>
        <v>2025.95</v>
      </c>
      <c r="L6" s="119">
        <f>IF(OR($I6="Ganada",$I6="Perdida",$I6="Medio Ganada",$I6="Medio Perdida"),IF($G6=0,"",J6/$G6),"")</f>
        <v>0.87</v>
      </c>
      <c r="M6" s="120">
        <f>IF(OR($A6="",$B6=""),"",COUNTIFS($A$5:A6,A6,$B$5:B6,B6))</f>
        <v>2</v>
      </c>
      <c r="N6" s="120">
        <f>IF($A6="","",COUNTA($A$5:$A6))</f>
        <v>2</v>
      </c>
      <c r="O6" s="120">
        <f>IF($A6="","",COUNTA($A$5:$A6))</f>
        <v>2</v>
      </c>
      <c r="P6" s="118">
        <f>IF($K6="","",MAX($K$5:K6))</f>
        <v>2025.95</v>
      </c>
      <c r="Q6" s="117">
        <f>IF($K6="","",K6-P6)</f>
        <v>0</v>
      </c>
      <c r="R6" s="118"/>
      <c r="S6" s="2">
        <f>IF(OR($A6="",$F6=""),"",IF($I6="Pendiente","",ROUND($G6*($F6*0.609-1),2)))</f>
        <v>2.08</v>
      </c>
      <c r="T6" s="2">
        <f>IF($A6="","",IFERROR(SUM($S$5:S6),0))</f>
        <v>4.07</v>
      </c>
    </row>
    <row r="7" spans="1:20" ht="16.5" customHeight="1">
      <c r="A7" s="110">
        <v>46194</v>
      </c>
      <c r="B7" s="111" t="s">
        <v>30</v>
      </c>
      <c r="C7" s="121" t="s">
        <v>73</v>
      </c>
      <c r="D7" s="113" t="s">
        <v>67</v>
      </c>
      <c r="E7" s="122" t="s">
        <v>74</v>
      </c>
      <c r="F7" s="115">
        <v>1.56</v>
      </c>
      <c r="G7" s="116">
        <v>20</v>
      </c>
      <c r="H7" s="120" t="s">
        <v>69</v>
      </c>
      <c r="I7" s="120" t="s">
        <v>75</v>
      </c>
      <c r="J7" s="117">
        <f>IF($A7="","",IF($I7="Ganada",ROUND($G7*($F7-1),2),IF($I7="Medio Ganada",ROUND($G7/2*($F7-1),2),IF($I7="Perdida",IF($H7="Free Bet",0,-$G7),IF($I7="Medio Perdida",IF($H7="Free Bet",0,-$G7/2),IF($I7="Reembolso",IF($R7="","",ROUND($R7-$G7,2)),IF($I7="Anulada",0,"")))))))</f>
        <v>-20</v>
      </c>
      <c r="K7" s="118">
        <f>IF(J7="","",2000+SUM(J$5:J7))</f>
        <v>2005.95</v>
      </c>
      <c r="L7" s="119">
        <f>IF(OR($I7="Ganada",$I7="Perdida",$I7="Medio Ganada",$I7="Medio Perdida"),IF($G7=0,"",J7/$G7),"")</f>
        <v>-1</v>
      </c>
      <c r="M7" s="120">
        <f>IF(OR($A7="",$B7=""),"",COUNTIFS($A$5:A7,A7,$B$5:B7,B7))</f>
        <v>3</v>
      </c>
      <c r="N7" s="120">
        <f>IF($A7="","",COUNTA($A$5:$A7))</f>
        <v>3</v>
      </c>
      <c r="O7" s="120">
        <f>IF($A7="","",COUNTA($A$5:$A7))</f>
        <v>3</v>
      </c>
      <c r="P7" s="118">
        <f>IF($K7="","",MAX($K$5:K7))</f>
        <v>2025.95</v>
      </c>
      <c r="Q7" s="117">
        <f>IF($K7="","",K7-P7)</f>
        <v>-20</v>
      </c>
      <c r="R7" s="118"/>
      <c r="S7" s="2">
        <f>IF(OR($A7="",$F7=""),"",IF($I7="Pendiente","",ROUND($G7*($F7*0.609-1),2)))</f>
        <v>-1</v>
      </c>
      <c r="T7" s="2">
        <f>IF($A7="","",IFERROR(SUM($S$5:S7),0))</f>
        <v>3.0700000000000003</v>
      </c>
    </row>
    <row r="8" spans="1:20" ht="15" customHeight="1">
      <c r="A8" s="110">
        <v>46194</v>
      </c>
      <c r="B8" s="111" t="s">
        <v>30</v>
      </c>
      <c r="C8" s="121" t="s">
        <v>73</v>
      </c>
      <c r="D8" s="113" t="s">
        <v>76</v>
      </c>
      <c r="E8" s="123" t="s">
        <v>77</v>
      </c>
      <c r="F8" s="115">
        <v>1.58</v>
      </c>
      <c r="G8" s="116">
        <v>20</v>
      </c>
      <c r="H8" s="120" t="s">
        <v>69</v>
      </c>
      <c r="I8" s="120" t="s">
        <v>70</v>
      </c>
      <c r="J8" s="117">
        <f>IF($A8="","",IF($I8="Ganada",ROUND($G8*($F8-1),2),IF($I8="Medio Ganada",ROUND($G8/2*($F8-1),2),IF($I8="Perdida",IF($H8="Free Bet",0,-$G8),IF($I8="Medio Perdida",IF($H8="Free Bet",0,-$G8/2),IF($I8="Reembolso",IF($R8="","",ROUND($R8-$G8,2)),IF($I8="Anulada",0,"")))))))</f>
        <v>11.6</v>
      </c>
      <c r="K8" s="118">
        <f>IF(J8="","",2000+SUM(J$5:J8))</f>
        <v>2017.55</v>
      </c>
      <c r="L8" s="119">
        <f>IF(OR($I8="Ganada",$I8="Perdida",$I8="Medio Ganada",$I8="Medio Perdida"),IF($G8=0,"",J8/$G8),"")</f>
        <v>0.57999999999999996</v>
      </c>
      <c r="M8" s="120">
        <f>IF(OR($A8="",$B8=""),"",COUNTIFS($A$5:A8,A8,$B$5:B8,B8))</f>
        <v>4</v>
      </c>
      <c r="N8" s="120">
        <f>IF($A8="","",COUNTA($A$5:$A8))</f>
        <v>4</v>
      </c>
      <c r="O8" s="120">
        <f>IF($A8="","",COUNTA($A$5:$A8))</f>
        <v>4</v>
      </c>
      <c r="P8" s="118">
        <f>IF($K8="","",MAX($K$5:K8))</f>
        <v>2025.95</v>
      </c>
      <c r="Q8" s="117">
        <f>IF($K8="","",K8-P8)</f>
        <v>-8.4000000000000909</v>
      </c>
      <c r="R8" s="118"/>
      <c r="S8" s="2">
        <f>IF(OR($A8="",$F8=""),"",IF($I8="Pendiente","",ROUND($G8*($F8*0.609-1),2)))</f>
        <v>-0.76</v>
      </c>
      <c r="T8" s="2">
        <f>IF($A8="","",IFERROR(SUM($S$5:S8),0))</f>
        <v>2.3100000000000005</v>
      </c>
    </row>
    <row r="9" spans="1:20" ht="16.5" customHeight="1">
      <c r="A9" s="110">
        <v>46194</v>
      </c>
      <c r="B9" s="124" t="s">
        <v>28</v>
      </c>
      <c r="C9" s="112" t="s">
        <v>78</v>
      </c>
      <c r="D9" s="113" t="s">
        <v>67</v>
      </c>
      <c r="E9" s="125" t="s">
        <v>79</v>
      </c>
      <c r="F9" s="115">
        <v>2.1</v>
      </c>
      <c r="G9" s="116">
        <v>15</v>
      </c>
      <c r="H9" s="120" t="s">
        <v>69</v>
      </c>
      <c r="I9" s="120" t="s">
        <v>70</v>
      </c>
      <c r="J9" s="117">
        <f>IF($A9="","",IF($I9="Ganada",ROUND($G9*($F9-1),2),IF($I9="Medio Ganada",ROUND($G9/2*($F9-1),2),IF($I9="Perdida",IF($H9="Free Bet",0,-$G9),IF($I9="Medio Perdida",IF($H9="Free Bet",0,-$G9/2),IF($I9="Reembolso",IF($R9="","",ROUND($R9-$G9,2)),IF($I9="Anulada",0,"")))))))</f>
        <v>16.5</v>
      </c>
      <c r="K9" s="118">
        <f>IF(J9="","",2000+SUM(J$5:J9))</f>
        <v>2034.05</v>
      </c>
      <c r="L9" s="119">
        <f>IF(OR($I9="Ganada",$I9="Perdida",$I9="Medio Ganada",$I9="Medio Perdida"),IF($G9=0,"",J9/$G9),"")</f>
        <v>1.1000000000000001</v>
      </c>
      <c r="M9" s="120">
        <f>IF(OR($A9="",$B9=""),"",COUNTIFS($A$5:A9,A9,$B$5:B9,B9))</f>
        <v>1</v>
      </c>
      <c r="N9" s="120">
        <f>IF($A9="","",COUNTA($A$5:$A9))</f>
        <v>5</v>
      </c>
      <c r="O9" s="120">
        <f>IF($A9="","",COUNTA($A$5:$A9))</f>
        <v>5</v>
      </c>
      <c r="P9" s="118">
        <f>IF($K9="","",MAX($K$5:K9))</f>
        <v>2034.05</v>
      </c>
      <c r="Q9" s="117">
        <f>IF($K9="","",K9-P9)</f>
        <v>0</v>
      </c>
      <c r="R9" s="118"/>
      <c r="S9" s="2">
        <f>IF(OR($A9="",$F9=""),"",IF($I9="Pendiente","",ROUND($G9*($F9*0.609-1),2)))</f>
        <v>4.18</v>
      </c>
      <c r="T9" s="2">
        <f>IF($A9="","",IFERROR(SUM($S$5:S9),0))</f>
        <v>6.49</v>
      </c>
    </row>
    <row r="10" spans="1:20" ht="17.25" customHeight="1">
      <c r="A10" s="110">
        <v>46194</v>
      </c>
      <c r="B10" s="124" t="s">
        <v>28</v>
      </c>
      <c r="C10" s="121" t="s">
        <v>80</v>
      </c>
      <c r="D10" s="113" t="s">
        <v>67</v>
      </c>
      <c r="E10" s="125" t="s">
        <v>81</v>
      </c>
      <c r="F10" s="115">
        <v>2</v>
      </c>
      <c r="G10" s="116">
        <v>15</v>
      </c>
      <c r="H10" s="120" t="s">
        <v>69</v>
      </c>
      <c r="I10" s="120" t="s">
        <v>75</v>
      </c>
      <c r="J10" s="117">
        <f>IF($A10="","",IF($I10="Ganada",ROUND($G10*($F10-1),2),IF($I10="Medio Ganada",ROUND($G10/2*($F10-1),2),IF($I10="Perdida",IF($H10="Free Bet",0,-$G10),IF($I10="Medio Perdida",IF($H10="Free Bet",0,-$G10/2),IF($I10="Reembolso",IF($R10="","",ROUND($R10-$G10,2)),IF($I10="Anulada",0,"")))))))</f>
        <v>-15</v>
      </c>
      <c r="K10" s="118">
        <f>IF(J10="","",2000+SUM(J$5:J10))</f>
        <v>2019.05</v>
      </c>
      <c r="L10" s="119">
        <f>IF(OR($I10="Ganada",$I10="Perdida",$I10="Medio Ganada",$I10="Medio Perdida"),IF($G10=0,"",J10/$G10),"")</f>
        <v>-1</v>
      </c>
      <c r="M10" s="120">
        <f>IF(OR($A10="",$B10=""),"",COUNTIFS($A$5:A10,A10,$B$5:B10,B10))</f>
        <v>2</v>
      </c>
      <c r="N10" s="120">
        <f>IF($A10="","",COUNTA($A$5:$A10))</f>
        <v>6</v>
      </c>
      <c r="O10" s="120">
        <f>IF($A10="","",COUNTA($A$5:$A10))</f>
        <v>6</v>
      </c>
      <c r="P10" s="118">
        <f>IF($K10="","",MAX($K$5:K10))</f>
        <v>2034.05</v>
      </c>
      <c r="Q10" s="117">
        <f>IF($K10="","",K10-P10)</f>
        <v>-15</v>
      </c>
      <c r="R10" s="118"/>
      <c r="S10" s="2">
        <f>IF(OR($A10="",$F10=""),"",IF($I10="Pendiente","",ROUND($G10*($F10*0.609-1),2)))</f>
        <v>3.27</v>
      </c>
      <c r="T10" s="2">
        <f>IF($A10="","",IFERROR(SUM($S$5:S10),0))</f>
        <v>9.76</v>
      </c>
    </row>
    <row r="11" spans="1:20" ht="24.75" customHeight="1">
      <c r="A11" s="110">
        <v>46194</v>
      </c>
      <c r="B11" s="124" t="s">
        <v>28</v>
      </c>
      <c r="C11" s="126" t="s">
        <v>82</v>
      </c>
      <c r="D11" s="113" t="s">
        <v>67</v>
      </c>
      <c r="E11" s="122" t="s">
        <v>83</v>
      </c>
      <c r="F11" s="115">
        <v>1.9</v>
      </c>
      <c r="G11" s="116">
        <v>15</v>
      </c>
      <c r="H11" s="120" t="s">
        <v>69</v>
      </c>
      <c r="I11" s="120" t="s">
        <v>75</v>
      </c>
      <c r="J11" s="117">
        <f>IF($A11="","",IF($I11="Ganada",ROUND($G11*($F11-1),2),IF($I11="Medio Ganada",ROUND($G11/2*($F11-1),2),IF($I11="Perdida",IF($H11="Free Bet",0,-$G11),IF($I11="Medio Perdida",IF($H11="Free Bet",0,-$G11/2),IF($I11="Reembolso",IF($R11="","",ROUND($R11-$G11,2)),IF($I11="Anulada",0,"")))))))</f>
        <v>-15</v>
      </c>
      <c r="K11" s="118">
        <f>IF(J11="","",2000+SUM(J$5:J11))</f>
        <v>2004.05</v>
      </c>
      <c r="L11" s="119">
        <f>IF(OR($I11="Ganada",$I11="Perdida",$I11="Medio Ganada",$I11="Medio Perdida"),IF($G11=0,"",J11/$G11),"")</f>
        <v>-1</v>
      </c>
      <c r="M11" s="120">
        <f>IF(OR($A11="",$B11=""),"",COUNTIFS($A$5:A11,A11,$B$5:B11,B11))</f>
        <v>3</v>
      </c>
      <c r="N11" s="120">
        <f>IF($A11="","",COUNTA($A$5:$A11))</f>
        <v>7</v>
      </c>
      <c r="O11" s="120">
        <f>IF($A11="","",COUNTA($A$5:$A11))</f>
        <v>7</v>
      </c>
      <c r="P11" s="118">
        <f>IF($K11="","",MAX($K$5:K11))</f>
        <v>2034.05</v>
      </c>
      <c r="Q11" s="117">
        <f>IF($K11="","",K11-P11)</f>
        <v>-30</v>
      </c>
      <c r="R11" s="118"/>
      <c r="S11" s="2">
        <f>IF(OR($A11="",$F11=""),"",IF($I11="Pendiente","",ROUND($G11*($F11*0.609-1),2)))</f>
        <v>2.36</v>
      </c>
      <c r="T11" s="2">
        <f>IF($A11="","",IFERROR(SUM($S$5:S11),0))</f>
        <v>12.12</v>
      </c>
    </row>
    <row r="12" spans="1:20" ht="15" customHeight="1">
      <c r="A12" s="110">
        <v>46194</v>
      </c>
      <c r="B12" s="124" t="s">
        <v>28</v>
      </c>
      <c r="C12" s="126" t="s">
        <v>84</v>
      </c>
      <c r="D12" s="113" t="s">
        <v>76</v>
      </c>
      <c r="E12" s="125" t="s">
        <v>85</v>
      </c>
      <c r="F12" s="115">
        <v>1.66</v>
      </c>
      <c r="G12" s="116">
        <v>20</v>
      </c>
      <c r="H12" s="120" t="s">
        <v>69</v>
      </c>
      <c r="I12" s="120" t="s">
        <v>75</v>
      </c>
      <c r="J12" s="117">
        <f>IF($A12="","",IF($I12="Ganada",ROUND($G12*($F12-1),2),IF($I12="Medio Ganada",ROUND($G12/2*($F12-1),2),IF($I12="Perdida",IF($H12="Free Bet",0,-$G12),IF($I12="Medio Perdida",IF($H12="Free Bet",0,-$G12/2),IF($I12="Reembolso",IF($R12="","",ROUND($R12-$G12,2)),IF($I12="Anulada",0,"")))))))</f>
        <v>-20</v>
      </c>
      <c r="K12" s="118">
        <f>IF(J12="","",2000+SUM(J$5:J12))</f>
        <v>1984.05</v>
      </c>
      <c r="L12" s="119">
        <f>IF(OR($I12="Ganada",$I12="Perdida",$I12="Medio Ganada",$I12="Medio Perdida"),IF($G12=0,"",J12/$G12),"")</f>
        <v>-1</v>
      </c>
      <c r="M12" s="120">
        <f>IF(OR($A12="",$B12=""),"",COUNTIFS($A$5:A12,A12,$B$5:B12,B12))</f>
        <v>4</v>
      </c>
      <c r="N12" s="120">
        <f>IF($A12="","",COUNTA($A$5:$A12))</f>
        <v>8</v>
      </c>
      <c r="O12" s="120">
        <f>IF($A12="","",COUNTA($A$5:$A12))</f>
        <v>8</v>
      </c>
      <c r="P12" s="118">
        <f>IF($K12="","",MAX($K$5:K12))</f>
        <v>2034.05</v>
      </c>
      <c r="Q12" s="117">
        <f>IF($K12="","",K12-P12)</f>
        <v>-50</v>
      </c>
      <c r="R12" s="118"/>
      <c r="S12" s="2">
        <f>IF(OR($A12="",$F12=""),"",IF($I12="Pendiente","",ROUND($G12*($F12*0.609-1),2)))</f>
        <v>0.22</v>
      </c>
      <c r="T12" s="2">
        <f>IF($A12="","",IFERROR(SUM($S$5:S12),0))</f>
        <v>12.34</v>
      </c>
    </row>
    <row r="13" spans="1:20" ht="15" customHeight="1">
      <c r="A13" s="110">
        <v>46194</v>
      </c>
      <c r="B13" s="124" t="s">
        <v>28</v>
      </c>
      <c r="C13" s="126" t="s">
        <v>86</v>
      </c>
      <c r="D13" s="113" t="s">
        <v>67</v>
      </c>
      <c r="E13" s="123" t="s">
        <v>87</v>
      </c>
      <c r="F13" s="115">
        <v>2</v>
      </c>
      <c r="G13" s="116">
        <v>15</v>
      </c>
      <c r="H13" s="120" t="s">
        <v>69</v>
      </c>
      <c r="I13" s="120" t="s">
        <v>88</v>
      </c>
      <c r="J13" s="117">
        <f>IF($A13="","",IF($I13="Ganada",ROUND($G13*($F13-1),2),IF($I13="Medio Ganada",ROUND($G13/2*($F13-1),2),IF($I13="Perdida",IF($H13="Free Bet",0,-$G13),IF($I13="Medio Perdida",IF($H13="Free Bet",0,-$G13/2),IF($I13="Reembolso",IF($R13="","",ROUND($R13-$G13,2)),IF($I13="Anulada",0,"")))))))</f>
        <v>0</v>
      </c>
      <c r="K13" s="118">
        <f>IF(J13="","",2000+SUM(J$5:J13))</f>
        <v>1984.05</v>
      </c>
      <c r="L13" s="119" t="str">
        <f>IF(OR($I13="Ganada",$I13="Perdida",$I13="Medio Ganada",$I13="Medio Perdida"),IF($G13=0,"",J13/$G13),"")</f>
        <v/>
      </c>
      <c r="M13" s="120">
        <f>IF(OR($A13="",$B13=""),"",COUNTIFS($A$5:A13,A13,$B$5:B13,B13))</f>
        <v>5</v>
      </c>
      <c r="N13" s="120">
        <f>IF($A13="","",COUNTA($A$5:$A13))</f>
        <v>9</v>
      </c>
      <c r="O13" s="120">
        <f>IF($A13="","",COUNTA($A$5:$A13))</f>
        <v>9</v>
      </c>
      <c r="P13" s="118">
        <f>IF($K13="","",MAX($K$5:K13))</f>
        <v>2034.05</v>
      </c>
      <c r="Q13" s="117">
        <f>IF($K13="","",K13-P13)</f>
        <v>-50</v>
      </c>
      <c r="R13" s="118"/>
      <c r="S13" s="2">
        <f>IF(OR($A13="",$F13=""),"",IF($I13="Pendiente","",ROUND($G13*($F13*0.609-1),2)))</f>
        <v>3.27</v>
      </c>
      <c r="T13" s="2">
        <f>IF($A13="","",IFERROR(SUM($S$5:S13),0))</f>
        <v>15.61</v>
      </c>
    </row>
    <row r="14" spans="1:20" ht="15" customHeight="1">
      <c r="A14" s="110">
        <v>46194</v>
      </c>
      <c r="B14" s="124" t="s">
        <v>28</v>
      </c>
      <c r="C14" s="126" t="s">
        <v>89</v>
      </c>
      <c r="D14" s="113" t="s">
        <v>90</v>
      </c>
      <c r="E14" s="123" t="s">
        <v>91</v>
      </c>
      <c r="F14" s="115">
        <v>1.34</v>
      </c>
      <c r="G14" s="116">
        <v>15</v>
      </c>
      <c r="H14" s="120" t="s">
        <v>69</v>
      </c>
      <c r="I14" s="120" t="s">
        <v>88</v>
      </c>
      <c r="J14" s="117">
        <f>IF($A14="","",IF($I14="Ganada",ROUND($G14*($F14-1),2),IF($I14="Medio Ganada",ROUND($G14/2*($F14-1),2),IF($I14="Perdida",IF($H14="Free Bet",0,-$G14),IF($I14="Medio Perdida",IF($H14="Free Bet",0,-$G14/2),IF($I14="Reembolso",IF($R14="","",ROUND($R14-$G14,2)),IF($I14="Anulada",0,"")))))))</f>
        <v>0</v>
      </c>
      <c r="K14" s="118">
        <f>IF(J14="","",2000+SUM(J$5:J14))</f>
        <v>1984.05</v>
      </c>
      <c r="L14" s="119" t="str">
        <f>IF(OR($I14="Ganada",$I14="Perdida",$I14="Medio Ganada",$I14="Medio Perdida"),IF($G14=0,"",J14/$G14),"")</f>
        <v/>
      </c>
      <c r="M14" s="120">
        <f>IF(OR($A14="",$B14=""),"",COUNTIFS($A$5:A14,A14,$B$5:B14,B14))</f>
        <v>6</v>
      </c>
      <c r="N14" s="120">
        <f>IF($A14="","",COUNTA($A$5:$A14))</f>
        <v>10</v>
      </c>
      <c r="O14" s="120">
        <f>IF($A14="","",COUNTA($A$5:$A14))</f>
        <v>10</v>
      </c>
      <c r="P14" s="118">
        <f>IF($K14="","",MAX($K$5:K14))</f>
        <v>2034.05</v>
      </c>
      <c r="Q14" s="117">
        <f>IF($K14="","",K14-P14)</f>
        <v>-50</v>
      </c>
      <c r="R14" s="118"/>
      <c r="S14" s="2">
        <f>IF(OR($A14="",$F14=""),"",IF($I14="Pendiente","",ROUND($G14*($F14*0.609-1),2)))</f>
        <v>-2.76</v>
      </c>
      <c r="T14" s="2">
        <f>IF($A14="","",IFERROR(SUM($S$5:S14),0))</f>
        <v>12.85</v>
      </c>
    </row>
    <row r="15" spans="1:20" ht="15" customHeight="1">
      <c r="A15" s="110">
        <v>46194</v>
      </c>
      <c r="B15" s="124" t="s">
        <v>28</v>
      </c>
      <c r="C15" s="126" t="s">
        <v>92</v>
      </c>
      <c r="D15" s="113" t="s">
        <v>67</v>
      </c>
      <c r="E15" s="123" t="s">
        <v>93</v>
      </c>
      <c r="F15" s="115">
        <v>1.86</v>
      </c>
      <c r="G15" s="116">
        <v>15</v>
      </c>
      <c r="H15" s="120" t="s">
        <v>69</v>
      </c>
      <c r="I15" s="120" t="s">
        <v>70</v>
      </c>
      <c r="J15" s="117">
        <f>IF($A15="","",IF($I15="Ganada",ROUND($G15*($F15-1),2),IF($I15="Medio Ganada",ROUND($G15/2*($F15-1),2),IF($I15="Perdida",IF($H15="Free Bet",0,-$G15),IF($I15="Medio Perdida",IF($H15="Free Bet",0,-$G15/2),IF($I15="Reembolso",IF($R15="","",ROUND($R15-$G15,2)),IF($I15="Anulada",0,"")))))))</f>
        <v>12.9</v>
      </c>
      <c r="K15" s="118">
        <f>IF(J15="","",2000+SUM(J$5:J15))</f>
        <v>1996.95</v>
      </c>
      <c r="L15" s="119">
        <f>IF(OR($I15="Ganada",$I15="Perdida",$I15="Medio Ganada",$I15="Medio Perdida"),IF($G15=0,"",J15/$G15),"")</f>
        <v>0.86</v>
      </c>
      <c r="M15" s="120">
        <f>IF(OR($A15="",$B15=""),"",COUNTIFS($A$5:A15,A15,$B$5:B15,B15))</f>
        <v>7</v>
      </c>
      <c r="N15" s="120">
        <f>IF($A15="","",COUNTA($A$5:$A15))</f>
        <v>11</v>
      </c>
      <c r="O15" s="120">
        <f>IF($A15="","",COUNTA($A$5:$A15))</f>
        <v>11</v>
      </c>
      <c r="P15" s="118">
        <f>IF($K15="","",MAX($K$5:K15))</f>
        <v>2034.05</v>
      </c>
      <c r="Q15" s="117">
        <f>IF($K15="","",K15-P15)</f>
        <v>-37.099999999999909</v>
      </c>
      <c r="R15" s="118"/>
      <c r="S15" s="2">
        <f>IF(OR($A15="",$F15=""),"",IF($I15="Pendiente","",ROUND($G15*($F15*0.609-1),2)))</f>
        <v>1.99</v>
      </c>
      <c r="T15" s="2">
        <f>IF($A15="","",IFERROR(SUM($S$5:S15),0))</f>
        <v>14.84</v>
      </c>
    </row>
    <row r="16" spans="1:20" ht="15" customHeight="1">
      <c r="A16" s="110">
        <v>46194</v>
      </c>
      <c r="B16" s="124" t="s">
        <v>28</v>
      </c>
      <c r="C16" s="112" t="s">
        <v>94</v>
      </c>
      <c r="D16" s="113" t="s">
        <v>95</v>
      </c>
      <c r="E16" s="114" t="s">
        <v>96</v>
      </c>
      <c r="F16" s="115">
        <v>1.7</v>
      </c>
      <c r="G16" s="116">
        <v>25</v>
      </c>
      <c r="H16" s="120" t="s">
        <v>69</v>
      </c>
      <c r="I16" s="120" t="s">
        <v>70</v>
      </c>
      <c r="J16" s="117">
        <f>IF($A16="","",IF($I16="Ganada",ROUND($G16*($F16-1),2),IF($I16="Medio Ganada",ROUND($G16/2*($F16-1),2),IF($I16="Perdida",IF($H16="Free Bet",0,-$G16),IF($I16="Medio Perdida",IF($H16="Free Bet",0,-$G16/2),IF($I16="Reembolso",IF($R16="","",ROUND($R16-$G16,2)),IF($I16="Anulada",0,"")))))))</f>
        <v>17.5</v>
      </c>
      <c r="K16" s="118">
        <f>IF(J16="","",2000+SUM(J$5:J16))</f>
        <v>2014.45</v>
      </c>
      <c r="L16" s="119">
        <f>IF(OR($I16="Ganada",$I16="Perdida",$I16="Medio Ganada",$I16="Medio Perdida"),IF($G16=0,"",J16/$G16),"")</f>
        <v>0.7</v>
      </c>
      <c r="M16" s="120">
        <f>IF(OR($A16="",$B16=""),"",COUNTIFS($A$5:A16,A16,$B$5:B16,B16))</f>
        <v>8</v>
      </c>
      <c r="N16" s="120">
        <f>IF($A16="","",COUNTA($A$5:$A16))</f>
        <v>12</v>
      </c>
      <c r="O16" s="120">
        <f>IF($A16="","",COUNTA($A$5:$A16))</f>
        <v>12</v>
      </c>
      <c r="P16" s="118">
        <f>IF($K16="","",MAX($K$5:K16))</f>
        <v>2034.05</v>
      </c>
      <c r="Q16" s="117">
        <f>IF($K16="","",K16-P16)</f>
        <v>-19.599999999999909</v>
      </c>
      <c r="R16" s="118"/>
      <c r="S16" s="2">
        <f>IF(OR($A16="",$F16=""),"",IF($I16="Pendiente","",ROUND($G16*($F16*0.609-1),2)))</f>
        <v>0.88</v>
      </c>
      <c r="T16" s="2">
        <f>IF($A16="","",IFERROR(SUM($S$5:S16),0))</f>
        <v>15.72</v>
      </c>
    </row>
    <row r="17" spans="1:20" ht="15" customHeight="1">
      <c r="A17" s="110">
        <v>46194</v>
      </c>
      <c r="B17" s="124" t="s">
        <v>28</v>
      </c>
      <c r="C17" s="127" t="s">
        <v>97</v>
      </c>
      <c r="D17" s="113" t="s">
        <v>67</v>
      </c>
      <c r="E17" s="125" t="s">
        <v>98</v>
      </c>
      <c r="F17" s="115">
        <v>1.8</v>
      </c>
      <c r="G17" s="116">
        <v>15</v>
      </c>
      <c r="H17" s="120" t="s">
        <v>69</v>
      </c>
      <c r="I17" s="120" t="s">
        <v>70</v>
      </c>
      <c r="J17" s="117">
        <f>IF($A17="","",IF($I17="Ganada",ROUND($G17*($F17-1),2),IF($I17="Medio Ganada",ROUND($G17/2*($F17-1),2),IF($I17="Perdida",IF($H17="Free Bet",0,-$G17),IF($I17="Medio Perdida",IF($H17="Free Bet",0,-$G17/2),IF($I17="Reembolso",IF($R17="","",ROUND($R17-$G17,2)),IF($I17="Anulada",0,"")))))))</f>
        <v>12</v>
      </c>
      <c r="K17" s="118">
        <f>IF(J17="","",2000+SUM(J$5:J17))</f>
        <v>2026.45</v>
      </c>
      <c r="L17" s="119">
        <f>IF(OR($I17="Ganada",$I17="Perdida",$I17="Medio Ganada",$I17="Medio Perdida"),IF($G17=0,"",J17/$G17),"")</f>
        <v>0.8</v>
      </c>
      <c r="M17" s="120">
        <f>IF(OR($A17="",$B17=""),"",COUNTIFS($A$5:A17,A17,$B$5:B17,B17))</f>
        <v>9</v>
      </c>
      <c r="N17" s="120">
        <f>IF($A17="","",COUNTA($A$5:$A17))</f>
        <v>13</v>
      </c>
      <c r="O17" s="120">
        <f>IF($A17="","",COUNTA($A$5:$A17))</f>
        <v>13</v>
      </c>
      <c r="P17" s="118">
        <f>IF($K17="","",MAX($K$5:K17))</f>
        <v>2034.05</v>
      </c>
      <c r="Q17" s="117">
        <f>IF($K17="","",K17-P17)</f>
        <v>-7.5999999999999091</v>
      </c>
      <c r="R17" s="118"/>
      <c r="S17" s="2">
        <f>IF(OR($A17="",$F17=""),"",IF($I17="Pendiente","",ROUND($G17*($F17*0.609-1),2)))</f>
        <v>1.44</v>
      </c>
      <c r="T17" s="2">
        <f>IF($A17="","",IFERROR(SUM($S$5:S17),0))</f>
        <v>17.16</v>
      </c>
    </row>
    <row r="18" spans="1:20" ht="15" customHeight="1">
      <c r="A18" s="110">
        <v>46194</v>
      </c>
      <c r="B18" s="111" t="s">
        <v>30</v>
      </c>
      <c r="C18" s="121" t="s">
        <v>99</v>
      </c>
      <c r="D18" s="113" t="s">
        <v>76</v>
      </c>
      <c r="E18" s="114" t="s">
        <v>100</v>
      </c>
      <c r="F18" s="115">
        <v>1.52</v>
      </c>
      <c r="G18" s="116">
        <v>20</v>
      </c>
      <c r="H18" s="120" t="s">
        <v>69</v>
      </c>
      <c r="I18" s="120" t="s">
        <v>75</v>
      </c>
      <c r="J18" s="117">
        <f>IF($A18="","",IF($I18="Ganada",ROUND($G18*($F18-1),2),IF($I18="Medio Ganada",ROUND($G18/2*($F18-1),2),IF($I18="Perdida",IF($H18="Free Bet",0,-$G18),IF($I18="Medio Perdida",IF($H18="Free Bet",0,-$G18/2),IF($I18="Reembolso",IF($R18="","",ROUND($R18-$G18,2)),IF($I18="Anulada",0,"")))))))</f>
        <v>-20</v>
      </c>
      <c r="K18" s="118">
        <f>IF(J18="","",2000+SUM(J$5:J18))</f>
        <v>2006.45</v>
      </c>
      <c r="L18" s="119">
        <f>IF(OR($I18="Ganada",$I18="Perdida",$I18="Medio Ganada",$I18="Medio Perdida"),IF($G18=0,"",J18/$G18),"")</f>
        <v>-1</v>
      </c>
      <c r="M18" s="120">
        <f>IF(OR($A18="",$B18=""),"",COUNTIFS($A$5:A18,A18,$B$5:B18,B18))</f>
        <v>5</v>
      </c>
      <c r="N18" s="120">
        <f>IF($A18="","",COUNTA($A$5:$A18))</f>
        <v>14</v>
      </c>
      <c r="O18" s="120">
        <f>IF($A18="","",COUNTA($A$5:$A18))</f>
        <v>14</v>
      </c>
      <c r="P18" s="118">
        <f>IF($K18="","",MAX($K$5:K18))</f>
        <v>2034.05</v>
      </c>
      <c r="Q18" s="117">
        <f>IF($K18="","",K18-P18)</f>
        <v>-27.599999999999909</v>
      </c>
      <c r="R18" s="118"/>
      <c r="S18" s="2">
        <f>IF(OR($A18="",$F18=""),"",IF($I18="Pendiente","",ROUND($G18*($F18*0.609-1),2)))</f>
        <v>-1.49</v>
      </c>
      <c r="T18" s="2">
        <f>IF($A18="","",IFERROR(SUM($S$5:S18),0))</f>
        <v>15.67</v>
      </c>
    </row>
    <row r="19" spans="1:20" ht="15" customHeight="1">
      <c r="A19" s="110">
        <v>46194</v>
      </c>
      <c r="B19" s="124" t="s">
        <v>28</v>
      </c>
      <c r="C19" s="121" t="s">
        <v>101</v>
      </c>
      <c r="D19" s="113" t="s">
        <v>76</v>
      </c>
      <c r="E19" s="125" t="s">
        <v>102</v>
      </c>
      <c r="F19" s="115">
        <v>1.74</v>
      </c>
      <c r="G19" s="116">
        <v>15</v>
      </c>
      <c r="H19" s="120" t="s">
        <v>69</v>
      </c>
      <c r="I19" s="120" t="s">
        <v>70</v>
      </c>
      <c r="J19" s="117">
        <f>IF($A19="","",IF($I19="Ganada",ROUND($G19*($F19-1),2),IF($I19="Medio Ganada",ROUND($G19/2*($F19-1),2),IF($I19="Perdida",IF($H19="Free Bet",0,-$G19),IF($I19="Medio Perdida",IF($H19="Free Bet",0,-$G19/2),IF($I19="Reembolso",IF($R19="","",ROUND($R19-$G19,2)),IF($I19="Anulada",0,"")))))))</f>
        <v>11.1</v>
      </c>
      <c r="K19" s="118">
        <f>IF(J19="","",2000+SUM(J$5:J19))</f>
        <v>2017.55</v>
      </c>
      <c r="L19" s="119">
        <f>IF(OR($I19="Ganada",$I19="Perdida",$I19="Medio Ganada",$I19="Medio Perdida"),IF($G19=0,"",J19/$G19),"")</f>
        <v>0.74</v>
      </c>
      <c r="M19" s="120">
        <f>IF(OR($A19="",$B19=""),"",COUNTIFS($A$5:A19,A19,$B$5:B19,B19))</f>
        <v>10</v>
      </c>
      <c r="N19" s="120">
        <f>IF($A19="","",COUNTA($A$5:$A19))</f>
        <v>15</v>
      </c>
      <c r="O19" s="120">
        <f>IF($A19="","",COUNTA($A$5:$A19))</f>
        <v>15</v>
      </c>
      <c r="P19" s="118">
        <f>IF($K19="","",MAX($K$5:K19))</f>
        <v>2034.05</v>
      </c>
      <c r="Q19" s="117">
        <f>IF($K19="","",K19-P19)</f>
        <v>-16.5</v>
      </c>
      <c r="R19" s="118"/>
      <c r="S19" s="2">
        <f>IF(OR($A19="",$F19=""),"",IF($I19="Pendiente","",ROUND($G19*($F19*0.609-1),2)))</f>
        <v>0.89</v>
      </c>
      <c r="T19" s="2">
        <f>IF($A19="","",IFERROR(SUM($S$5:S19),0))</f>
        <v>16.559999999999999</v>
      </c>
    </row>
    <row r="20" spans="1:20" ht="15" customHeight="1">
      <c r="A20" s="110">
        <v>46194</v>
      </c>
      <c r="B20" s="111" t="s">
        <v>30</v>
      </c>
      <c r="C20" s="112" t="s">
        <v>103</v>
      </c>
      <c r="D20" s="113" t="s">
        <v>67</v>
      </c>
      <c r="E20" s="128" t="s">
        <v>104</v>
      </c>
      <c r="F20" s="115">
        <v>2.1</v>
      </c>
      <c r="G20" s="116">
        <v>15</v>
      </c>
      <c r="H20" s="120" t="s">
        <v>69</v>
      </c>
      <c r="I20" s="120" t="s">
        <v>70</v>
      </c>
      <c r="J20" s="117">
        <f>IF($A20="","",IF($I20="Ganada",ROUND($G20*($F20-1),2),IF($I20="Medio Ganada",ROUND($G20/2*($F20-1),2),IF($I20="Perdida",IF($H20="Free Bet",0,-$G20),IF($I20="Medio Perdida",IF($H20="Free Bet",0,-$G20/2),IF($I20="Reembolso",IF($R20="","",ROUND($R20-$G20,2)),IF($I20="Anulada",0,"")))))))</f>
        <v>16.5</v>
      </c>
      <c r="K20" s="118">
        <f>IF(J20="","",2000+SUM(J$5:J20))</f>
        <v>2034.05</v>
      </c>
      <c r="L20" s="119">
        <f>IF(OR($I20="Ganada",$I20="Perdida",$I20="Medio Ganada",$I20="Medio Perdida"),IF($G20=0,"",J20/$G20),"")</f>
        <v>1.1000000000000001</v>
      </c>
      <c r="M20" s="120">
        <f>IF(OR($A20="",$B20=""),"",COUNTIFS($A$5:A20,A20,$B$5:B20,B20))</f>
        <v>6</v>
      </c>
      <c r="N20" s="120">
        <f>IF($A20="","",COUNTA($A$5:$A20))</f>
        <v>16</v>
      </c>
      <c r="O20" s="120">
        <f>IF($A20="","",COUNTA($A$5:$A20))</f>
        <v>16</v>
      </c>
      <c r="P20" s="118">
        <f>IF($K20="","",MAX($K$5:K20))</f>
        <v>2034.05</v>
      </c>
      <c r="Q20" s="117">
        <f>IF($K20="","",K20-P20)</f>
        <v>0</v>
      </c>
      <c r="R20" s="118"/>
      <c r="S20" s="2">
        <f>IF(OR($A20="",$F20=""),"",IF($I20="Pendiente","",ROUND($G20*($F20*0.609-1),2)))</f>
        <v>4.18</v>
      </c>
      <c r="T20" s="2">
        <f>IF($A20="","",IFERROR(SUM($S$5:S20),0))</f>
        <v>20.74</v>
      </c>
    </row>
    <row r="21" spans="1:20" ht="31.5" customHeight="1">
      <c r="A21" s="110">
        <v>46194</v>
      </c>
      <c r="B21" s="129" t="s">
        <v>31</v>
      </c>
      <c r="C21" s="127" t="s">
        <v>105</v>
      </c>
      <c r="D21" s="113" t="s">
        <v>67</v>
      </c>
      <c r="E21" s="125" t="s">
        <v>106</v>
      </c>
      <c r="F21" s="115">
        <v>2.15</v>
      </c>
      <c r="G21" s="116">
        <v>15</v>
      </c>
      <c r="H21" s="120" t="s">
        <v>69</v>
      </c>
      <c r="I21" s="120" t="s">
        <v>75</v>
      </c>
      <c r="J21" s="117">
        <f>IF($A21="","",IF($I21="Ganada",ROUND($G21*($F21-1),2),IF($I21="Medio Ganada",ROUND($G21/2*($F21-1),2),IF($I21="Perdida",IF($H21="Free Bet",0,-$G21),IF($I21="Medio Perdida",IF($H21="Free Bet",0,-$G21/2),IF($I21="Reembolso",IF($R21="","",ROUND($R21-$G21,2)),IF($I21="Anulada",0,"")))))))</f>
        <v>-15</v>
      </c>
      <c r="K21" s="118">
        <f>IF(J21="","",2000+SUM(J$5:J21))</f>
        <v>2019.05</v>
      </c>
      <c r="L21" s="119">
        <f>IF(OR($I21="Ganada",$I21="Perdida",$I21="Medio Ganada",$I21="Medio Perdida"),IF($G21=0,"",J21/$G21),"")</f>
        <v>-1</v>
      </c>
      <c r="M21" s="120">
        <f>IF(OR($A21="",$B21=""),"",COUNTIFS($A$5:A21,A21,$B$5:B21,B21))</f>
        <v>1</v>
      </c>
      <c r="N21" s="120">
        <f>IF($A21="","",COUNTA($A$5:$A21))</f>
        <v>17</v>
      </c>
      <c r="O21" s="120">
        <f>IF($A21="","",COUNTA($A$5:$A21))</f>
        <v>17</v>
      </c>
      <c r="P21" s="118">
        <f>IF($K21="","",MAX($K$5:K21))</f>
        <v>2034.05</v>
      </c>
      <c r="Q21" s="117">
        <f>IF($K21="","",K21-P21)</f>
        <v>-15</v>
      </c>
      <c r="R21" s="118"/>
      <c r="S21" s="2">
        <f>IF(OR($A21="",$F21=""),"",IF($I21="Pendiente","",ROUND($G21*($F21*0.609-1),2)))</f>
        <v>4.6399999999999997</v>
      </c>
      <c r="T21" s="2">
        <f>IF($A21="","",IFERROR(SUM($S$5:S21),0))</f>
        <v>25.38</v>
      </c>
    </row>
    <row r="22" spans="1:20" ht="24.75" customHeight="1">
      <c r="A22" s="110">
        <v>46194</v>
      </c>
      <c r="B22" s="111" t="s">
        <v>30</v>
      </c>
      <c r="C22" s="127" t="s">
        <v>107</v>
      </c>
      <c r="D22" s="113" t="s">
        <v>67</v>
      </c>
      <c r="E22" s="130" t="s">
        <v>108</v>
      </c>
      <c r="F22" s="115">
        <v>2.12</v>
      </c>
      <c r="G22" s="116">
        <v>15</v>
      </c>
      <c r="H22" s="120" t="s">
        <v>69</v>
      </c>
      <c r="I22" s="120" t="s">
        <v>75</v>
      </c>
      <c r="J22" s="117">
        <f>IF($A22="","",IF($I22="Ganada",ROUND($G22*($F22-1),2),IF($I22="Medio Ganada",ROUND($G22/2*($F22-1),2),IF($I22="Perdida",IF($H22="Free Bet",0,-$G22),IF($I22="Medio Perdida",IF($H22="Free Bet",0,-$G22/2),IF($I22="Reembolso",IF($R22="","",ROUND($R22-$G22,2)),IF($I22="Anulada",0,"")))))))</f>
        <v>-15</v>
      </c>
      <c r="K22" s="118">
        <f>IF(J22="","",2000+SUM(J$5:J22))</f>
        <v>2004.05</v>
      </c>
      <c r="L22" s="119">
        <f>IF(OR($I22="Ganada",$I22="Perdida",$I22="Medio Ganada",$I22="Medio Perdida"),IF($G22=0,"",J22/$G22),"")</f>
        <v>-1</v>
      </c>
      <c r="M22" s="120">
        <f>IF(OR($A22="",$B22=""),"",COUNTIFS($A$5:A22,A22,$B$5:B22,B22))</f>
        <v>7</v>
      </c>
      <c r="N22" s="120">
        <f>IF($A22="","",COUNTA($A$5:$A22))</f>
        <v>18</v>
      </c>
      <c r="O22" s="120">
        <f>IF($A22="","",COUNTA($A$5:$A22))</f>
        <v>18</v>
      </c>
      <c r="P22" s="118">
        <f>IF($K22="","",MAX($K$5:K22))</f>
        <v>2034.05</v>
      </c>
      <c r="Q22" s="117">
        <f>IF($K22="","",K22-P22)</f>
        <v>-30</v>
      </c>
      <c r="R22" s="118"/>
      <c r="S22" s="2">
        <f>IF(OR($A22="",$F22=""),"",IF($I22="Pendiente","",ROUND($G22*($F22*0.609-1),2)))</f>
        <v>4.37</v>
      </c>
      <c r="T22" s="2">
        <f>IF($A22="","",IFERROR(SUM($S$5:S22),0))</f>
        <v>29.75</v>
      </c>
    </row>
    <row r="23" spans="1:20" ht="15" customHeight="1">
      <c r="A23" s="110">
        <v>46194</v>
      </c>
      <c r="B23" s="111" t="s">
        <v>30</v>
      </c>
      <c r="C23" s="121" t="s">
        <v>109</v>
      </c>
      <c r="D23" s="113" t="s">
        <v>67</v>
      </c>
      <c r="E23" s="125" t="s">
        <v>110</v>
      </c>
      <c r="F23" s="115">
        <v>2.1800000000000002</v>
      </c>
      <c r="G23" s="116">
        <v>15</v>
      </c>
      <c r="H23" s="120" t="s">
        <v>69</v>
      </c>
      <c r="I23" s="120" t="s">
        <v>75</v>
      </c>
      <c r="J23" s="117">
        <f>IF($A23="","",IF($I23="Ganada",ROUND($G23*($F23-1),2),IF($I23="Medio Ganada",ROUND($G23/2*($F23-1),2),IF($I23="Perdida",IF($H23="Free Bet",0,-$G23),IF($I23="Medio Perdida",IF($H23="Free Bet",0,-$G23/2),IF($I23="Reembolso",IF($R23="","",ROUND($R23-$G23,2)),IF($I23="Anulada",0,"")))))))</f>
        <v>-15</v>
      </c>
      <c r="K23" s="118">
        <f>IF(J23="","",2000+SUM(J$5:J23))</f>
        <v>1989.05</v>
      </c>
      <c r="L23" s="119">
        <f>IF(OR($I23="Ganada",$I23="Perdida",$I23="Medio Ganada",$I23="Medio Perdida"),IF($G23=0,"",J23/$G23),"")</f>
        <v>-1</v>
      </c>
      <c r="M23" s="120">
        <f>IF(OR($A23="",$B23=""),"",COUNTIFS($A$5:A23,A23,$B$5:B23,B23))</f>
        <v>8</v>
      </c>
      <c r="N23" s="120">
        <f>IF($A23="","",COUNTA($A$5:$A23))</f>
        <v>19</v>
      </c>
      <c r="O23" s="120">
        <f>IF($A23="","",COUNTA($A$5:$A23))</f>
        <v>19</v>
      </c>
      <c r="P23" s="118">
        <f>IF($K23="","",MAX($K$5:K23))</f>
        <v>2034.05</v>
      </c>
      <c r="Q23" s="117">
        <f>IF($K23="","",K23-P23)</f>
        <v>-45</v>
      </c>
      <c r="R23" s="118"/>
      <c r="S23" s="2">
        <f>IF(OR($A23="",$F23=""),"",IF($I23="Pendiente","",ROUND($G23*($F23*0.609-1),2)))</f>
        <v>4.91</v>
      </c>
      <c r="T23" s="2">
        <f>IF($A23="","",IFERROR(SUM($S$5:S23),0))</f>
        <v>34.659999999999997</v>
      </c>
    </row>
    <row r="24" spans="1:20" ht="29.25" customHeight="1">
      <c r="A24" s="110">
        <v>46194</v>
      </c>
      <c r="B24" s="129" t="s">
        <v>31</v>
      </c>
      <c r="C24" s="127" t="s">
        <v>111</v>
      </c>
      <c r="D24" s="113" t="s">
        <v>76</v>
      </c>
      <c r="E24" s="130" t="s">
        <v>112</v>
      </c>
      <c r="F24" s="115">
        <v>2.2000000000000002</v>
      </c>
      <c r="G24" s="116">
        <v>15</v>
      </c>
      <c r="H24" s="120" t="s">
        <v>69</v>
      </c>
      <c r="I24" s="120" t="s">
        <v>70</v>
      </c>
      <c r="J24" s="117">
        <f>IF($A24="","",IF($I24="Ganada",ROUND($G24*($F24-1),2),IF($I24="Medio Ganada",ROUND($G24/2*($F24-1),2),IF($I24="Perdida",IF($H24="Free Bet",0,-$G24),IF($I24="Medio Perdida",IF($H24="Free Bet",0,-$G24/2),IF($I24="Reembolso",IF($R24="","",ROUND($R24-$G24,2)),IF($I24="Anulada",0,"")))))))</f>
        <v>18</v>
      </c>
      <c r="K24" s="118">
        <f>IF(J24="","",2000+SUM(J$5:J24))</f>
        <v>2007.05</v>
      </c>
      <c r="L24" s="119">
        <f>IF(OR($I24="Ganada",$I24="Perdida",$I24="Medio Ganada",$I24="Medio Perdida"),IF($G24=0,"",J24/$G24),"")</f>
        <v>1.2</v>
      </c>
      <c r="M24" s="120">
        <f>IF(OR($A24="",$B24=""),"",COUNTIFS($A$5:A24,A24,$B$5:B24,B24))</f>
        <v>2</v>
      </c>
      <c r="N24" s="120">
        <f>IF($A24="","",COUNTA($A$5:$A24))</f>
        <v>20</v>
      </c>
      <c r="O24" s="120">
        <f>IF($A24="","",COUNTA($A$5:$A24))</f>
        <v>20</v>
      </c>
      <c r="P24" s="118">
        <f>IF($K24="","",MAX($K$5:K24))</f>
        <v>2034.05</v>
      </c>
      <c r="Q24" s="117">
        <f>IF($K24="","",K24-P24)</f>
        <v>-27</v>
      </c>
      <c r="R24" s="118"/>
      <c r="S24" s="2">
        <f>IF(OR($A24="",$F24=""),"",IF($I24="Pendiente","",ROUND($G24*($F24*0.609-1),2)))</f>
        <v>5.0999999999999996</v>
      </c>
      <c r="T24" s="2">
        <f>IF($A24="","",IFERROR(SUM($S$5:S24),0))</f>
        <v>39.76</v>
      </c>
    </row>
    <row r="25" spans="1:20" ht="27" customHeight="1">
      <c r="A25" s="110">
        <v>46194</v>
      </c>
      <c r="B25" s="129" t="s">
        <v>31</v>
      </c>
      <c r="C25" s="127" t="s">
        <v>113</v>
      </c>
      <c r="D25" s="113" t="s">
        <v>76</v>
      </c>
      <c r="E25" s="130" t="s">
        <v>112</v>
      </c>
      <c r="F25" s="115">
        <v>1.4</v>
      </c>
      <c r="G25" s="116">
        <v>20</v>
      </c>
      <c r="H25" s="120" t="s">
        <v>69</v>
      </c>
      <c r="I25" s="120" t="s">
        <v>70</v>
      </c>
      <c r="J25" s="117">
        <f>IF($A25="","",IF($I25="Ganada",ROUND($G25*($F25-1),2),IF($I25="Medio Ganada",ROUND($G25/2*($F25-1),2),IF($I25="Perdida",IF($H25="Free Bet",0,-$G25),IF($I25="Medio Perdida",IF($H25="Free Bet",0,-$G25/2),IF($I25="Reembolso",IF($R25="","",ROUND($R25-$G25,2)),IF($I25="Anulada",0,"")))))))</f>
        <v>8</v>
      </c>
      <c r="K25" s="118">
        <f>IF(J25="","",2000+SUM(J$5:J25))</f>
        <v>2015.05</v>
      </c>
      <c r="L25" s="119">
        <f>IF(OR($I25="Ganada",$I25="Perdida",$I25="Medio Ganada",$I25="Medio Perdida"),IF($G25=0,"",J25/$G25),"")</f>
        <v>0.4</v>
      </c>
      <c r="M25" s="120">
        <f>IF(OR($A25="",$B25=""),"",COUNTIFS($A$5:A25,A25,$B$5:B25,B25))</f>
        <v>3</v>
      </c>
      <c r="N25" s="120">
        <f>IF($A25="","",COUNTA($A$5:$A25))</f>
        <v>21</v>
      </c>
      <c r="O25" s="120">
        <f>IF($A25="","",COUNTA($A$5:$A25))</f>
        <v>21</v>
      </c>
      <c r="P25" s="118">
        <f>IF($K25="","",MAX($K$5:K25))</f>
        <v>2034.05</v>
      </c>
      <c r="Q25" s="117">
        <f>IF($K25="","",K25-P25)</f>
        <v>-19</v>
      </c>
      <c r="R25" s="118"/>
      <c r="S25" s="2">
        <f>IF(OR($A25="",$F25=""),"",IF($I25="Pendiente","",ROUND($G25*($F25*0.609-1),2)))</f>
        <v>-2.95</v>
      </c>
      <c r="T25" s="2">
        <f>IF($A25="","",IFERROR(SUM($S$5:S25),0))</f>
        <v>36.809999999999995</v>
      </c>
    </row>
    <row r="26" spans="1:20" ht="27.75" customHeight="1">
      <c r="A26" s="110">
        <v>46194</v>
      </c>
      <c r="B26" s="111" t="s">
        <v>30</v>
      </c>
      <c r="C26" s="126" t="s">
        <v>114</v>
      </c>
      <c r="D26" s="113" t="s">
        <v>90</v>
      </c>
      <c r="E26" s="131" t="s">
        <v>115</v>
      </c>
      <c r="F26" s="115">
        <v>2</v>
      </c>
      <c r="G26" s="116">
        <v>15</v>
      </c>
      <c r="H26" s="120" t="s">
        <v>69</v>
      </c>
      <c r="I26" s="120" t="s">
        <v>70</v>
      </c>
      <c r="J26" s="117">
        <f>IF($A26="","",IF($I26="Ganada",ROUND($G26*($F26-1),2),IF($I26="Medio Ganada",ROUND($G26/2*($F26-1),2),IF($I26="Perdida",IF($H26="Free Bet",0,-$G26),IF($I26="Medio Perdida",IF($H26="Free Bet",0,-$G26/2),IF($I26="Reembolso",IF($R26="","",ROUND($R26-$G26,2)),IF($I26="Anulada",0,"")))))))</f>
        <v>15</v>
      </c>
      <c r="K26" s="118">
        <f>IF(J26="","",2000+SUM(J$5:J26))</f>
        <v>2030.05</v>
      </c>
      <c r="L26" s="119">
        <f>IF(OR($I26="Ganada",$I26="Perdida",$I26="Medio Ganada",$I26="Medio Perdida"),IF($G26=0,"",J26/$G26),"")</f>
        <v>1</v>
      </c>
      <c r="M26" s="120">
        <f>IF(OR($A26="",$B26=""),"",COUNTIFS($A$5:A26,A26,$B$5:B26,B26))</f>
        <v>9</v>
      </c>
      <c r="N26" s="120">
        <f>IF($A26="","",COUNTA($A$5:$A26))</f>
        <v>22</v>
      </c>
      <c r="O26" s="120">
        <f>IF($A26="","",COUNTA($A$5:$A26))</f>
        <v>22</v>
      </c>
      <c r="P26" s="118">
        <f>IF($K26="","",MAX($K$5:K26))</f>
        <v>2034.05</v>
      </c>
      <c r="Q26" s="117">
        <f>IF($K26="","",K26-P26)</f>
        <v>-4</v>
      </c>
      <c r="R26" s="118"/>
      <c r="S26" s="2">
        <f>IF(OR($A26="",$F26=""),"",IF($I26="Pendiente","",ROUND($G26*($F26*0.609-1),2)))</f>
        <v>3.27</v>
      </c>
      <c r="T26" s="2">
        <f>IF($A26="","",IFERROR(SUM($S$5:S26),0))</f>
        <v>40.08</v>
      </c>
    </row>
    <row r="27" spans="1:20" ht="15" customHeight="1">
      <c r="A27" s="110">
        <v>46194</v>
      </c>
      <c r="B27" s="129" t="s">
        <v>31</v>
      </c>
      <c r="C27" s="112" t="s">
        <v>116</v>
      </c>
      <c r="D27" s="113" t="s">
        <v>67</v>
      </c>
      <c r="E27" s="125" t="s">
        <v>117</v>
      </c>
      <c r="F27" s="115">
        <v>1.67</v>
      </c>
      <c r="G27" s="116">
        <v>20</v>
      </c>
      <c r="H27" s="120" t="s">
        <v>69</v>
      </c>
      <c r="I27" s="120" t="s">
        <v>75</v>
      </c>
      <c r="J27" s="117">
        <f>IF($A27="","",IF($I27="Ganada",ROUND($G27*($F27-1),2),IF($I27="Medio Ganada",ROUND($G27/2*($F27-1),2),IF($I27="Perdida",IF($H27="Free Bet",0,-$G27),IF($I27="Medio Perdida",IF($H27="Free Bet",0,-$G27/2),IF($I27="Reembolso",IF($R27="","",ROUND($R27-$G27,2)),IF($I27="Anulada",0,"")))))))</f>
        <v>-20</v>
      </c>
      <c r="K27" s="118">
        <f>IF(J27="","",2000+SUM(J$5:J27))</f>
        <v>2010.05</v>
      </c>
      <c r="L27" s="119">
        <f>IF(OR($I27="Ganada",$I27="Perdida",$I27="Medio Ganada",$I27="Medio Perdida"),IF($G27=0,"",J27/$G27),"")</f>
        <v>-1</v>
      </c>
      <c r="M27" s="120">
        <f>IF(OR($A27="",$B27=""),"",COUNTIFS($A$5:A27,A27,$B$5:B27,B27))</f>
        <v>4</v>
      </c>
      <c r="N27" s="120">
        <f>IF($A27="","",COUNTA($A$5:$A27))</f>
        <v>23</v>
      </c>
      <c r="O27" s="120">
        <f>IF($A27="","",COUNTA($A$5:$A27))</f>
        <v>23</v>
      </c>
      <c r="P27" s="118">
        <f>IF($K27="","",MAX($K$5:K27))</f>
        <v>2034.05</v>
      </c>
      <c r="Q27" s="117">
        <f>IF($K27="","",K27-P27)</f>
        <v>-24</v>
      </c>
      <c r="R27" s="118"/>
      <c r="S27" s="2">
        <f>IF(OR($A27="",$F27=""),"",IF($I27="Pendiente","",ROUND($G27*($F27*0.609-1),2)))</f>
        <v>0.34</v>
      </c>
      <c r="T27" s="2">
        <f>IF($A27="","",IFERROR(SUM($S$5:S27),0))</f>
        <v>40.42</v>
      </c>
    </row>
    <row r="28" spans="1:20" ht="29.25" customHeight="1">
      <c r="A28" s="110">
        <v>46194</v>
      </c>
      <c r="B28" s="111" t="s">
        <v>30</v>
      </c>
      <c r="C28" s="121" t="s">
        <v>118</v>
      </c>
      <c r="D28" s="113" t="s">
        <v>90</v>
      </c>
      <c r="E28" s="122" t="s">
        <v>119</v>
      </c>
      <c r="F28" s="115">
        <v>1.75</v>
      </c>
      <c r="G28" s="116">
        <v>15</v>
      </c>
      <c r="H28" s="120" t="s">
        <v>69</v>
      </c>
      <c r="I28" s="120" t="s">
        <v>88</v>
      </c>
      <c r="J28" s="117">
        <f>IF($A28="","",IF($I28="Ganada",ROUND($G28*($F28-1),2),IF($I28="Medio Ganada",ROUND($G28/2*($F28-1),2),IF($I28="Perdida",IF($H28="Free Bet",0,-$G28),IF($I28="Medio Perdida",IF($H28="Free Bet",0,-$G28/2),IF($I28="Reembolso",IF($R28="","",ROUND($R28-$G28,2)),IF($I28="Anulada",0,"")))))))</f>
        <v>0</v>
      </c>
      <c r="K28" s="118">
        <f>IF(J28="","",2000+SUM(J$5:J28))</f>
        <v>2010.05</v>
      </c>
      <c r="L28" s="119" t="str">
        <f>IF(OR($I28="Ganada",$I28="Perdida",$I28="Medio Ganada",$I28="Medio Perdida"),IF($G28=0,"",J28/$G28),"")</f>
        <v/>
      </c>
      <c r="M28" s="120">
        <f>IF(OR($A28="",$B28=""),"",COUNTIFS($A$5:A28,A28,$B$5:B28,B28))</f>
        <v>10</v>
      </c>
      <c r="N28" s="120">
        <f>IF($A28="","",COUNTA($A$5:$A28))</f>
        <v>24</v>
      </c>
      <c r="O28" s="120">
        <f>IF($A28="","",COUNTA($A$5:$A28))</f>
        <v>24</v>
      </c>
      <c r="P28" s="118">
        <f>IF($K28="","",MAX($K$5:K28))</f>
        <v>2034.05</v>
      </c>
      <c r="Q28" s="117">
        <f>IF($K28="","",K28-P28)</f>
        <v>-24</v>
      </c>
      <c r="R28" s="118"/>
      <c r="S28" s="2">
        <f>IF(OR($A28="",$F28=""),"",IF($I28="Pendiente","",ROUND($G28*($F28*0.609-1),2)))</f>
        <v>0.99</v>
      </c>
      <c r="T28" s="2">
        <f>IF($A28="","",IFERROR(SUM($S$5:S28),0))</f>
        <v>41.410000000000004</v>
      </c>
    </row>
    <row r="29" spans="1:20" ht="15" customHeight="1">
      <c r="A29" s="110">
        <v>46195</v>
      </c>
      <c r="B29" s="124" t="s">
        <v>28</v>
      </c>
      <c r="C29" s="112" t="s">
        <v>120</v>
      </c>
      <c r="D29" s="113" t="s">
        <v>67</v>
      </c>
      <c r="E29" s="125" t="s">
        <v>121</v>
      </c>
      <c r="F29" s="115">
        <v>1.86</v>
      </c>
      <c r="G29" s="116">
        <v>25</v>
      </c>
      <c r="H29" s="120" t="s">
        <v>69</v>
      </c>
      <c r="I29" s="120" t="s">
        <v>70</v>
      </c>
      <c r="J29" s="117">
        <f>IF($A29="","",IF($I29="Ganada",ROUND($G29*($F29-1),2),IF($I29="Medio Ganada",ROUND($G29/2*($F29-1),2),IF($I29="Perdida",IF($H29="Free Bet",0,-$G29),IF($I29="Medio Perdida",IF($H29="Free Bet",0,-$G29/2),IF($I29="Reembolso",IF($R29="","",ROUND($R29-$G29,2)),IF($I29="Anulada",0,"")))))))</f>
        <v>21.5</v>
      </c>
      <c r="K29" s="118">
        <f>IF(J29="","",2000+SUM(J$5:J29))</f>
        <v>2031.55</v>
      </c>
      <c r="L29" s="119">
        <f>IF(OR($I29="Ganada",$I29="Perdida",$I29="Medio Ganada",$I29="Medio Perdida"),IF($G29=0,"",J29/$G29),"")</f>
        <v>0.86</v>
      </c>
      <c r="M29" s="120">
        <f>IF(OR($A29="",$B29=""),"",COUNTIFS($A$5:A29,A29,$B$5:B29,B29))</f>
        <v>1</v>
      </c>
      <c r="N29" s="120">
        <f>IF($A29="","",COUNTA($A$5:$A29))</f>
        <v>25</v>
      </c>
      <c r="O29" s="120">
        <f>IF($A29="","",COUNTA($A$5:$A29))</f>
        <v>25</v>
      </c>
      <c r="P29" s="118">
        <f>IF($K29="","",MAX($K$5:K29))</f>
        <v>2034.05</v>
      </c>
      <c r="Q29" s="117">
        <f>IF($K29="","",K29-P29)</f>
        <v>-2.5</v>
      </c>
      <c r="R29" s="118"/>
      <c r="S29" s="2">
        <f>IF(OR($A29="",$F29=""),"",IF($I29="Pendiente","",ROUND($G29*($F29*0.609-1),2)))</f>
        <v>3.32</v>
      </c>
      <c r="T29" s="2">
        <f>IF($A29="","",IFERROR(SUM($S$5:S29),0))</f>
        <v>44.730000000000004</v>
      </c>
    </row>
    <row r="30" spans="1:20" ht="15" customHeight="1">
      <c r="A30" s="110">
        <v>46195</v>
      </c>
      <c r="B30" s="124" t="s">
        <v>28</v>
      </c>
      <c r="C30" s="126" t="s">
        <v>122</v>
      </c>
      <c r="D30" s="113" t="s">
        <v>76</v>
      </c>
      <c r="E30" s="125" t="s">
        <v>123</v>
      </c>
      <c r="F30" s="115">
        <v>2.15</v>
      </c>
      <c r="G30" s="116">
        <v>20</v>
      </c>
      <c r="H30" s="120" t="s">
        <v>69</v>
      </c>
      <c r="I30" s="120" t="s">
        <v>70</v>
      </c>
      <c r="J30" s="117">
        <f>IF($A30="","",IF($I30="Ganada",ROUND($G30*($F30-1),2),IF($I30="Medio Ganada",ROUND($G30/2*($F30-1),2),IF($I30="Perdida",IF($H30="Free Bet",0,-$G30),IF($I30="Medio Perdida",IF($H30="Free Bet",0,-$G30/2),IF($I30="Reembolso",IF($R30="","",ROUND($R30-$G30,2)),IF($I30="Anulada",0,"")))))))</f>
        <v>23</v>
      </c>
      <c r="K30" s="118">
        <f>IF(J30="","",2000+SUM(J$5:J30))</f>
        <v>2054.5500000000002</v>
      </c>
      <c r="L30" s="119">
        <f>IF(OR($I30="Ganada",$I30="Perdida",$I30="Medio Ganada",$I30="Medio Perdida"),IF($G30=0,"",J30/$G30),"")</f>
        <v>1.1499999999999999</v>
      </c>
      <c r="M30" s="120">
        <f>IF(OR($A30="",$B30=""),"",COUNTIFS($A$5:A30,A30,$B$5:B30,B30))</f>
        <v>2</v>
      </c>
      <c r="N30" s="120">
        <f>IF($A30="","",COUNTA($A$5:$A30))</f>
        <v>26</v>
      </c>
      <c r="O30" s="120">
        <f>IF($A30="","",COUNTA($A$5:$A30))</f>
        <v>26</v>
      </c>
      <c r="P30" s="118">
        <f>IF($K30="","",MAX($K$5:K30))</f>
        <v>2054.5500000000002</v>
      </c>
      <c r="Q30" s="117">
        <f>IF($K30="","",K30-P30)</f>
        <v>0</v>
      </c>
      <c r="R30" s="118"/>
      <c r="S30" s="2">
        <f>IF(OR($A30="",$F30=""),"",IF($I30="Pendiente","",ROUND($G30*($F30*0.609-1),2)))</f>
        <v>6.19</v>
      </c>
      <c r="T30" s="2">
        <f>IF($A30="","",IFERROR(SUM($S$5:S30),0))</f>
        <v>50.92</v>
      </c>
    </row>
    <row r="31" spans="1:20" ht="24.75" customHeight="1">
      <c r="A31" s="110">
        <v>46195</v>
      </c>
      <c r="B31" s="124" t="s">
        <v>28</v>
      </c>
      <c r="C31" s="126" t="s">
        <v>124</v>
      </c>
      <c r="D31" s="113" t="s">
        <v>67</v>
      </c>
      <c r="E31" s="125" t="s">
        <v>125</v>
      </c>
      <c r="F31" s="115">
        <v>2</v>
      </c>
      <c r="G31" s="116">
        <v>15</v>
      </c>
      <c r="H31" s="120" t="s">
        <v>69</v>
      </c>
      <c r="I31" s="120" t="s">
        <v>75</v>
      </c>
      <c r="J31" s="117">
        <f>IF($A31="","",IF($I31="Ganada",ROUND($G31*($F31-1),2),IF($I31="Medio Ganada",ROUND($G31/2*($F31-1),2),IF($I31="Perdida",IF($H31="Free Bet",0,-$G31),IF($I31="Medio Perdida",IF($H31="Free Bet",0,-$G31/2),IF($I31="Reembolso",IF($R31="","",ROUND($R31-$G31,2)),IF($I31="Anulada",0,"")))))))</f>
        <v>-15</v>
      </c>
      <c r="K31" s="118">
        <f>IF(J31="","",2000+SUM(J$5:J31))</f>
        <v>2039.55</v>
      </c>
      <c r="L31" s="119">
        <f>IF(OR($I31="Ganada",$I31="Perdida",$I31="Medio Ganada",$I31="Medio Perdida"),IF($G31=0,"",J31/$G31),"")</f>
        <v>-1</v>
      </c>
      <c r="M31" s="120">
        <f>IF(OR($A31="",$B31=""),"",COUNTIFS($A$5:A31,A31,$B$5:B31,B31))</f>
        <v>3</v>
      </c>
      <c r="N31" s="120">
        <f>IF($A31="","",COUNTA($A$5:$A31))</f>
        <v>27</v>
      </c>
      <c r="O31" s="120">
        <f>IF($A31="","",COUNTA($A$5:$A31))</f>
        <v>27</v>
      </c>
      <c r="P31" s="118">
        <f>IF($K31="","",MAX($K$5:K31))</f>
        <v>2054.5500000000002</v>
      </c>
      <c r="Q31" s="117">
        <f>IF($K31="","",K31-P31)</f>
        <v>-15.000000000000227</v>
      </c>
      <c r="R31" s="118"/>
      <c r="S31" s="2">
        <f>IF(OR($A31="",$F31=""),"",IF($I31="Pendiente","",ROUND($G31*($F31*0.609-1),2)))</f>
        <v>3.27</v>
      </c>
      <c r="T31" s="2">
        <f>IF($A31="","",IFERROR(SUM($S$5:S31),0))</f>
        <v>54.190000000000005</v>
      </c>
    </row>
    <row r="32" spans="1:20" ht="15" customHeight="1">
      <c r="A32" s="110">
        <v>46195</v>
      </c>
      <c r="B32" s="124" t="s">
        <v>28</v>
      </c>
      <c r="C32" s="126" t="s">
        <v>126</v>
      </c>
      <c r="D32" s="113" t="s">
        <v>67</v>
      </c>
      <c r="E32" s="125" t="s">
        <v>127</v>
      </c>
      <c r="F32" s="115">
        <v>2</v>
      </c>
      <c r="G32" s="116">
        <v>15</v>
      </c>
      <c r="H32" s="120" t="s">
        <v>69</v>
      </c>
      <c r="I32" s="120" t="s">
        <v>75</v>
      </c>
      <c r="J32" s="117">
        <f>IF($A32="","",IF($I32="Ganada",ROUND($G32*($F32-1),2),IF($I32="Medio Ganada",ROUND($G32/2*($F32-1),2),IF($I32="Perdida",IF($H32="Free Bet",0,-$G32),IF($I32="Medio Perdida",IF($H32="Free Bet",0,-$G32/2),IF($I32="Reembolso",IF($R32="","",ROUND($R32-$G32,2)),IF($I32="Anulada",0,"")))))))</f>
        <v>-15</v>
      </c>
      <c r="K32" s="118">
        <f>IF(J32="","",2000+SUM(J$5:J32))</f>
        <v>2024.55</v>
      </c>
      <c r="L32" s="119">
        <f>IF(OR($I32="Ganada",$I32="Perdida",$I32="Medio Ganada",$I32="Medio Perdida"),IF($G32=0,"",J32/$G32),"")</f>
        <v>-1</v>
      </c>
      <c r="M32" s="120">
        <f>IF(OR($A32="",$B32=""),"",COUNTIFS($A$5:A32,A32,$B$5:B32,B32))</f>
        <v>4</v>
      </c>
      <c r="N32" s="120">
        <f>IF($A32="","",COUNTA($A$5:$A32))</f>
        <v>28</v>
      </c>
      <c r="O32" s="120">
        <f>IF($A32="","",COUNTA($A$5:$A32))</f>
        <v>28</v>
      </c>
      <c r="P32" s="118">
        <f>IF($K32="","",MAX($K$5:K32))</f>
        <v>2054.5500000000002</v>
      </c>
      <c r="Q32" s="117">
        <f>IF($K32="","",K32-P32)</f>
        <v>-30.000000000000227</v>
      </c>
      <c r="R32" s="118"/>
      <c r="S32" s="2">
        <f>IF(OR($A32="",$F32=""),"",IF($I32="Pendiente","",ROUND($G32*($F32*0.609-1),2)))</f>
        <v>3.27</v>
      </c>
      <c r="T32" s="2">
        <f>IF($A32="","",IFERROR(SUM($S$5:S32),0))</f>
        <v>57.460000000000008</v>
      </c>
    </row>
    <row r="33" spans="1:20" ht="15" customHeight="1">
      <c r="A33" s="110">
        <v>46195</v>
      </c>
      <c r="B33" s="124" t="s">
        <v>28</v>
      </c>
      <c r="C33" s="126" t="s">
        <v>128</v>
      </c>
      <c r="D33" s="113" t="s">
        <v>67</v>
      </c>
      <c r="E33" s="125" t="s">
        <v>129</v>
      </c>
      <c r="F33" s="115">
        <v>1.9</v>
      </c>
      <c r="G33" s="116">
        <v>15</v>
      </c>
      <c r="H33" s="120" t="s">
        <v>69</v>
      </c>
      <c r="I33" s="120" t="s">
        <v>70</v>
      </c>
      <c r="J33" s="117">
        <f>IF($A33="","",IF($I33="Ganada",ROUND($G33*($F33-1),2),IF($I33="Medio Ganada",ROUND($G33/2*($F33-1),2),IF($I33="Perdida",IF($H33="Free Bet",0,-$G33),IF($I33="Medio Perdida",IF($H33="Free Bet",0,-$G33/2),IF($I33="Reembolso",IF($R33="","",ROUND($R33-$G33,2)),IF($I33="Anulada",0,"")))))))</f>
        <v>13.5</v>
      </c>
      <c r="K33" s="118">
        <f>IF(J33="","",2000+SUM(J$5:J33))</f>
        <v>2038.05</v>
      </c>
      <c r="L33" s="119">
        <f>IF(OR($I33="Ganada",$I33="Perdida",$I33="Medio Ganada",$I33="Medio Perdida"),IF($G33=0,"",J33/$G33),"")</f>
        <v>0.9</v>
      </c>
      <c r="M33" s="120">
        <f>IF(OR($A33="",$B33=""),"",COUNTIFS($A$5:A33,A33,$B$5:B33,B33))</f>
        <v>5</v>
      </c>
      <c r="N33" s="120">
        <f>IF($A33="","",COUNTA($A$5:$A33))</f>
        <v>29</v>
      </c>
      <c r="O33" s="120">
        <f>IF($A33="","",COUNTA($A$5:$A33))</f>
        <v>29</v>
      </c>
      <c r="P33" s="118">
        <f>IF($K33="","",MAX($K$5:K33))</f>
        <v>2054.5500000000002</v>
      </c>
      <c r="Q33" s="117">
        <f>IF($K33="","",K33-P33)</f>
        <v>-16.500000000000227</v>
      </c>
      <c r="R33" s="118"/>
      <c r="S33" s="2">
        <f>IF(OR($A33="",$F33=""),"",IF($I33="Pendiente","",ROUND($G33*($F33*0.609-1),2)))</f>
        <v>2.36</v>
      </c>
      <c r="T33" s="2">
        <f>IF($A33="","",IFERROR(SUM($S$5:S33),0))</f>
        <v>59.820000000000007</v>
      </c>
    </row>
    <row r="34" spans="1:20" ht="27" customHeight="1">
      <c r="A34" s="110">
        <v>46195</v>
      </c>
      <c r="B34" s="124" t="s">
        <v>28</v>
      </c>
      <c r="C34" s="127" t="s">
        <v>130</v>
      </c>
      <c r="D34" s="113" t="s">
        <v>67</v>
      </c>
      <c r="E34" s="128" t="s">
        <v>131</v>
      </c>
      <c r="F34" s="115">
        <v>2</v>
      </c>
      <c r="G34" s="116">
        <v>15</v>
      </c>
      <c r="H34" s="120" t="s">
        <v>69</v>
      </c>
      <c r="I34" s="120" t="s">
        <v>75</v>
      </c>
      <c r="J34" s="117">
        <f>IF($A34="","",IF($I34="Ganada",ROUND($G34*($F34-1),2),IF($I34="Medio Ganada",ROUND($G34/2*($F34-1),2),IF($I34="Perdida",IF($H34="Free Bet",0,-$G34),IF($I34="Medio Perdida",IF($H34="Free Bet",0,-$G34/2),IF($I34="Reembolso",IF($R34="","",ROUND($R34-$G34,2)),IF($I34="Anulada",0,"")))))))</f>
        <v>-15</v>
      </c>
      <c r="K34" s="118">
        <f>IF(J34="","",2000+SUM(J$5:J34))</f>
        <v>2023.05</v>
      </c>
      <c r="L34" s="119">
        <f>IF(OR($I34="Ganada",$I34="Perdida",$I34="Medio Ganada",$I34="Medio Perdida"),IF($G34=0,"",J34/$G34),"")</f>
        <v>-1</v>
      </c>
      <c r="M34" s="120">
        <f>IF(OR($A34="",$B34=""),"",COUNTIFS($A$5:A34,A34,$B$5:B34,B34))</f>
        <v>6</v>
      </c>
      <c r="N34" s="120">
        <f>IF($A34="","",COUNTA($A$5:$A34))</f>
        <v>30</v>
      </c>
      <c r="O34" s="120">
        <f>IF($A34="","",COUNTA($A$5:$A34))</f>
        <v>30</v>
      </c>
      <c r="P34" s="118">
        <f>IF($K34="","",MAX($K$5:K34))</f>
        <v>2054.5500000000002</v>
      </c>
      <c r="Q34" s="117">
        <f>IF($K34="","",K34-P34)</f>
        <v>-31.500000000000227</v>
      </c>
      <c r="R34" s="118"/>
      <c r="S34" s="2">
        <f>IF(OR($A34="",$F34=""),"",IF($I34="Pendiente","",ROUND($G34*($F34*0.609-1),2)))</f>
        <v>3.27</v>
      </c>
      <c r="T34" s="2">
        <f>IF($A34="","",IFERROR(SUM($S$5:S34),0))</f>
        <v>63.090000000000011</v>
      </c>
    </row>
    <row r="35" spans="1:20" ht="15" customHeight="1">
      <c r="A35" s="110">
        <v>46195</v>
      </c>
      <c r="B35" s="129" t="s">
        <v>31</v>
      </c>
      <c r="C35" s="112" t="s">
        <v>132</v>
      </c>
      <c r="D35" s="113" t="s">
        <v>76</v>
      </c>
      <c r="E35" s="125" t="s">
        <v>112</v>
      </c>
      <c r="F35" s="115">
        <v>1.3</v>
      </c>
      <c r="G35" s="116">
        <v>25</v>
      </c>
      <c r="H35" s="120" t="s">
        <v>69</v>
      </c>
      <c r="I35" s="120" t="s">
        <v>70</v>
      </c>
      <c r="J35" s="117">
        <f>IF($A35="","",IF($I35="Ganada",ROUND($G35*($F35-1),2),IF($I35="Medio Ganada",ROUND($G35/2*($F35-1),2),IF($I35="Perdida",IF($H35="Free Bet",0,-$G35),IF($I35="Medio Perdida",IF($H35="Free Bet",0,-$G35/2),IF($I35="Reembolso",IF($R35="","",ROUND($R35-$G35,2)),IF($I35="Anulada",0,"")))))))</f>
        <v>7.5</v>
      </c>
      <c r="K35" s="118">
        <f>IF(J35="","",2000+SUM(J$5:J35))</f>
        <v>2030.55</v>
      </c>
      <c r="L35" s="119">
        <f>IF(OR($I35="Ganada",$I35="Perdida",$I35="Medio Ganada",$I35="Medio Perdida"),IF($G35=0,"",J35/$G35),"")</f>
        <v>0.3</v>
      </c>
      <c r="M35" s="120">
        <f>IF(OR($A35="",$B35=""),"",COUNTIFS($A$5:A35,A35,$B$5:B35,B35))</f>
        <v>1</v>
      </c>
      <c r="N35" s="120">
        <f>IF($A35="","",COUNTA($A$5:$A35))</f>
        <v>31</v>
      </c>
      <c r="O35" s="120">
        <f>IF($A35="","",COUNTA($A$5:$A35))</f>
        <v>31</v>
      </c>
      <c r="P35" s="118">
        <f>IF($K35="","",MAX($K$5:K35))</f>
        <v>2054.5500000000002</v>
      </c>
      <c r="Q35" s="117">
        <f>IF($K35="","",K35-P35)</f>
        <v>-24.000000000000227</v>
      </c>
      <c r="R35" s="118"/>
      <c r="S35" s="2">
        <f>IF(OR($A35="",$F35=""),"",IF($I35="Pendiente","",ROUND($G35*($F35*0.609-1),2)))</f>
        <v>-5.21</v>
      </c>
      <c r="T35" s="2">
        <f>IF($A35="","",IFERROR(SUM($S$5:S35),0))</f>
        <v>57.88000000000001</v>
      </c>
    </row>
    <row r="36" spans="1:20" ht="28.5" customHeight="1">
      <c r="A36" s="110">
        <v>46195</v>
      </c>
      <c r="B36" s="124" t="s">
        <v>28</v>
      </c>
      <c r="C36" s="127" t="s">
        <v>133</v>
      </c>
      <c r="D36" s="113" t="s">
        <v>76</v>
      </c>
      <c r="E36" s="125" t="s">
        <v>134</v>
      </c>
      <c r="F36" s="115">
        <v>1.76</v>
      </c>
      <c r="G36" s="116">
        <v>20</v>
      </c>
      <c r="H36" s="120" t="s">
        <v>69</v>
      </c>
      <c r="I36" s="120" t="s">
        <v>75</v>
      </c>
      <c r="J36" s="117">
        <f>IF($A36="","",IF($I36="Ganada",ROUND($G36*($F36-1),2),IF($I36="Medio Ganada",ROUND($G36/2*($F36-1),2),IF($I36="Perdida",IF($H36="Free Bet",0,-$G36),IF($I36="Medio Perdida",IF($H36="Free Bet",0,-$G36/2),IF($I36="Reembolso",IF($R36="","",ROUND($R36-$G36,2)),IF($I36="Anulada",0,"")))))))</f>
        <v>-20</v>
      </c>
      <c r="K36" s="118">
        <f>IF(J36="","",2000+SUM(J$5:J36))</f>
        <v>2010.55</v>
      </c>
      <c r="L36" s="119">
        <f>IF(OR($I36="Ganada",$I36="Perdida",$I36="Medio Ganada",$I36="Medio Perdida"),IF($G36=0,"",J36/$G36),"")</f>
        <v>-1</v>
      </c>
      <c r="M36" s="120">
        <f>IF(OR($A36="",$B36=""),"",COUNTIFS($A$5:A36,A36,$B$5:B36,B36))</f>
        <v>7</v>
      </c>
      <c r="N36" s="120">
        <f>IF($A36="","",COUNTA($A$5:$A36))</f>
        <v>32</v>
      </c>
      <c r="O36" s="120">
        <f>IF($A36="","",COUNTA($A$5:$A36))</f>
        <v>32</v>
      </c>
      <c r="P36" s="118">
        <f>IF($K36="","",MAX($K$5:K36))</f>
        <v>2054.5500000000002</v>
      </c>
      <c r="Q36" s="117">
        <f>IF($K36="","",K36-P36)</f>
        <v>-44.000000000000227</v>
      </c>
      <c r="R36" s="118"/>
      <c r="S36" s="2">
        <f>IF(OR($A36="",$F36=""),"",IF($I36="Pendiente","",ROUND($G36*($F36*0.609-1),2)))</f>
        <v>1.44</v>
      </c>
      <c r="T36" s="2">
        <f>IF($A36="","",IFERROR(SUM($S$5:S36),0))</f>
        <v>59.320000000000007</v>
      </c>
    </row>
    <row r="37" spans="1:20" ht="15" customHeight="1">
      <c r="A37" s="110">
        <v>46195</v>
      </c>
      <c r="B37" s="132" t="s">
        <v>29</v>
      </c>
      <c r="C37" s="112" t="s">
        <v>135</v>
      </c>
      <c r="D37" s="113" t="s">
        <v>67</v>
      </c>
      <c r="E37" s="128" t="s">
        <v>136</v>
      </c>
      <c r="F37" s="115">
        <v>1.8</v>
      </c>
      <c r="G37" s="116">
        <v>15</v>
      </c>
      <c r="H37" s="120" t="s">
        <v>69</v>
      </c>
      <c r="I37" s="120" t="s">
        <v>70</v>
      </c>
      <c r="J37" s="117">
        <f>IF($A37="","",IF($I37="Ganada",ROUND($G37*($F37-1),2),IF($I37="Medio Ganada",ROUND($G37/2*($F37-1),2),IF($I37="Perdida",IF($H37="Free Bet",0,-$G37),IF($I37="Medio Perdida",IF($H37="Free Bet",0,-$G37/2),IF($I37="Reembolso",IF($R37="","",ROUND($R37-$G37,2)),IF($I37="Anulada",0,"")))))))</f>
        <v>12</v>
      </c>
      <c r="K37" s="118">
        <f>IF(J37="","",2000+SUM(J$5:J37))</f>
        <v>2022.55</v>
      </c>
      <c r="L37" s="119">
        <f>IF(OR($I37="Ganada",$I37="Perdida",$I37="Medio Ganada",$I37="Medio Perdida"),IF($G37=0,"",J37/$G37),"")</f>
        <v>0.8</v>
      </c>
      <c r="M37" s="120">
        <f>IF(OR($A37="",$B37=""),"",COUNTIFS($A$5:A37,A37,$B$5:B37,B37))</f>
        <v>1</v>
      </c>
      <c r="N37" s="120">
        <f>IF($A37="","",COUNTA($A$5:$A37))</f>
        <v>33</v>
      </c>
      <c r="O37" s="120">
        <f>IF($A37="","",COUNTA($A$5:$A37))</f>
        <v>33</v>
      </c>
      <c r="P37" s="118">
        <f>IF($K37="","",MAX($K$5:K37))</f>
        <v>2054.5500000000002</v>
      </c>
      <c r="Q37" s="117">
        <f>IF($K37="","",K37-P37)</f>
        <v>-32.000000000000227</v>
      </c>
      <c r="R37" s="118"/>
      <c r="S37" s="2">
        <f>IF(OR($A37="",$F37=""),"",IF($I37="Pendiente","",ROUND($G37*($F37*0.609-1),2)))</f>
        <v>1.44</v>
      </c>
      <c r="T37" s="2">
        <f>IF($A37="","",IFERROR(SUM($S$5:S37),0))</f>
        <v>60.760000000000005</v>
      </c>
    </row>
    <row r="38" spans="1:20" ht="15" customHeight="1">
      <c r="A38" s="110">
        <v>46195</v>
      </c>
      <c r="B38" s="124" t="s">
        <v>28</v>
      </c>
      <c r="C38" s="112" t="s">
        <v>137</v>
      </c>
      <c r="D38" s="113" t="s">
        <v>67</v>
      </c>
      <c r="E38" s="128" t="s">
        <v>138</v>
      </c>
      <c r="F38" s="115">
        <v>1.8</v>
      </c>
      <c r="G38" s="116">
        <v>25</v>
      </c>
      <c r="H38" s="120" t="s">
        <v>69</v>
      </c>
      <c r="I38" s="120" t="s">
        <v>75</v>
      </c>
      <c r="J38" s="117">
        <f>IF($A38="","",IF($I38="Ganada",ROUND($G38*($F38-1),2),IF($I38="Medio Ganada",ROUND($G38/2*($F38-1),2),IF($I38="Perdida",IF($H38="Free Bet",0,-$G38),IF($I38="Medio Perdida",IF($H38="Free Bet",0,-$G38/2),IF($I38="Reembolso",IF($R38="","",ROUND($R38-$G38,2)),IF($I38="Anulada",0,"")))))))</f>
        <v>-25</v>
      </c>
      <c r="K38" s="118">
        <f>IF(J38="","",2000+SUM(J$5:J38))</f>
        <v>1997.55</v>
      </c>
      <c r="L38" s="119">
        <f>IF(OR($I38="Ganada",$I38="Perdida",$I38="Medio Ganada",$I38="Medio Perdida"),IF($G38=0,"",J38/$G38),"")</f>
        <v>-1</v>
      </c>
      <c r="M38" s="120">
        <f>IF(OR($A38="",$B38=""),"",COUNTIFS($A$5:A38,A38,$B$5:B38,B38))</f>
        <v>8</v>
      </c>
      <c r="N38" s="120">
        <f>IF($A38="","",COUNTA($A$5:$A38))</f>
        <v>34</v>
      </c>
      <c r="O38" s="120">
        <f>IF($A38="","",COUNTA($A$5:$A38))</f>
        <v>34</v>
      </c>
      <c r="P38" s="118">
        <f>IF($K38="","",MAX($K$5:K38))</f>
        <v>2054.5500000000002</v>
      </c>
      <c r="Q38" s="117">
        <f>IF($K38="","",K38-P38)</f>
        <v>-57.000000000000227</v>
      </c>
      <c r="R38" s="118"/>
      <c r="S38" s="2">
        <f>IF(OR($A38="",$F38=""),"",IF($I38="Pendiente","",ROUND($G38*($F38*0.609-1),2)))</f>
        <v>2.41</v>
      </c>
      <c r="T38" s="2">
        <f>IF($A38="","",IFERROR(SUM($S$5:S38),0))</f>
        <v>63.17</v>
      </c>
    </row>
    <row r="39" spans="1:20" ht="30.75" customHeight="1">
      <c r="A39" s="110">
        <v>46195</v>
      </c>
      <c r="B39" s="124" t="s">
        <v>28</v>
      </c>
      <c r="C39" s="127" t="s">
        <v>139</v>
      </c>
      <c r="D39" s="113" t="s">
        <v>76</v>
      </c>
      <c r="E39" s="122" t="s">
        <v>140</v>
      </c>
      <c r="F39" s="115">
        <v>1.64</v>
      </c>
      <c r="G39" s="116">
        <v>20</v>
      </c>
      <c r="H39" s="120" t="s">
        <v>69</v>
      </c>
      <c r="I39" s="120" t="s">
        <v>70</v>
      </c>
      <c r="J39" s="117">
        <f>IF($A39="","",IF($I39="Ganada",ROUND($G39*($F39-1),2),IF($I39="Medio Ganada",ROUND($G39/2*($F39-1),2),IF($I39="Perdida",IF($H39="Free Bet",0,-$G39),IF($I39="Medio Perdida",IF($H39="Free Bet",0,-$G39/2),IF($I39="Reembolso",IF($R39="","",ROUND($R39-$G39,2)),IF($I39="Anulada",0,"")))))))</f>
        <v>12.8</v>
      </c>
      <c r="K39" s="118">
        <f>IF(J39="","",2000+SUM(J$5:J39))</f>
        <v>2010.35</v>
      </c>
      <c r="L39" s="119">
        <f>IF(OR($I39="Ganada",$I39="Perdida",$I39="Medio Ganada",$I39="Medio Perdida"),IF($G39=0,"",J39/$G39),"")</f>
        <v>0.64</v>
      </c>
      <c r="M39" s="120">
        <f>IF(OR($A39="",$B39=""),"",COUNTIFS($A$5:A39,A39,$B$5:B39,B39))</f>
        <v>9</v>
      </c>
      <c r="N39" s="120">
        <f>IF($A39="","",COUNTA($A$5:$A39))</f>
        <v>35</v>
      </c>
      <c r="O39" s="120">
        <f>IF($A39="","",COUNTA($A$5:$A39))</f>
        <v>35</v>
      </c>
      <c r="P39" s="118">
        <f>IF($K39="","",MAX($K$5:K39))</f>
        <v>2054.5500000000002</v>
      </c>
      <c r="Q39" s="117">
        <f>IF($K39="","",K39-P39)</f>
        <v>-44.200000000000273</v>
      </c>
      <c r="R39" s="118"/>
      <c r="S39" s="2">
        <f>IF(OR($A39="",$F39=""),"",IF($I39="Pendiente","",ROUND($G39*($F39*0.609-1),2)))</f>
        <v>-0.02</v>
      </c>
      <c r="T39" s="2">
        <f>IF($A39="","",IFERROR(SUM($S$5:S39),0))</f>
        <v>63.15</v>
      </c>
    </row>
    <row r="40" spans="1:20" ht="15" customHeight="1">
      <c r="A40" s="110">
        <v>46195</v>
      </c>
      <c r="B40" s="124" t="s">
        <v>28</v>
      </c>
      <c r="C40" s="112" t="s">
        <v>141</v>
      </c>
      <c r="D40" s="113" t="s">
        <v>67</v>
      </c>
      <c r="E40" s="125" t="s">
        <v>127</v>
      </c>
      <c r="F40" s="115">
        <v>1.86</v>
      </c>
      <c r="G40" s="116">
        <v>20</v>
      </c>
      <c r="H40" s="120" t="s">
        <v>69</v>
      </c>
      <c r="I40" s="120" t="s">
        <v>75</v>
      </c>
      <c r="J40" s="117">
        <f>IF($A40="","",IF($I40="Ganada",ROUND($G40*($F40-1),2),IF($I40="Medio Ganada",ROUND($G40/2*($F40-1),2),IF($I40="Perdida",IF($H40="Free Bet",0,-$G40),IF($I40="Medio Perdida",IF($H40="Free Bet",0,-$G40/2),IF($I40="Reembolso",IF($R40="","",ROUND($R40-$G40,2)),IF($I40="Anulada",0,"")))))))</f>
        <v>-20</v>
      </c>
      <c r="K40" s="118">
        <f>IF(J40="","",2000+SUM(J$5:J40))</f>
        <v>1990.35</v>
      </c>
      <c r="L40" s="119">
        <f>IF(OR($I40="Ganada",$I40="Perdida",$I40="Medio Ganada",$I40="Medio Perdida"),IF($G40=0,"",J40/$G40),"")</f>
        <v>-1</v>
      </c>
      <c r="M40" s="120">
        <f>IF(OR($A40="",$B40=""),"",COUNTIFS($A$5:A40,A40,$B$5:B40,B40))</f>
        <v>10</v>
      </c>
      <c r="N40" s="120">
        <f>IF($A40="","",COUNTA($A$5:$A40))</f>
        <v>36</v>
      </c>
      <c r="O40" s="120">
        <f>IF($A40="","",COUNTA($A$5:$A40))</f>
        <v>36</v>
      </c>
      <c r="P40" s="118">
        <f>IF($K40="","",MAX($K$5:K40))</f>
        <v>2054.5500000000002</v>
      </c>
      <c r="Q40" s="117">
        <f>IF($K40="","",K40-P40)</f>
        <v>-64.200000000000273</v>
      </c>
      <c r="R40" s="118"/>
      <c r="S40" s="2">
        <f>IF(OR($A40="",$F40=""),"",IF($I40="Pendiente","",ROUND($G40*($F40*0.609-1),2)))</f>
        <v>2.65</v>
      </c>
      <c r="T40" s="2">
        <f>IF($A40="","",IFERROR(SUM($S$5:S40),0))</f>
        <v>65.8</v>
      </c>
    </row>
    <row r="41" spans="1:20" ht="25.5" customHeight="1">
      <c r="A41" s="110">
        <v>46195</v>
      </c>
      <c r="B41" s="129" t="s">
        <v>31</v>
      </c>
      <c r="C41" s="127" t="s">
        <v>142</v>
      </c>
      <c r="D41" s="113" t="s">
        <v>67</v>
      </c>
      <c r="E41" s="128" t="s">
        <v>143</v>
      </c>
      <c r="F41" s="115">
        <v>1.85</v>
      </c>
      <c r="G41" s="116">
        <v>15</v>
      </c>
      <c r="H41" s="120" t="s">
        <v>69</v>
      </c>
      <c r="I41" s="120" t="s">
        <v>75</v>
      </c>
      <c r="J41" s="117">
        <f>IF($A41="","",IF($I41="Ganada",ROUND($G41*($F41-1),2),IF($I41="Medio Ganada",ROUND($G41/2*($F41-1),2),IF($I41="Perdida",IF($H41="Free Bet",0,-$G41),IF($I41="Medio Perdida",IF($H41="Free Bet",0,-$G41/2),IF($I41="Reembolso",IF($R41="","",ROUND($R41-$G41,2)),IF($I41="Anulada",0,"")))))))</f>
        <v>-15</v>
      </c>
      <c r="K41" s="118">
        <f>IF(J41="","",2000+SUM(J$5:J41))</f>
        <v>1975.35</v>
      </c>
      <c r="L41" s="119">
        <f>IF(OR($I41="Ganada",$I41="Perdida",$I41="Medio Ganada",$I41="Medio Perdida"),IF($G41=0,"",J41/$G41),"")</f>
        <v>-1</v>
      </c>
      <c r="M41" s="120">
        <f>IF(OR($A41="",$B41=""),"",COUNTIFS($A$5:A41,A41,$B$5:B41,B41))</f>
        <v>2</v>
      </c>
      <c r="N41" s="120">
        <f>IF($A41="","",COUNTA($A$5:$A41))</f>
        <v>37</v>
      </c>
      <c r="O41" s="120">
        <f>IF($A41="","",COUNTA($A$5:$A41))</f>
        <v>37</v>
      </c>
      <c r="P41" s="118">
        <f>IF($K41="","",MAX($K$5:K41))</f>
        <v>2054.5500000000002</v>
      </c>
      <c r="Q41" s="117">
        <f>IF($K41="","",K41-P41)</f>
        <v>-79.200000000000273</v>
      </c>
      <c r="R41" s="118"/>
      <c r="S41" s="2">
        <f>IF(OR($A41="",$F41=""),"",IF($I41="Pendiente","",ROUND($G41*($F41*0.609-1),2)))</f>
        <v>1.9</v>
      </c>
      <c r="T41" s="2">
        <f>IF($A41="","",IFERROR(SUM($S$5:S41),0))</f>
        <v>67.7</v>
      </c>
    </row>
    <row r="42" spans="1:20" ht="15" customHeight="1">
      <c r="A42" s="110">
        <v>46195</v>
      </c>
      <c r="B42" s="129" t="s">
        <v>31</v>
      </c>
      <c r="C42" s="112" t="s">
        <v>144</v>
      </c>
      <c r="D42" s="113" t="s">
        <v>95</v>
      </c>
      <c r="E42" s="125" t="s">
        <v>145</v>
      </c>
      <c r="F42" s="115">
        <v>2.25</v>
      </c>
      <c r="G42" s="116">
        <v>15</v>
      </c>
      <c r="H42" s="120" t="s">
        <v>69</v>
      </c>
      <c r="I42" s="120" t="s">
        <v>70</v>
      </c>
      <c r="J42" s="117">
        <f>IF($A42="","",IF($I42="Ganada",ROUND($G42*($F42-1),2),IF($I42="Medio Ganada",ROUND($G42/2*($F42-1),2),IF($I42="Perdida",IF($H42="Free Bet",0,-$G42),IF($I42="Medio Perdida",IF($H42="Free Bet",0,-$G42/2),IF($I42="Reembolso",IF($R42="","",ROUND($R42-$G42,2)),IF($I42="Anulada",0,"")))))))</f>
        <v>18.75</v>
      </c>
      <c r="K42" s="118">
        <f>IF(J42="","",2000+SUM(J$5:J42))</f>
        <v>1994.1</v>
      </c>
      <c r="L42" s="119">
        <f>IF(OR($I42="Ganada",$I42="Perdida",$I42="Medio Ganada",$I42="Medio Perdida"),IF($G42=0,"",J42/$G42),"")</f>
        <v>1.25</v>
      </c>
      <c r="M42" s="120">
        <f>IF(OR($A42="",$B42=""),"",COUNTIFS($A$5:A42,A42,$B$5:B42,B42))</f>
        <v>3</v>
      </c>
      <c r="N42" s="120">
        <f>IF($A42="","",COUNTA($A$5:$A42))</f>
        <v>38</v>
      </c>
      <c r="O42" s="120">
        <f>IF($A42="","",COUNTA($A$5:$A42))</f>
        <v>38</v>
      </c>
      <c r="P42" s="118">
        <f>IF($K42="","",MAX($K$5:K42))</f>
        <v>2054.5500000000002</v>
      </c>
      <c r="Q42" s="117">
        <f>IF($K42="","",K42-P42)</f>
        <v>-60.450000000000273</v>
      </c>
      <c r="R42" s="118"/>
      <c r="S42" s="2">
        <f>IF(OR($A42="",$F42=""),"",IF($I42="Pendiente","",ROUND($G42*($F42*0.609-1),2)))</f>
        <v>5.55</v>
      </c>
      <c r="T42" s="2">
        <f>IF($A42="","",IFERROR(SUM($S$5:S42),0))</f>
        <v>73.25</v>
      </c>
    </row>
    <row r="43" spans="1:20" ht="15" customHeight="1">
      <c r="A43" s="110">
        <v>46195</v>
      </c>
      <c r="B43" s="111" t="s">
        <v>30</v>
      </c>
      <c r="C43" s="127" t="s">
        <v>146</v>
      </c>
      <c r="D43" s="113" t="s">
        <v>76</v>
      </c>
      <c r="E43" s="125" t="s">
        <v>147</v>
      </c>
      <c r="F43" s="115">
        <v>1.73</v>
      </c>
      <c r="G43" s="116">
        <v>20</v>
      </c>
      <c r="H43" s="120" t="s">
        <v>69</v>
      </c>
      <c r="I43" s="120" t="s">
        <v>70</v>
      </c>
      <c r="J43" s="117">
        <f>IF($A43="","",IF($I43="Ganada",ROUND($G43*($F43-1),2),IF($I43="Medio Ganada",ROUND($G43/2*($F43-1),2),IF($I43="Perdida",IF($H43="Free Bet",0,-$G43),IF($I43="Medio Perdida",IF($H43="Free Bet",0,-$G43/2),IF($I43="Reembolso",IF($R43="","",ROUND($R43-$G43,2)),IF($I43="Anulada",0,"")))))))</f>
        <v>14.6</v>
      </c>
      <c r="K43" s="118">
        <f>IF(J43="","",2000+SUM(J$5:J43))</f>
        <v>2008.7</v>
      </c>
      <c r="L43" s="119">
        <f>IF(OR($I43="Ganada",$I43="Perdida",$I43="Medio Ganada",$I43="Medio Perdida"),IF($G43=0,"",J43/$G43),"")</f>
        <v>0.73</v>
      </c>
      <c r="M43" s="120">
        <f>IF(OR($A43="",$B43=""),"",COUNTIFS($A$5:A43,A43,$B$5:B43,B43))</f>
        <v>1</v>
      </c>
      <c r="N43" s="120">
        <f>IF($A43="","",COUNTA($A$5:$A43))</f>
        <v>39</v>
      </c>
      <c r="O43" s="120">
        <f>IF($A43="","",COUNTA($A$5:$A43))</f>
        <v>39</v>
      </c>
      <c r="P43" s="118">
        <f>IF($K43="","",MAX($K$5:K43))</f>
        <v>2054.5500000000002</v>
      </c>
      <c r="Q43" s="117">
        <f>IF($K43="","",K43-P43)</f>
        <v>-45.850000000000136</v>
      </c>
      <c r="R43" s="118"/>
      <c r="S43" s="2">
        <f>IF(OR($A43="",$F43=""),"",IF($I43="Pendiente","",ROUND($G43*($F43*0.609-1),2)))</f>
        <v>1.07</v>
      </c>
      <c r="T43" s="2">
        <f>IF($A43="","",IFERROR(SUM($S$5:S43),0))</f>
        <v>74.319999999999993</v>
      </c>
    </row>
    <row r="44" spans="1:20" ht="15" customHeight="1">
      <c r="A44" s="110">
        <v>46195</v>
      </c>
      <c r="B44" s="111" t="s">
        <v>30</v>
      </c>
      <c r="C44" s="133" t="s">
        <v>148</v>
      </c>
      <c r="D44" s="113" t="s">
        <v>67</v>
      </c>
      <c r="E44" s="125" t="s">
        <v>149</v>
      </c>
      <c r="F44" s="115">
        <v>2.0699999999999998</v>
      </c>
      <c r="G44" s="116">
        <v>15</v>
      </c>
      <c r="H44" s="120" t="s">
        <v>69</v>
      </c>
      <c r="I44" s="120" t="s">
        <v>70</v>
      </c>
      <c r="J44" s="117">
        <f>IF($A44="","",IF($I44="Ganada",ROUND($G44*($F44-1),2),IF($I44="Medio Ganada",ROUND($G44/2*($F44-1),2),IF($I44="Perdida",IF($H44="Free Bet",0,-$G44),IF($I44="Medio Perdida",IF($H44="Free Bet",0,-$G44/2),IF($I44="Reembolso",IF($R44="","",ROUND($R44-$G44,2)),IF($I44="Anulada",0,"")))))))</f>
        <v>16.05</v>
      </c>
      <c r="K44" s="118">
        <f>IF(J44="","",2000+SUM(J$5:J44))</f>
        <v>2024.75</v>
      </c>
      <c r="L44" s="119">
        <f>IF(OR($I44="Ganada",$I44="Perdida",$I44="Medio Ganada",$I44="Medio Perdida"),IF($G44=0,"",J44/$G44),"")</f>
        <v>1.07</v>
      </c>
      <c r="M44" s="120">
        <f>IF(OR($A44="",$B44=""),"",COUNTIFS($A$5:A44,A44,$B$5:B44,B44))</f>
        <v>2</v>
      </c>
      <c r="N44" s="120">
        <f>IF($A44="","",COUNTA($A$5:$A44))</f>
        <v>40</v>
      </c>
      <c r="O44" s="120">
        <f>IF($A44="","",COUNTA($A$5:$A44))</f>
        <v>40</v>
      </c>
      <c r="P44" s="118">
        <f>IF($K44="","",MAX($K$5:K44))</f>
        <v>2054.5500000000002</v>
      </c>
      <c r="Q44" s="117">
        <f>IF($K44="","",K44-P44)</f>
        <v>-29.800000000000182</v>
      </c>
      <c r="R44" s="118"/>
      <c r="S44" s="2">
        <f>IF(OR($A44="",$F44=""),"",IF($I44="Pendiente","",ROUND($G44*($F44*0.609-1),2)))</f>
        <v>3.91</v>
      </c>
      <c r="T44" s="2">
        <f>IF($A44="","",IFERROR(SUM($S$5:S44),0))</f>
        <v>78.22999999999999</v>
      </c>
    </row>
    <row r="45" spans="1:20" ht="24" customHeight="1">
      <c r="A45" s="110">
        <v>46195</v>
      </c>
      <c r="B45" s="111" t="s">
        <v>30</v>
      </c>
      <c r="C45" s="133" t="s">
        <v>150</v>
      </c>
      <c r="D45" s="113" t="s">
        <v>67</v>
      </c>
      <c r="E45" s="122" t="s">
        <v>151</v>
      </c>
      <c r="F45" s="115">
        <v>1.77</v>
      </c>
      <c r="G45" s="116">
        <v>20</v>
      </c>
      <c r="H45" s="120" t="s">
        <v>69</v>
      </c>
      <c r="I45" s="120" t="s">
        <v>75</v>
      </c>
      <c r="J45" s="117">
        <f>IF($A45="","",IF($I45="Ganada",ROUND($G45*($F45-1),2),IF($I45="Medio Ganada",ROUND($G45/2*($F45-1),2),IF($I45="Perdida",IF($H45="Free Bet",0,-$G45),IF($I45="Medio Perdida",IF($H45="Free Bet",0,-$G45/2),IF($I45="Reembolso",IF($R45="","",ROUND($R45-$G45,2)),IF($I45="Anulada",0,"")))))))</f>
        <v>-20</v>
      </c>
      <c r="K45" s="118">
        <f>IF(J45="","",2000+SUM(J$5:J45))</f>
        <v>2004.75</v>
      </c>
      <c r="L45" s="119">
        <f>IF(OR($I45="Ganada",$I45="Perdida",$I45="Medio Ganada",$I45="Medio Perdida"),IF($G45=0,"",J45/$G45),"")</f>
        <v>-1</v>
      </c>
      <c r="M45" s="120">
        <f>IF(OR($A45="",$B45=""),"",COUNTIFS($A$5:A45,A45,$B$5:B45,B45))</f>
        <v>3</v>
      </c>
      <c r="N45" s="120">
        <f>IF($A45="","",COUNTA($A$5:$A45))</f>
        <v>41</v>
      </c>
      <c r="O45" s="120">
        <f>IF($A45="","",COUNTA($A$5:$A45))</f>
        <v>41</v>
      </c>
      <c r="P45" s="118">
        <f>IF($K45="","",MAX($K$5:K45))</f>
        <v>2054.5500000000002</v>
      </c>
      <c r="Q45" s="117">
        <f>IF($K45="","",K45-P45)</f>
        <v>-49.800000000000182</v>
      </c>
      <c r="R45" s="118"/>
      <c r="S45" s="2">
        <f>IF(OR($A45="",$F45=""),"",IF($I45="Pendiente","",ROUND($G45*($F45*0.609-1),2)))</f>
        <v>1.56</v>
      </c>
      <c r="T45" s="2">
        <f>IF($A45="","",IFERROR(SUM($S$5:S45),0))</f>
        <v>79.789999999999992</v>
      </c>
    </row>
    <row r="46" spans="1:20" ht="34.5" customHeight="1">
      <c r="A46" s="110">
        <v>46195</v>
      </c>
      <c r="B46" s="132" t="s">
        <v>29</v>
      </c>
      <c r="C46" s="134" t="s">
        <v>152</v>
      </c>
      <c r="D46" s="113" t="s">
        <v>67</v>
      </c>
      <c r="E46" s="135" t="s">
        <v>153</v>
      </c>
      <c r="F46" s="115">
        <v>1.81</v>
      </c>
      <c r="G46" s="116">
        <v>20</v>
      </c>
      <c r="H46" s="120" t="s">
        <v>69</v>
      </c>
      <c r="I46" s="120" t="s">
        <v>70</v>
      </c>
      <c r="J46" s="117">
        <f>IF($A46="","",IF($I46="Ganada",ROUND($G46*($F46-1),2),IF($I46="Medio Ganada",ROUND($G46/2*($F46-1),2),IF($I46="Perdida",IF($H46="Free Bet",0,-$G46),IF($I46="Medio Perdida",IF($H46="Free Bet",0,-$G46/2),IF($I46="Reembolso",IF($R46="","",ROUND($R46-$G46,2)),IF($I46="Anulada",0,"")))))))</f>
        <v>16.2</v>
      </c>
      <c r="K46" s="118">
        <f>IF(J46="","",2000+SUM(J$5:J46))</f>
        <v>2020.95</v>
      </c>
      <c r="L46" s="119">
        <f>IF(OR($I46="Ganada",$I46="Perdida",$I46="Medio Ganada",$I46="Medio Perdida"),IF($G46=0,"",J46/$G46),"")</f>
        <v>0.80999999999999994</v>
      </c>
      <c r="M46" s="120">
        <f>IF(OR($A46="",$B46=""),"",COUNTIFS($A$5:A46,A46,$B$5:B46,B46))</f>
        <v>2</v>
      </c>
      <c r="N46" s="120">
        <f>IF($A46="","",COUNTA($A$5:$A46))</f>
        <v>42</v>
      </c>
      <c r="O46" s="120">
        <f>IF($A46="","",COUNTA($A$5:$A46))</f>
        <v>42</v>
      </c>
      <c r="P46" s="118">
        <f>IF($K46="","",MAX($K$5:K46))</f>
        <v>2054.5500000000002</v>
      </c>
      <c r="Q46" s="117">
        <f>IF($K46="","",K46-P46)</f>
        <v>-33.600000000000136</v>
      </c>
      <c r="R46" s="118"/>
      <c r="S46" s="2">
        <f>IF(OR($A46="",$F46=""),"",IF($I46="Pendiente","",ROUND($G46*($F46*0.609-1),2)))</f>
        <v>2.0499999999999998</v>
      </c>
      <c r="T46" s="2">
        <f>IF($A46="","",IFERROR(SUM($S$5:S46),0))</f>
        <v>81.839999999999989</v>
      </c>
    </row>
    <row r="47" spans="1:20" ht="15" customHeight="1">
      <c r="A47" s="110">
        <v>46196</v>
      </c>
      <c r="B47" s="132" t="s">
        <v>29</v>
      </c>
      <c r="C47" s="136" t="s">
        <v>154</v>
      </c>
      <c r="D47" s="113" t="s">
        <v>67</v>
      </c>
      <c r="E47" s="125" t="s">
        <v>155</v>
      </c>
      <c r="F47" s="115">
        <v>1.65</v>
      </c>
      <c r="G47" s="116">
        <v>20</v>
      </c>
      <c r="H47" s="120" t="s">
        <v>69</v>
      </c>
      <c r="I47" s="120" t="s">
        <v>75</v>
      </c>
      <c r="J47" s="117">
        <f>IF($A47="","",IF($I47="Ganada",ROUND($G47*($F47-1),2),IF($I47="Medio Ganada",ROUND($G47/2*($F47-1),2),IF($I47="Perdida",IF($H47="Free Bet",0,-$G47),IF($I47="Medio Perdida",IF($H47="Free Bet",0,-$G47/2),IF($I47="Reembolso",IF($R47="","",ROUND($R47-$G47,2)),IF($I47="Anulada",0,"")))))))</f>
        <v>-20</v>
      </c>
      <c r="K47" s="118">
        <f>IF(J47="","",2000+SUM(J$5:J47))</f>
        <v>2000.95</v>
      </c>
      <c r="L47" s="119">
        <f>IF(OR($I47="Ganada",$I47="Perdida",$I47="Medio Ganada",$I47="Medio Perdida"),IF($G47=0,"",J47/$G47),"")</f>
        <v>-1</v>
      </c>
      <c r="M47" s="120">
        <f>IF(OR($A47="",$B47=""),"",COUNTIFS($A$5:A47,A47,$B$5:B47,B47))</f>
        <v>1</v>
      </c>
      <c r="N47" s="120">
        <f>IF($A47="","",COUNTA($A$5:$A47))</f>
        <v>43</v>
      </c>
      <c r="O47" s="120">
        <f>IF($A47="","",COUNTA($A$5:$A47))</f>
        <v>43</v>
      </c>
      <c r="P47" s="118">
        <f>IF($K47="","",MAX($K$5:K47))</f>
        <v>2054.5500000000002</v>
      </c>
      <c r="Q47" s="117">
        <f>IF($K47="","",K47-P47)</f>
        <v>-53.600000000000136</v>
      </c>
      <c r="R47" s="118"/>
      <c r="S47" s="2">
        <f>IF(OR($A47="",$F47=""),"",IF($I47="Pendiente","",ROUND($G47*($F47*0.609-1),2)))</f>
        <v>0.1</v>
      </c>
      <c r="T47" s="2">
        <f>IF($A47="","",IFERROR(SUM($S$5:S47),0))</f>
        <v>81.939999999999984</v>
      </c>
    </row>
    <row r="48" spans="1:20" ht="15" customHeight="1">
      <c r="A48" s="110">
        <v>46196</v>
      </c>
      <c r="B48" s="129" t="s">
        <v>31</v>
      </c>
      <c r="C48" s="136" t="s">
        <v>156</v>
      </c>
      <c r="D48" s="113" t="s">
        <v>67</v>
      </c>
      <c r="E48" s="125" t="s">
        <v>155</v>
      </c>
      <c r="F48" s="115">
        <v>1.57</v>
      </c>
      <c r="G48" s="116">
        <v>20</v>
      </c>
      <c r="H48" s="120" t="s">
        <v>69</v>
      </c>
      <c r="I48" s="120" t="s">
        <v>70</v>
      </c>
      <c r="J48" s="117">
        <f>IF($A48="","",IF($I48="Ganada",ROUND($G48*($F48-1),2),IF($I48="Medio Ganada",ROUND($G48/2*($F48-1),2),IF($I48="Perdida",IF($H48="Free Bet",0,-$G48),IF($I48="Medio Perdida",IF($H48="Free Bet",0,-$G48/2),IF($I48="Reembolso",IF($R48="","",ROUND($R48-$G48,2)),IF($I48="Anulada",0,"")))))))</f>
        <v>11.4</v>
      </c>
      <c r="K48" s="118">
        <f>IF(J48="","",2000+SUM(J$5:J48))</f>
        <v>2012.35</v>
      </c>
      <c r="L48" s="119">
        <f>IF(OR($I48="Ganada",$I48="Perdida",$I48="Medio Ganada",$I48="Medio Perdida"),IF($G48=0,"",J48/$G48),"")</f>
        <v>0.57000000000000006</v>
      </c>
      <c r="M48" s="120">
        <f>IF(OR($A48="",$B48=""),"",COUNTIFS($A$5:A48,A48,$B$5:B48,B48))</f>
        <v>1</v>
      </c>
      <c r="N48" s="120">
        <f>IF($A48="","",COUNTA($A$5:$A48))</f>
        <v>44</v>
      </c>
      <c r="O48" s="120">
        <f>IF($A48="","",COUNTA($A$5:$A48))</f>
        <v>44</v>
      </c>
      <c r="P48" s="118">
        <f>IF($K48="","",MAX($K$5:K48))</f>
        <v>2054.5500000000002</v>
      </c>
      <c r="Q48" s="117">
        <f>IF($K48="","",K48-P48)</f>
        <v>-42.200000000000273</v>
      </c>
      <c r="R48" s="118"/>
      <c r="S48" s="2">
        <f>IF(OR($A48="",$F48=""),"",IF($I48="Pendiente","",ROUND($G48*($F48*0.609-1),2)))</f>
        <v>-0.88</v>
      </c>
      <c r="T48" s="2">
        <f>IF($A48="","",IFERROR(SUM($S$5:S48),0))</f>
        <v>81.059999999999988</v>
      </c>
    </row>
    <row r="49" spans="1:20" ht="15" customHeight="1">
      <c r="A49" s="110">
        <v>46196</v>
      </c>
      <c r="B49" s="111" t="s">
        <v>30</v>
      </c>
      <c r="C49" s="133" t="s">
        <v>157</v>
      </c>
      <c r="D49" s="113" t="s">
        <v>67</v>
      </c>
      <c r="E49" s="125" t="s">
        <v>136</v>
      </c>
      <c r="F49" s="115">
        <v>1.78</v>
      </c>
      <c r="G49" s="116">
        <v>15</v>
      </c>
      <c r="H49" s="120" t="s">
        <v>69</v>
      </c>
      <c r="I49" s="120" t="s">
        <v>75</v>
      </c>
      <c r="J49" s="117">
        <f>IF($A49="","",IF($I49="Ganada",ROUND($G49*($F49-1),2),IF($I49="Medio Ganada",ROUND($G49/2*($F49-1),2),IF($I49="Perdida",IF($H49="Free Bet",0,-$G49),IF($I49="Medio Perdida",IF($H49="Free Bet",0,-$G49/2),IF($I49="Reembolso",IF($R49="","",ROUND($R49-$G49,2)),IF($I49="Anulada",0,"")))))))</f>
        <v>-15</v>
      </c>
      <c r="K49" s="118">
        <f>IF(J49="","",2000+SUM(J$5:J49))</f>
        <v>1997.35</v>
      </c>
      <c r="L49" s="119">
        <f>IF(OR($I49="Ganada",$I49="Perdida",$I49="Medio Ganada",$I49="Medio Perdida"),IF($G49=0,"",J49/$G49),"")</f>
        <v>-1</v>
      </c>
      <c r="M49" s="120">
        <f>IF(OR($A49="",$B49=""),"",COUNTIFS($A$5:A49,A49,$B$5:B49,B49))</f>
        <v>1</v>
      </c>
      <c r="N49" s="120">
        <f>IF($A49="","",COUNTA($A$5:$A49))</f>
        <v>45</v>
      </c>
      <c r="O49" s="120">
        <f>IF($A49="","",COUNTA($A$5:$A49))</f>
        <v>45</v>
      </c>
      <c r="P49" s="118">
        <f>IF($K49="","",MAX($K$5:K49))</f>
        <v>2054.5500000000002</v>
      </c>
      <c r="Q49" s="117">
        <f>IF($K49="","",K49-P49)</f>
        <v>-57.200000000000273</v>
      </c>
      <c r="R49" s="118"/>
      <c r="S49" s="2">
        <f>IF(OR($A49="",$F49=""),"",IF($I49="Pendiente","",ROUND($G49*($F49*0.609-1),2)))</f>
        <v>1.26</v>
      </c>
      <c r="T49" s="2">
        <f>IF($A49="","",IFERROR(SUM($S$5:S49),0))</f>
        <v>82.32</v>
      </c>
    </row>
    <row r="50" spans="1:20" ht="15" customHeight="1">
      <c r="A50" s="110">
        <v>46196</v>
      </c>
      <c r="B50" s="132" t="s">
        <v>29</v>
      </c>
      <c r="C50" s="133" t="s">
        <v>158</v>
      </c>
      <c r="D50" s="113" t="s">
        <v>76</v>
      </c>
      <c r="E50" s="137" t="s">
        <v>112</v>
      </c>
      <c r="F50" s="115">
        <v>1.6</v>
      </c>
      <c r="G50" s="116">
        <v>20</v>
      </c>
      <c r="H50" s="120" t="s">
        <v>69</v>
      </c>
      <c r="I50" s="120" t="s">
        <v>70</v>
      </c>
      <c r="J50" s="117">
        <f>IF($A50="","",IF($I50="Ganada",ROUND($G50*($F50-1),2),IF($I50="Medio Ganada",ROUND($G50/2*($F50-1),2),IF($I50="Perdida",IF($H50="Free Bet",0,-$G50),IF($I50="Medio Perdida",IF($H50="Free Bet",0,-$G50/2),IF($I50="Reembolso",IF($R50="","",ROUND($R50-$G50,2)),IF($I50="Anulada",0,"")))))))</f>
        <v>12</v>
      </c>
      <c r="K50" s="118">
        <f>IF(J50="","",2000+SUM(J$5:J50))</f>
        <v>2009.35</v>
      </c>
      <c r="L50" s="119">
        <f>IF(OR($I50="Ganada",$I50="Perdida",$I50="Medio Ganada",$I50="Medio Perdida"),IF($G50=0,"",J50/$G50),"")</f>
        <v>0.6</v>
      </c>
      <c r="M50" s="120">
        <f>IF(OR($A50="",$B50=""),"",COUNTIFS($A$5:A50,A50,$B$5:B50,B50))</f>
        <v>2</v>
      </c>
      <c r="N50" s="120">
        <f>IF($A50="","",COUNTA($A$5:$A50))</f>
        <v>46</v>
      </c>
      <c r="O50" s="120">
        <f>IF($A50="","",COUNTA($A$5:$A50))</f>
        <v>46</v>
      </c>
      <c r="P50" s="118">
        <f>IF($K50="","",MAX($K$5:K50))</f>
        <v>2054.5500000000002</v>
      </c>
      <c r="Q50" s="117">
        <f>IF($K50="","",K50-P50)</f>
        <v>-45.200000000000273</v>
      </c>
      <c r="R50" s="118"/>
      <c r="S50" s="2">
        <f>IF(OR($A50="",$F50=""),"",IF($I50="Pendiente","",ROUND($G50*($F50*0.609-1),2)))</f>
        <v>-0.51</v>
      </c>
      <c r="T50" s="2">
        <f>IF($A50="","",IFERROR(SUM($S$5:S50),0))</f>
        <v>81.809999999999988</v>
      </c>
    </row>
    <row r="51" spans="1:20" ht="21" customHeight="1">
      <c r="A51" s="110">
        <v>46196</v>
      </c>
      <c r="B51" s="132" t="s">
        <v>29</v>
      </c>
      <c r="C51" s="133" t="s">
        <v>158</v>
      </c>
      <c r="D51" s="113" t="s">
        <v>76</v>
      </c>
      <c r="E51" s="137" t="s">
        <v>112</v>
      </c>
      <c r="F51" s="115">
        <v>1.58</v>
      </c>
      <c r="G51" s="116">
        <v>20</v>
      </c>
      <c r="H51" s="120" t="s">
        <v>69</v>
      </c>
      <c r="I51" s="120" t="s">
        <v>70</v>
      </c>
      <c r="J51" s="117">
        <f>IF($A51="","",IF($I51="Ganada",ROUND($G51*($F51-1),2),IF($I51="Medio Ganada",ROUND($G51/2*($F51-1),2),IF($I51="Perdida",IF($H51="Free Bet",0,-$G51),IF($I51="Medio Perdida",IF($H51="Free Bet",0,-$G51/2),IF($I51="Reembolso",IF($R51="","",ROUND($R51-$G51,2)),IF($I51="Anulada",0,"")))))))</f>
        <v>11.6</v>
      </c>
      <c r="K51" s="118">
        <f>IF(J51="","",2000+SUM(J$5:J51))</f>
        <v>2020.95</v>
      </c>
      <c r="L51" s="119">
        <f>IF(OR($I51="Ganada",$I51="Perdida",$I51="Medio Ganada",$I51="Medio Perdida"),IF($G51=0,"",J51/$G51),"")</f>
        <v>0.57999999999999996</v>
      </c>
      <c r="M51" s="120">
        <f>IF(OR($A51="",$B51=""),"",COUNTIFS($A$5:A51,A51,$B$5:B51,B51))</f>
        <v>3</v>
      </c>
      <c r="N51" s="120">
        <f>IF($A51="","",COUNTA($A$5:$A51))</f>
        <v>47</v>
      </c>
      <c r="O51" s="120">
        <f>IF($A51="","",COUNTA($A$5:$A51))</f>
        <v>47</v>
      </c>
      <c r="P51" s="118">
        <f>IF($K51="","",MAX($K$5:K51))</f>
        <v>2054.5500000000002</v>
      </c>
      <c r="Q51" s="117">
        <f>IF($K51="","",K51-P51)</f>
        <v>-33.600000000000136</v>
      </c>
      <c r="R51" s="118"/>
      <c r="S51" s="2">
        <f>IF(OR($A51="",$F51=""),"",IF($I51="Pendiente","",ROUND($G51*($F51*0.609-1),2)))</f>
        <v>-0.76</v>
      </c>
      <c r="T51" s="2">
        <f>IF($A51="","",IFERROR(SUM($S$5:S51),0))</f>
        <v>81.049999999999983</v>
      </c>
    </row>
    <row r="52" spans="1:20" ht="33" customHeight="1">
      <c r="A52" s="110">
        <v>46196</v>
      </c>
      <c r="B52" s="124" t="s">
        <v>28</v>
      </c>
      <c r="C52" s="133" t="s">
        <v>159</v>
      </c>
      <c r="D52" s="113" t="s">
        <v>67</v>
      </c>
      <c r="E52" s="138" t="s">
        <v>160</v>
      </c>
      <c r="F52" s="115">
        <v>1.98</v>
      </c>
      <c r="G52" s="116">
        <v>15</v>
      </c>
      <c r="H52" s="120" t="s">
        <v>69</v>
      </c>
      <c r="I52" s="120" t="s">
        <v>75</v>
      </c>
      <c r="J52" s="117">
        <f>IF($A52="","",IF($I52="Ganada",ROUND($G52*($F52-1),2),IF($I52="Medio Ganada",ROUND($G52/2*($F52-1),2),IF($I52="Perdida",IF($H52="Free Bet",0,-$G52),IF($I52="Medio Perdida",IF($H52="Free Bet",0,-$G52/2),IF($I52="Reembolso",IF($R52="","",ROUND($R52-$G52,2)),IF($I52="Anulada",0,"")))))))</f>
        <v>-15</v>
      </c>
      <c r="K52" s="118">
        <f>IF(J52="","",2000+SUM(J$5:J52))</f>
        <v>2005.95</v>
      </c>
      <c r="L52" s="119">
        <f>IF(OR($I52="Ganada",$I52="Perdida",$I52="Medio Ganada",$I52="Medio Perdida"),IF($G52=0,"",J52/$G52),"")</f>
        <v>-1</v>
      </c>
      <c r="M52" s="120">
        <f>IF(OR($A52="",$B52=""),"",COUNTIFS($A$5:A52,A52,$B$5:B52,B52))</f>
        <v>1</v>
      </c>
      <c r="N52" s="120">
        <f>IF($A52="","",COUNTA($A$5:$A52))</f>
        <v>48</v>
      </c>
      <c r="O52" s="120">
        <f>IF($A52="","",COUNTA($A$5:$A52))</f>
        <v>48</v>
      </c>
      <c r="P52" s="118">
        <f>IF($K52="","",MAX($K$5:K52))</f>
        <v>2054.5500000000002</v>
      </c>
      <c r="Q52" s="117">
        <f>IF($K52="","",K52-P52)</f>
        <v>-48.600000000000136</v>
      </c>
      <c r="R52" s="118"/>
      <c r="S52" s="2">
        <f>IF(OR($A52="",$F52=""),"",IF($I52="Pendiente","",ROUND($G52*($F52*0.609-1),2)))</f>
        <v>3.09</v>
      </c>
      <c r="T52" s="2">
        <f>IF($A52="","",IFERROR(SUM($S$5:S52),0))</f>
        <v>84.139999999999986</v>
      </c>
    </row>
    <row r="53" spans="1:20" ht="38.25" customHeight="1">
      <c r="A53" s="110">
        <v>46196</v>
      </c>
      <c r="B53" s="124" t="s">
        <v>28</v>
      </c>
      <c r="C53" s="133" t="s">
        <v>161</v>
      </c>
      <c r="D53" s="113" t="s">
        <v>67</v>
      </c>
      <c r="E53" s="138" t="s">
        <v>162</v>
      </c>
      <c r="F53" s="115">
        <v>1.6</v>
      </c>
      <c r="G53" s="116">
        <v>15</v>
      </c>
      <c r="H53" s="120" t="s">
        <v>69</v>
      </c>
      <c r="I53" s="120" t="s">
        <v>70</v>
      </c>
      <c r="J53" s="117">
        <f>IF($A53="","",IF($I53="Ganada",ROUND($G53*($F53-1),2),IF($I53="Medio Ganada",ROUND($G53/2*($F53-1),2),IF($I53="Perdida",IF($H53="Free Bet",0,-$G53),IF($I53="Medio Perdida",IF($H53="Free Bet",0,-$G53/2),IF($I53="Reembolso",IF($R53="","",ROUND($R53-$G53,2)),IF($I53="Anulada",0,"")))))))</f>
        <v>9</v>
      </c>
      <c r="K53" s="118">
        <f>IF(J53="","",2000+SUM(J$5:J53))</f>
        <v>2014.95</v>
      </c>
      <c r="L53" s="119">
        <f>IF(OR($I53="Ganada",$I53="Perdida",$I53="Medio Ganada",$I53="Medio Perdida"),IF($G53=0,"",J53/$G53),"")</f>
        <v>0.6</v>
      </c>
      <c r="M53" s="120">
        <f>IF(OR($A53="",$B53=""),"",COUNTIFS($A$5:A53,A53,$B$5:B53,B53))</f>
        <v>2</v>
      </c>
      <c r="N53" s="120">
        <f>IF($A53="","",COUNTA($A$5:$A53))</f>
        <v>49</v>
      </c>
      <c r="O53" s="120">
        <f>IF($A53="","",COUNTA($A$5:$A53))</f>
        <v>49</v>
      </c>
      <c r="P53" s="118">
        <f>IF($K53="","",MAX($K$5:K53))</f>
        <v>2054.5500000000002</v>
      </c>
      <c r="Q53" s="117">
        <f>IF($K53="","",K53-P53)</f>
        <v>-39.600000000000136</v>
      </c>
      <c r="R53" s="118"/>
      <c r="S53" s="2">
        <f>IF(OR($A53="",$F53=""),"",IF($I53="Pendiente","",ROUND($G53*($F53*0.609-1),2)))</f>
        <v>-0.38</v>
      </c>
      <c r="T53" s="2">
        <f>IF($A53="","",IFERROR(SUM($S$5:S53),0))</f>
        <v>83.759999999999991</v>
      </c>
    </row>
    <row r="54" spans="1:20" ht="27.75" customHeight="1">
      <c r="A54" s="110">
        <v>46196</v>
      </c>
      <c r="B54" s="129" t="s">
        <v>31</v>
      </c>
      <c r="C54" s="136" t="s">
        <v>163</v>
      </c>
      <c r="D54" s="113" t="s">
        <v>67</v>
      </c>
      <c r="E54" s="138" t="s">
        <v>164</v>
      </c>
      <c r="F54" s="115">
        <v>1.87</v>
      </c>
      <c r="G54" s="116">
        <v>15</v>
      </c>
      <c r="H54" s="120" t="s">
        <v>69</v>
      </c>
      <c r="I54" s="120" t="s">
        <v>70</v>
      </c>
      <c r="J54" s="117">
        <f>IF($A54="","",IF($I54="Ganada",ROUND($G54*($F54-1),2),IF($I54="Medio Ganada",ROUND($G54/2*($F54-1),2),IF($I54="Perdida",IF($H54="Free Bet",0,-$G54),IF($I54="Medio Perdida",IF($H54="Free Bet",0,-$G54/2),IF($I54="Reembolso",IF($R54="","",ROUND($R54-$G54,2)),IF($I54="Anulada",0,"")))))))</f>
        <v>13.05</v>
      </c>
      <c r="K54" s="118">
        <f>IF(J54="","",2000+SUM(J$5:J54))</f>
        <v>2028</v>
      </c>
      <c r="L54" s="119">
        <f>IF(OR($I54="Ganada",$I54="Perdida",$I54="Medio Ganada",$I54="Medio Perdida"),IF($G54=0,"",J54/$G54),"")</f>
        <v>0.87</v>
      </c>
      <c r="M54" s="120">
        <f>IF(OR($A54="",$B54=""),"",COUNTIFS($A$5:A54,A54,$B$5:B54,B54))</f>
        <v>2</v>
      </c>
      <c r="N54" s="120">
        <f>IF($A54="","",COUNTA($A$5:$A54))</f>
        <v>50</v>
      </c>
      <c r="O54" s="120">
        <f>IF($A54="","",COUNTA($A$5:$A54))</f>
        <v>50</v>
      </c>
      <c r="P54" s="118">
        <f>IF($K54="","",MAX($K$5:K54))</f>
        <v>2054.5500000000002</v>
      </c>
      <c r="Q54" s="117">
        <f>IF($K54="","",K54-P54)</f>
        <v>-26.550000000000182</v>
      </c>
      <c r="R54" s="118"/>
      <c r="S54" s="2">
        <f>IF(OR($A54="",$F54=""),"",IF($I54="Pendiente","",ROUND($G54*($F54*0.609-1),2)))</f>
        <v>2.08</v>
      </c>
      <c r="T54" s="2">
        <f>IF($A54="","",IFERROR(SUM($S$5:S54),0))</f>
        <v>85.839999999999989</v>
      </c>
    </row>
    <row r="55" spans="1:20" ht="15" customHeight="1">
      <c r="A55" s="110">
        <v>46196</v>
      </c>
      <c r="B55" s="129" t="s">
        <v>31</v>
      </c>
      <c r="C55" s="133" t="s">
        <v>159</v>
      </c>
      <c r="D55" s="113" t="s">
        <v>67</v>
      </c>
      <c r="E55" s="139" t="s">
        <v>165</v>
      </c>
      <c r="F55" s="115">
        <v>1.85</v>
      </c>
      <c r="G55" s="116">
        <v>15</v>
      </c>
      <c r="H55" s="120" t="s">
        <v>69</v>
      </c>
      <c r="I55" s="120" t="s">
        <v>70</v>
      </c>
      <c r="J55" s="117">
        <f>IF($A55="","",IF($I55="Ganada",ROUND($G55*($F55-1),2),IF($I55="Medio Ganada",ROUND($G55/2*($F55-1),2),IF($I55="Perdida",IF($H55="Free Bet",0,-$G55),IF($I55="Medio Perdida",IF($H55="Free Bet",0,-$G55/2),IF($I55="Reembolso",IF($R55="","",ROUND($R55-$G55,2)),IF($I55="Anulada",0,"")))))))</f>
        <v>12.75</v>
      </c>
      <c r="K55" s="118">
        <f>IF(J55="","",2000+SUM(J$5:J55))</f>
        <v>2040.75</v>
      </c>
      <c r="L55" s="119">
        <f>IF(OR($I55="Ganada",$I55="Perdida",$I55="Medio Ganada",$I55="Medio Perdida"),IF($G55=0,"",J55/$G55),"")</f>
        <v>0.85</v>
      </c>
      <c r="M55" s="120">
        <f>IF(OR($A55="",$B55=""),"",COUNTIFS($A$5:A55,A55,$B$5:B55,B55))</f>
        <v>3</v>
      </c>
      <c r="N55" s="120">
        <f>IF($A55="","",COUNTA($A$5:$A55))</f>
        <v>51</v>
      </c>
      <c r="O55" s="120">
        <f>IF($A55="","",COUNTA($A$5:$A55))</f>
        <v>51</v>
      </c>
      <c r="P55" s="118">
        <f>IF($K55="","",MAX($K$5:K55))</f>
        <v>2054.5500000000002</v>
      </c>
      <c r="Q55" s="117">
        <f>IF($K55="","",K55-P55)</f>
        <v>-13.800000000000182</v>
      </c>
      <c r="R55" s="118"/>
      <c r="S55" s="2">
        <f>IF(OR($A55="",$F55=""),"",IF($I55="Pendiente","",ROUND($G55*($F55*0.609-1),2)))</f>
        <v>1.9</v>
      </c>
      <c r="T55" s="2">
        <f>IF($A55="","",IFERROR(SUM($S$5:S55),0))</f>
        <v>87.74</v>
      </c>
    </row>
    <row r="56" spans="1:20" ht="15" customHeight="1">
      <c r="A56" s="110">
        <v>46196</v>
      </c>
      <c r="B56" s="132" t="s">
        <v>29</v>
      </c>
      <c r="C56" s="140" t="s">
        <v>166</v>
      </c>
      <c r="D56" s="113" t="s">
        <v>76</v>
      </c>
      <c r="E56" s="139" t="s">
        <v>167</v>
      </c>
      <c r="F56" s="115">
        <v>1.2</v>
      </c>
      <c r="G56" s="116">
        <v>30</v>
      </c>
      <c r="H56" s="120" t="s">
        <v>69</v>
      </c>
      <c r="I56" s="120" t="s">
        <v>70</v>
      </c>
      <c r="J56" s="117">
        <f>IF($A56="","",IF($I56="Ganada",ROUND($G56*($F56-1),2),IF($I56="Medio Ganada",ROUND($G56/2*($F56-1),2),IF($I56="Perdida",IF($H56="Free Bet",0,-$G56),IF($I56="Medio Perdida",IF($H56="Free Bet",0,-$G56/2),IF($I56="Reembolso",IF($R56="","",ROUND($R56-$G56,2)),IF($I56="Anulada",0,"")))))))</f>
        <v>6</v>
      </c>
      <c r="K56" s="118">
        <f>IF(J56="","",2000+SUM(J$5:J56))</f>
        <v>2046.75</v>
      </c>
      <c r="L56" s="119">
        <f>IF(OR($I56="Ganada",$I56="Perdida",$I56="Medio Ganada",$I56="Medio Perdida"),IF($G56=0,"",J56/$G56),"")</f>
        <v>0.2</v>
      </c>
      <c r="M56" s="120">
        <f>IF(OR($A56="",$B56=""),"",COUNTIFS($A$5:A56,A56,$B$5:B56,B56))</f>
        <v>4</v>
      </c>
      <c r="N56" s="120">
        <f>IF($A56="","",COUNTA($A$5:$A56))</f>
        <v>52</v>
      </c>
      <c r="O56" s="120">
        <f>IF($A56="","",COUNTA($A$5:$A56))</f>
        <v>52</v>
      </c>
      <c r="P56" s="118">
        <f>IF($K56="","",MAX($K$5:K56))</f>
        <v>2054.5500000000002</v>
      </c>
      <c r="Q56" s="117">
        <f>IF($K56="","",K56-P56)</f>
        <v>-7.8000000000001819</v>
      </c>
      <c r="R56" s="118"/>
      <c r="S56" s="2">
        <f>IF(OR($A56="",$F56=""),"",IF($I56="Pendiente","",ROUND($G56*($F56*0.609-1),2)))</f>
        <v>-8.08</v>
      </c>
      <c r="T56" s="2">
        <f>IF($A56="","",IFERROR(SUM($S$5:S56),0))</f>
        <v>79.66</v>
      </c>
    </row>
    <row r="57" spans="1:20" ht="27.75" customHeight="1">
      <c r="A57" s="110">
        <v>46196</v>
      </c>
      <c r="B57" s="124" t="s">
        <v>28</v>
      </c>
      <c r="C57" s="136" t="s">
        <v>168</v>
      </c>
      <c r="D57" s="113" t="s">
        <v>67</v>
      </c>
      <c r="E57" s="139" t="s">
        <v>169</v>
      </c>
      <c r="F57" s="115">
        <v>1.92</v>
      </c>
      <c r="G57" s="116">
        <v>25</v>
      </c>
      <c r="H57" s="120" t="s">
        <v>69</v>
      </c>
      <c r="I57" s="120" t="s">
        <v>70</v>
      </c>
      <c r="J57" s="117">
        <f>IF($A57="","",IF($I57="Ganada",ROUND($G57*($F57-1),2),IF($I57="Medio Ganada",ROUND($G57/2*($F57-1),2),IF($I57="Perdida",IF($H57="Free Bet",0,-$G57),IF($I57="Medio Perdida",IF($H57="Free Bet",0,-$G57/2),IF($I57="Reembolso",IF($R57="","",ROUND($R57-$G57,2)),IF($I57="Anulada",0,"")))))))</f>
        <v>23</v>
      </c>
      <c r="K57" s="118">
        <f>IF(J57="","",2000+SUM(J$5:J57))</f>
        <v>2069.75</v>
      </c>
      <c r="L57" s="119">
        <f>IF(OR($I57="Ganada",$I57="Perdida",$I57="Medio Ganada",$I57="Medio Perdida"),IF($G57=0,"",J57/$G57),"")</f>
        <v>0.92</v>
      </c>
      <c r="M57" s="120">
        <f>IF(OR($A57="",$B57=""),"",COUNTIFS($A$5:A57,A57,$B$5:B57,B57))</f>
        <v>3</v>
      </c>
      <c r="N57" s="120">
        <f>IF($A57="","",COUNTA($A$5:$A57))</f>
        <v>53</v>
      </c>
      <c r="O57" s="120">
        <f>IF($A57="","",COUNTA($A$5:$A57))</f>
        <v>53</v>
      </c>
      <c r="P57" s="118">
        <f>IF($K57="","",MAX($K$5:K57))</f>
        <v>2069.75</v>
      </c>
      <c r="Q57" s="117">
        <f>IF($K57="","",K57-P57)</f>
        <v>0</v>
      </c>
      <c r="R57" s="118"/>
      <c r="S57" s="2">
        <f>IF(OR($A57="",$F57=""),"",IF($I57="Pendiente","",ROUND($G57*($F57*0.609-1),2)))</f>
        <v>4.2300000000000004</v>
      </c>
      <c r="T57" s="2">
        <f>IF($A57="","",IFERROR(SUM($S$5:S57),0))</f>
        <v>83.89</v>
      </c>
    </row>
    <row r="58" spans="1:20" ht="15" customHeight="1">
      <c r="A58" s="110">
        <v>46196</v>
      </c>
      <c r="B58" s="124" t="s">
        <v>28</v>
      </c>
      <c r="C58" s="133" t="s">
        <v>170</v>
      </c>
      <c r="D58" s="113" t="s">
        <v>67</v>
      </c>
      <c r="E58" s="139" t="s">
        <v>171</v>
      </c>
      <c r="F58" s="115">
        <v>1.98</v>
      </c>
      <c r="G58" s="116">
        <v>15</v>
      </c>
      <c r="H58" s="120" t="s">
        <v>69</v>
      </c>
      <c r="I58" s="120" t="s">
        <v>75</v>
      </c>
      <c r="J58" s="117">
        <f>IF($A58="","",IF($I58="Ganada",ROUND($G58*($F58-1),2),IF($I58="Medio Ganada",ROUND($G58/2*($F58-1),2),IF($I58="Perdida",IF($H58="Free Bet",0,-$G58),IF($I58="Medio Perdida",IF($H58="Free Bet",0,-$G58/2),IF($I58="Reembolso",IF($R58="","",ROUND($R58-$G58,2)),IF($I58="Anulada",0,"")))))))</f>
        <v>-15</v>
      </c>
      <c r="K58" s="118">
        <f>IF(J58="","",2000+SUM(J$5:J58))</f>
        <v>2054.75</v>
      </c>
      <c r="L58" s="119">
        <f>IF(OR($I58="Ganada",$I58="Perdida",$I58="Medio Ganada",$I58="Medio Perdida"),IF($G58=0,"",J58/$G58),"")</f>
        <v>-1</v>
      </c>
      <c r="M58" s="120">
        <f>IF(OR($A58="",$B58=""),"",COUNTIFS($A$5:A58,A58,$B$5:B58,B58))</f>
        <v>4</v>
      </c>
      <c r="N58" s="120">
        <f>IF($A58="","",COUNTA($A$5:$A58))</f>
        <v>54</v>
      </c>
      <c r="O58" s="120">
        <f>IF($A58="","",COUNTA($A$5:$A58))</f>
        <v>54</v>
      </c>
      <c r="P58" s="118">
        <f>IF($K58="","",MAX($K$5:K58))</f>
        <v>2069.75</v>
      </c>
      <c r="Q58" s="117">
        <f>IF($K58="","",K58-P58)</f>
        <v>-15</v>
      </c>
      <c r="R58" s="118"/>
      <c r="S58" s="2">
        <f>IF(OR($A58="",$F58=""),"",IF($I58="Pendiente","",ROUND($G58*($F58*0.609-1),2)))</f>
        <v>3.09</v>
      </c>
      <c r="T58" s="2">
        <f>IF($A58="","",IFERROR(SUM($S$5:S58),0))</f>
        <v>86.98</v>
      </c>
    </row>
    <row r="59" spans="1:20" ht="15" customHeight="1">
      <c r="A59" s="110">
        <v>46196</v>
      </c>
      <c r="B59" s="124" t="s">
        <v>28</v>
      </c>
      <c r="C59" s="140" t="s">
        <v>172</v>
      </c>
      <c r="D59" s="113" t="s">
        <v>67</v>
      </c>
      <c r="E59" s="139" t="s">
        <v>173</v>
      </c>
      <c r="F59" s="115">
        <v>1.78</v>
      </c>
      <c r="G59" s="116">
        <v>20</v>
      </c>
      <c r="H59" s="120" t="s">
        <v>69</v>
      </c>
      <c r="I59" s="120" t="s">
        <v>75</v>
      </c>
      <c r="J59" s="117">
        <f>IF($A59="","",IF($I59="Ganada",ROUND($G59*($F59-1),2),IF($I59="Medio Ganada",ROUND($G59/2*($F59-1),2),IF($I59="Perdida",IF($H59="Free Bet",0,-$G59),IF($I59="Medio Perdida",IF($H59="Free Bet",0,-$G59/2),IF($I59="Reembolso",IF($R59="","",ROUND($R59-$G59,2)),IF($I59="Anulada",0,"")))))))</f>
        <v>-20</v>
      </c>
      <c r="K59" s="118">
        <f>IF(J59="","",2000+SUM(J$5:J59))</f>
        <v>2034.75</v>
      </c>
      <c r="L59" s="119">
        <f>IF(OR($I59="Ganada",$I59="Perdida",$I59="Medio Ganada",$I59="Medio Perdida"),IF($G59=0,"",J59/$G59),"")</f>
        <v>-1</v>
      </c>
      <c r="M59" s="120">
        <f>IF(OR($A59="",$B59=""),"",COUNTIFS($A$5:A59,A59,$B$5:B59,B59))</f>
        <v>5</v>
      </c>
      <c r="N59" s="120">
        <f>IF($A59="","",COUNTA($A$5:$A59))</f>
        <v>55</v>
      </c>
      <c r="O59" s="120">
        <f>IF($A59="","",COUNTA($A$5:$A59))</f>
        <v>55</v>
      </c>
      <c r="P59" s="118">
        <f>IF($K59="","",MAX($K$5:K59))</f>
        <v>2069.75</v>
      </c>
      <c r="Q59" s="117">
        <f>IF($K59="","",K59-P59)</f>
        <v>-35</v>
      </c>
      <c r="R59" s="118"/>
      <c r="S59" s="2">
        <f>IF(OR($A59="",$F59=""),"",IF($I59="Pendiente","",ROUND($G59*($F59*0.609-1),2)))</f>
        <v>1.68</v>
      </c>
      <c r="T59" s="2">
        <f>IF($A59="","",IFERROR(SUM($S$5:S59),0))</f>
        <v>88.660000000000011</v>
      </c>
    </row>
    <row r="60" spans="1:20" ht="15" customHeight="1">
      <c r="A60" s="110">
        <v>46197</v>
      </c>
      <c r="B60" s="129" t="s">
        <v>31</v>
      </c>
      <c r="C60" s="133" t="s">
        <v>174</v>
      </c>
      <c r="D60" s="113" t="s">
        <v>76</v>
      </c>
      <c r="E60" s="139" t="s">
        <v>175</v>
      </c>
      <c r="F60" s="115">
        <v>2.2999999999999998</v>
      </c>
      <c r="G60" s="116">
        <v>15</v>
      </c>
      <c r="H60" s="120" t="s">
        <v>69</v>
      </c>
      <c r="I60" s="120" t="s">
        <v>70</v>
      </c>
      <c r="J60" s="117">
        <f>IF($A60="","",IF($I60="Ganada",ROUND($G60*($F60-1),2),IF($I60="Medio Ganada",ROUND($G60/2*($F60-1),2),IF($I60="Perdida",IF($H60="Free Bet",0,-$G60),IF($I60="Medio Perdida",IF($H60="Free Bet",0,-$G60/2),IF($I60="Reembolso",IF($R60="","",ROUND($R60-$G60,2)),IF($I60="Anulada",0,"")))))))</f>
        <v>19.5</v>
      </c>
      <c r="K60" s="118">
        <f>IF(J60="","",2000+SUM(J$5:J60))</f>
        <v>2054.25</v>
      </c>
      <c r="L60" s="119">
        <f>IF(OR($I60="Ganada",$I60="Perdida",$I60="Medio Ganada",$I60="Medio Perdida"),IF($G60=0,"",J60/$G60),"")</f>
        <v>1.3</v>
      </c>
      <c r="M60" s="120">
        <f>IF(OR($A60="",$B60=""),"",COUNTIFS($A$5:A60,A60,$B$5:B60,B60))</f>
        <v>1</v>
      </c>
      <c r="N60" s="120">
        <f>IF($A60="","",COUNTA($A$5:$A60))</f>
        <v>56</v>
      </c>
      <c r="O60" s="120">
        <f>IF($A60="","",COUNTA($A$5:$A60))</f>
        <v>56</v>
      </c>
      <c r="P60" s="118">
        <f>IF($K60="","",MAX($K$5:K60))</f>
        <v>2069.75</v>
      </c>
      <c r="Q60" s="117">
        <f>IF($K60="","",K60-P60)</f>
        <v>-15.5</v>
      </c>
      <c r="R60" s="118"/>
      <c r="S60" s="2">
        <f>IF(OR($A60="",$F60=""),"",IF($I60="Pendiente","",ROUND($G60*($F60*0.609-1),2)))</f>
        <v>6.01</v>
      </c>
      <c r="T60" s="2">
        <f>IF($A60="","",IFERROR(SUM($S$5:S60),0))</f>
        <v>94.670000000000016</v>
      </c>
    </row>
    <row r="61" spans="1:20" ht="16.5" customHeight="1">
      <c r="A61" s="110">
        <v>46197</v>
      </c>
      <c r="B61" s="124" t="s">
        <v>28</v>
      </c>
      <c r="C61" s="141" t="s">
        <v>176</v>
      </c>
      <c r="D61" s="113" t="s">
        <v>76</v>
      </c>
      <c r="E61" s="139" t="s">
        <v>177</v>
      </c>
      <c r="F61" s="115">
        <v>1.6</v>
      </c>
      <c r="G61" s="116">
        <v>25</v>
      </c>
      <c r="H61" s="120" t="s">
        <v>69</v>
      </c>
      <c r="I61" s="120" t="s">
        <v>70</v>
      </c>
      <c r="J61" s="117">
        <f>IF($A61="","",IF($I61="Ganada",ROUND($G61*($F61-1),2),IF($I61="Medio Ganada",ROUND($G61/2*($F61-1),2),IF($I61="Perdida",IF($H61="Free Bet",0,-$G61),IF($I61="Medio Perdida",IF($H61="Free Bet",0,-$G61/2),IF($I61="Reembolso",IF($R61="","",ROUND($R61-$G61,2)),IF($I61="Anulada",0,"")))))))</f>
        <v>15</v>
      </c>
      <c r="K61" s="118">
        <f>IF(J61="","",2000+SUM(J$5:J61))</f>
        <v>2069.25</v>
      </c>
      <c r="L61" s="119">
        <f>IF(OR($I61="Ganada",$I61="Perdida",$I61="Medio Ganada",$I61="Medio Perdida"),IF($G61=0,"",J61/$G61),"")</f>
        <v>0.6</v>
      </c>
      <c r="M61" s="120">
        <f>IF(OR($A61="",$B61=""),"",COUNTIFS($A$5:A61,A61,$B$5:B61,B61))</f>
        <v>1</v>
      </c>
      <c r="N61" s="120">
        <f>IF($A61="","",COUNTA($A$5:$A61))</f>
        <v>57</v>
      </c>
      <c r="O61" s="120">
        <f>IF($A61="","",COUNTA($A$5:$A61))</f>
        <v>57</v>
      </c>
      <c r="P61" s="118">
        <f>IF($K61="","",MAX($K$5:K61))</f>
        <v>2069.75</v>
      </c>
      <c r="Q61" s="117">
        <f>IF($K61="","",K61-P61)</f>
        <v>-0.5</v>
      </c>
      <c r="R61" s="118"/>
      <c r="S61" s="2">
        <f>IF(OR($A61="",$F61=""),"",IF($I61="Pendiente","",ROUND($G61*($F61*0.609-1),2)))</f>
        <v>-0.64</v>
      </c>
      <c r="T61" s="2">
        <f>IF($A61="","",IFERROR(SUM($S$5:S61),0))</f>
        <v>94.030000000000015</v>
      </c>
    </row>
    <row r="62" spans="1:20" ht="15" customHeight="1">
      <c r="A62" s="110">
        <v>46197</v>
      </c>
      <c r="B62" s="132" t="s">
        <v>29</v>
      </c>
      <c r="C62" s="133" t="s">
        <v>178</v>
      </c>
      <c r="D62" s="113" t="s">
        <v>76</v>
      </c>
      <c r="E62" s="139" t="s">
        <v>167</v>
      </c>
      <c r="F62" s="115">
        <v>1.47</v>
      </c>
      <c r="G62" s="116">
        <v>20</v>
      </c>
      <c r="H62" s="120" t="s">
        <v>69</v>
      </c>
      <c r="I62" s="120" t="s">
        <v>70</v>
      </c>
      <c r="J62" s="117">
        <f>IF($A62="","",IF($I62="Ganada",ROUND($G62*($F62-1),2),IF($I62="Medio Ganada",ROUND($G62/2*($F62-1),2),IF($I62="Perdida",IF($H62="Free Bet",0,-$G62),IF($I62="Medio Perdida",IF($H62="Free Bet",0,-$G62/2),IF($I62="Reembolso",IF($R62="","",ROUND($R62-$G62,2)),IF($I62="Anulada",0,"")))))))</f>
        <v>9.4</v>
      </c>
      <c r="K62" s="118">
        <f>IF(J62="","",2000+SUM(J$5:J62))</f>
        <v>2078.65</v>
      </c>
      <c r="L62" s="119">
        <f>IF(OR($I62="Ganada",$I62="Perdida",$I62="Medio Ganada",$I62="Medio Perdida"),IF($G62=0,"",J62/$G62),"")</f>
        <v>0.47000000000000003</v>
      </c>
      <c r="M62" s="120">
        <f>IF(OR($A62="",$B62=""),"",COUNTIFS($A$5:A62,A62,$B$5:B62,B62))</f>
        <v>1</v>
      </c>
      <c r="N62" s="120">
        <f>IF($A62="","",COUNTA($A$5:$A62))</f>
        <v>58</v>
      </c>
      <c r="O62" s="120">
        <f>IF($A62="","",COUNTA($A$5:$A62))</f>
        <v>58</v>
      </c>
      <c r="P62" s="118">
        <f>IF($K62="","",MAX($K$5:K62))</f>
        <v>2078.65</v>
      </c>
      <c r="Q62" s="117">
        <f>IF($K62="","",K62-P62)</f>
        <v>0</v>
      </c>
      <c r="R62" s="118"/>
      <c r="S62" s="2">
        <f>IF(OR($A62="",$F62=""),"",IF($I62="Pendiente","",ROUND($G62*($F62*0.609-1),2)))</f>
        <v>-2.1</v>
      </c>
      <c r="T62" s="2">
        <f>IF($A62="","",IFERROR(SUM($S$5:S62),0))</f>
        <v>91.930000000000021</v>
      </c>
    </row>
    <row r="63" spans="1:20" ht="15" customHeight="1">
      <c r="A63" s="110">
        <v>46197</v>
      </c>
      <c r="B63" s="124" t="s">
        <v>28</v>
      </c>
      <c r="C63" s="140" t="s">
        <v>179</v>
      </c>
      <c r="D63" s="113" t="s">
        <v>90</v>
      </c>
      <c r="E63" s="139" t="s">
        <v>180</v>
      </c>
      <c r="F63" s="115">
        <v>2.1</v>
      </c>
      <c r="G63" s="116">
        <v>10</v>
      </c>
      <c r="H63" s="120" t="s">
        <v>69</v>
      </c>
      <c r="I63" s="120" t="s">
        <v>75</v>
      </c>
      <c r="J63" s="117">
        <f>IF($A63="","",IF($I63="Ganada",ROUND($G63*($F63-1),2),IF($I63="Medio Ganada",ROUND($G63/2*($F63-1),2),IF($I63="Perdida",IF($H63="Free Bet",0,-$G63),IF($I63="Medio Perdida",IF($H63="Free Bet",0,-$G63/2),IF($I63="Reembolso",IF($R63="","",ROUND($R63-$G63,2)),IF($I63="Anulada",0,"")))))))</f>
        <v>-10</v>
      </c>
      <c r="K63" s="118">
        <f>IF(J63="","",2000+SUM(J$5:J63))</f>
        <v>2068.65</v>
      </c>
      <c r="L63" s="119">
        <f>IF(OR($I63="Ganada",$I63="Perdida",$I63="Medio Ganada",$I63="Medio Perdida"),IF($G63=0,"",J63/$G63),"")</f>
        <v>-1</v>
      </c>
      <c r="M63" s="120">
        <f>IF(OR($A63="",$B63=""),"",COUNTIFS($A$5:A63,A63,$B$5:B63,B63))</f>
        <v>2</v>
      </c>
      <c r="N63" s="120">
        <f>IF($A63="","",COUNTA($A$5:$A63))</f>
        <v>59</v>
      </c>
      <c r="O63" s="120">
        <f>IF($A63="","",COUNTA($A$5:$A63))</f>
        <v>59</v>
      </c>
      <c r="P63" s="118">
        <f>IF($K63="","",MAX($K$5:K63))</f>
        <v>2078.65</v>
      </c>
      <c r="Q63" s="117">
        <f>IF($K63="","",K63-P63)</f>
        <v>-10</v>
      </c>
      <c r="R63" s="118"/>
      <c r="S63" s="2">
        <f>IF(OR($A63="",$F63=""),"",IF($I63="Pendiente","",ROUND($G63*($F63*0.609-1),2)))</f>
        <v>2.79</v>
      </c>
      <c r="T63" s="2">
        <f>IF($A63="","",IFERROR(SUM($S$5:S63),0))</f>
        <v>94.720000000000027</v>
      </c>
    </row>
    <row r="64" spans="1:20" ht="15" customHeight="1">
      <c r="A64" s="110">
        <v>46197</v>
      </c>
      <c r="B64" s="124" t="s">
        <v>28</v>
      </c>
      <c r="C64" s="133" t="s">
        <v>181</v>
      </c>
      <c r="D64" s="113" t="s">
        <v>95</v>
      </c>
      <c r="E64" s="139" t="s">
        <v>182</v>
      </c>
      <c r="F64" s="115">
        <v>1.64</v>
      </c>
      <c r="G64" s="116">
        <v>20</v>
      </c>
      <c r="H64" s="120" t="s">
        <v>69</v>
      </c>
      <c r="I64" s="120" t="s">
        <v>70</v>
      </c>
      <c r="J64" s="117">
        <f>IF($A64="","",IF($I64="Ganada",ROUND($G64*($F64-1),2),IF($I64="Medio Ganada",ROUND($G64/2*($F64-1),2),IF($I64="Perdida",IF($H64="Free Bet",0,-$G64),IF($I64="Medio Perdida",IF($H64="Free Bet",0,-$G64/2),IF($I64="Reembolso",IF($R64="","",ROUND($R64-$G64,2)),IF($I64="Anulada",0,"")))))))</f>
        <v>12.8</v>
      </c>
      <c r="K64" s="118">
        <f>IF(J64="","",2000+SUM(J$5:J64))</f>
        <v>2081.4499999999998</v>
      </c>
      <c r="L64" s="119">
        <f>IF(OR($I64="Ganada",$I64="Perdida",$I64="Medio Ganada",$I64="Medio Perdida"),IF($G64=0,"",J64/$G64),"")</f>
        <v>0.64</v>
      </c>
      <c r="M64" s="120">
        <f>IF(OR($A64="",$B64=""),"",COUNTIFS($A$5:A64,A64,$B$5:B64,B64))</f>
        <v>3</v>
      </c>
      <c r="N64" s="120">
        <f>IF($A64="","",COUNTA($A$5:$A64))</f>
        <v>60</v>
      </c>
      <c r="O64" s="120">
        <f>IF($A64="","",COUNTA($A$5:$A64))</f>
        <v>60</v>
      </c>
      <c r="P64" s="118">
        <f>IF($K64="","",MAX($K$5:K64))</f>
        <v>2081.4499999999998</v>
      </c>
      <c r="Q64" s="117">
        <f>IF($K64="","",K64-P64)</f>
        <v>0</v>
      </c>
      <c r="R64" s="118"/>
      <c r="S64" s="2">
        <f>IF(OR($A64="",$F64=""),"",IF($I64="Pendiente","",ROUND($G64*($F64*0.609-1),2)))</f>
        <v>-0.02</v>
      </c>
      <c r="T64" s="2">
        <f>IF($A64="","",IFERROR(SUM($S$5:S64),0))</f>
        <v>94.700000000000031</v>
      </c>
    </row>
    <row r="65" spans="1:20" ht="25.5" customHeight="1">
      <c r="A65" s="110">
        <v>46197</v>
      </c>
      <c r="B65" s="129" t="s">
        <v>31</v>
      </c>
      <c r="C65" s="136" t="s">
        <v>183</v>
      </c>
      <c r="D65" s="113" t="s">
        <v>67</v>
      </c>
      <c r="E65" s="139" t="s">
        <v>184</v>
      </c>
      <c r="F65" s="115">
        <v>2.15</v>
      </c>
      <c r="G65" s="116">
        <v>15</v>
      </c>
      <c r="H65" s="120" t="s">
        <v>69</v>
      </c>
      <c r="I65" s="120" t="s">
        <v>70</v>
      </c>
      <c r="J65" s="117">
        <f>IF($A65="","",IF($I65="Ganada",ROUND($G65*($F65-1),2),IF($I65="Medio Ganada",ROUND($G65/2*($F65-1),2),IF($I65="Perdida",IF($H65="Free Bet",0,-$G65),IF($I65="Medio Perdida",IF($H65="Free Bet",0,-$G65/2),IF($I65="Reembolso",IF($R65="","",ROUND($R65-$G65,2)),IF($I65="Anulada",0,"")))))))</f>
        <v>17.25</v>
      </c>
      <c r="K65" s="118">
        <f>IF(J65="","",2000+SUM(J$5:J65))</f>
        <v>2098.6999999999998</v>
      </c>
      <c r="L65" s="119">
        <f>IF(OR($I65="Ganada",$I65="Perdida",$I65="Medio Ganada",$I65="Medio Perdida"),IF($G65=0,"",J65/$G65),"")</f>
        <v>1.1499999999999999</v>
      </c>
      <c r="M65" s="120">
        <f>IF(OR($A65="",$B65=""),"",COUNTIFS($A$5:A65,A65,$B$5:B65,B65))</f>
        <v>2</v>
      </c>
      <c r="N65" s="120">
        <f>IF($A65="","",COUNTA($A$5:$A65))</f>
        <v>61</v>
      </c>
      <c r="O65" s="120">
        <f>IF($A65="","",COUNTA($A$5:$A65))</f>
        <v>61</v>
      </c>
      <c r="P65" s="118">
        <f>IF($K65="","",MAX($K$5:K65))</f>
        <v>2098.6999999999998</v>
      </c>
      <c r="Q65" s="117">
        <f>IF($K65="","",K65-P65)</f>
        <v>0</v>
      </c>
      <c r="R65" s="118"/>
      <c r="S65" s="2">
        <f>IF(OR($A65="",$F65=""),"",IF($I65="Pendiente","",ROUND($G65*($F65*0.609-1),2)))</f>
        <v>4.6399999999999997</v>
      </c>
      <c r="T65" s="2">
        <f>IF($A65="","",IFERROR(SUM($S$5:S65),0))</f>
        <v>99.340000000000032</v>
      </c>
    </row>
    <row r="66" spans="1:20" ht="15" customHeight="1">
      <c r="A66" s="110">
        <v>46197</v>
      </c>
      <c r="B66" s="132" t="s">
        <v>29</v>
      </c>
      <c r="C66" s="133" t="s">
        <v>185</v>
      </c>
      <c r="D66" s="113" t="s">
        <v>76</v>
      </c>
      <c r="E66" s="142" t="s">
        <v>186</v>
      </c>
      <c r="F66" s="115">
        <v>1.67</v>
      </c>
      <c r="G66" s="116">
        <v>20</v>
      </c>
      <c r="H66" s="120" t="s">
        <v>69</v>
      </c>
      <c r="I66" s="120" t="s">
        <v>70</v>
      </c>
      <c r="J66" s="117">
        <f>IF($A66="","",IF($I66="Ganada",ROUND($G66*($F66-1),2),IF($I66="Medio Ganada",ROUND($G66/2*($F66-1),2),IF($I66="Perdida",IF($H66="Free Bet",0,-$G66),IF($I66="Medio Perdida",IF($H66="Free Bet",0,-$G66/2),IF($I66="Reembolso",IF($R66="","",ROUND($R66-$G66,2)),IF($I66="Anulada",0,"")))))))</f>
        <v>13.4</v>
      </c>
      <c r="K66" s="118">
        <f>IF(J66="","",2000+SUM(J$5:J66))</f>
        <v>2112.1</v>
      </c>
      <c r="L66" s="119">
        <f>IF(OR($I66="Ganada",$I66="Perdida",$I66="Medio Ganada",$I66="Medio Perdida"),IF($G66=0,"",J66/$G66),"")</f>
        <v>0.67</v>
      </c>
      <c r="M66" s="120">
        <f>IF(OR($A66="",$B66=""),"",COUNTIFS($A$5:A66,A66,$B$5:B66,B66))</f>
        <v>2</v>
      </c>
      <c r="N66" s="120">
        <f>IF($A66="","",COUNTA($A$5:$A66))</f>
        <v>62</v>
      </c>
      <c r="O66" s="120">
        <f>IF($A66="","",COUNTA($A$5:$A66))</f>
        <v>62</v>
      </c>
      <c r="P66" s="118">
        <f>IF($K66="","",MAX($K$5:K66))</f>
        <v>2112.1</v>
      </c>
      <c r="Q66" s="117">
        <f>IF($K66="","",K66-P66)</f>
        <v>0</v>
      </c>
      <c r="R66" s="118"/>
      <c r="S66" s="2">
        <f>IF(OR($A66="",$F66=""),"",IF($I66="Pendiente","",ROUND($G66*($F66*0.609-1),2)))</f>
        <v>0.34</v>
      </c>
      <c r="T66" s="2">
        <f>IF($A66="","",IFERROR(SUM($S$5:S66),0))</f>
        <v>99.680000000000035</v>
      </c>
    </row>
    <row r="67" spans="1:20" ht="27.75" customHeight="1">
      <c r="A67" s="110">
        <v>46197</v>
      </c>
      <c r="B67" s="132" t="s">
        <v>29</v>
      </c>
      <c r="C67" s="136" t="s">
        <v>187</v>
      </c>
      <c r="D67" s="113" t="s">
        <v>76</v>
      </c>
      <c r="E67" s="139" t="s">
        <v>188</v>
      </c>
      <c r="F67" s="115">
        <v>2.0699999999999998</v>
      </c>
      <c r="G67" s="116">
        <v>15</v>
      </c>
      <c r="H67" s="120" t="s">
        <v>69</v>
      </c>
      <c r="I67" s="120" t="s">
        <v>70</v>
      </c>
      <c r="J67" s="117">
        <f>IF($A67="","",IF($I67="Ganada",ROUND($G67*($F67-1),2),IF($I67="Medio Ganada",ROUND($G67/2*($F67-1),2),IF($I67="Perdida",IF($H67="Free Bet",0,-$G67),IF($I67="Medio Perdida",IF($H67="Free Bet",0,-$G67/2),IF($I67="Reembolso",IF($R67="","",ROUND($R67-$G67,2)),IF($I67="Anulada",0,"")))))))</f>
        <v>16.05</v>
      </c>
      <c r="K67" s="118">
        <f>IF(J67="","",2000+SUM(J$5:J67))</f>
        <v>2128.15</v>
      </c>
      <c r="L67" s="119">
        <f>IF(OR($I67="Ganada",$I67="Perdida",$I67="Medio Ganada",$I67="Medio Perdida"),IF($G67=0,"",J67/$G67),"")</f>
        <v>1.07</v>
      </c>
      <c r="M67" s="120">
        <f>IF(OR($A67="",$B67=""),"",COUNTIFS($A$5:A67,A67,$B$5:B67,B67))</f>
        <v>3</v>
      </c>
      <c r="N67" s="120">
        <f>IF($A67="","",COUNTA($A$5:$A67))</f>
        <v>63</v>
      </c>
      <c r="O67" s="120">
        <f>IF($A67="","",COUNTA($A$5:$A67))</f>
        <v>63</v>
      </c>
      <c r="P67" s="118">
        <f>IF($K67="","",MAX($K$5:K67))</f>
        <v>2128.15</v>
      </c>
      <c r="Q67" s="117">
        <f>IF($K67="","",K67-P67)</f>
        <v>0</v>
      </c>
      <c r="R67" s="118"/>
      <c r="S67" s="2">
        <f>IF(OR($A67="",$F67=""),"",IF($I67="Pendiente","",ROUND($G67*($F67*0.609-1),2)))</f>
        <v>3.91</v>
      </c>
      <c r="T67" s="2">
        <f>IF($A67="","",IFERROR(SUM($S$5:S67),0))</f>
        <v>103.59000000000003</v>
      </c>
    </row>
    <row r="68" spans="1:20" ht="23.25" customHeight="1">
      <c r="A68" s="110">
        <v>46197</v>
      </c>
      <c r="B68" s="132" t="s">
        <v>29</v>
      </c>
      <c r="C68" s="136" t="s">
        <v>189</v>
      </c>
      <c r="D68" s="113" t="s">
        <v>76</v>
      </c>
      <c r="E68" s="143" t="s">
        <v>190</v>
      </c>
      <c r="F68" s="115">
        <v>1.55</v>
      </c>
      <c r="G68" s="116">
        <v>20</v>
      </c>
      <c r="H68" s="120" t="s">
        <v>69</v>
      </c>
      <c r="I68" s="120" t="s">
        <v>70</v>
      </c>
      <c r="J68" s="117">
        <f>IF($A68="","",IF($I68="Ganada",ROUND($G68*($F68-1),2),IF($I68="Medio Ganada",ROUND($G68/2*($F68-1),2),IF($I68="Perdida",IF($H68="Free Bet",0,-$G68),IF($I68="Medio Perdida",IF($H68="Free Bet",0,-$G68/2),IF($I68="Reembolso",IF($R68="","",ROUND($R68-$G68,2)),IF($I68="Anulada",0,"")))))))</f>
        <v>11</v>
      </c>
      <c r="K68" s="118">
        <f>IF(J68="","",2000+SUM(J$5:J68))</f>
        <v>2139.15</v>
      </c>
      <c r="L68" s="119">
        <f>IF(OR($I68="Ganada",$I68="Perdida",$I68="Medio Ganada",$I68="Medio Perdida"),IF($G68=0,"",J68/$G68),"")</f>
        <v>0.55000000000000004</v>
      </c>
      <c r="M68" s="120">
        <f>IF(OR($A68="",$B68=""),"",COUNTIFS($A$5:A68,A68,$B$5:B68,B68))</f>
        <v>4</v>
      </c>
      <c r="N68" s="120">
        <f>IF($A68="","",COUNTA($A$5:$A68))</f>
        <v>64</v>
      </c>
      <c r="O68" s="120">
        <f>IF($A68="","",COUNTA($A$5:$A68))</f>
        <v>64</v>
      </c>
      <c r="P68" s="118">
        <f>IF($K68="","",MAX($K$5:K68))</f>
        <v>2139.15</v>
      </c>
      <c r="Q68" s="117">
        <f>IF($K68="","",K68-P68)</f>
        <v>0</v>
      </c>
      <c r="R68" s="118"/>
      <c r="S68" s="2">
        <f>IF(OR($A68="",$F68=""),"",IF($I68="Pendiente","",ROUND($G68*($F68*0.609-1),2)))</f>
        <v>-1.1200000000000001</v>
      </c>
      <c r="T68" s="2">
        <f>IF($A68="","",IFERROR(SUM($S$5:S68),0))</f>
        <v>102.47000000000003</v>
      </c>
    </row>
    <row r="69" spans="1:20" ht="27.75" customHeight="1">
      <c r="A69" s="110">
        <v>46197</v>
      </c>
      <c r="B69" s="111" t="s">
        <v>30</v>
      </c>
      <c r="C69" s="136" t="s">
        <v>189</v>
      </c>
      <c r="D69" s="113" t="s">
        <v>76</v>
      </c>
      <c r="E69" s="143" t="s">
        <v>191</v>
      </c>
      <c r="F69" s="115">
        <v>1.55</v>
      </c>
      <c r="G69" s="116">
        <v>20</v>
      </c>
      <c r="H69" s="120" t="s">
        <v>69</v>
      </c>
      <c r="I69" s="120" t="s">
        <v>70</v>
      </c>
      <c r="J69" s="117">
        <f>IF($A69="","",IF($I69="Ganada",ROUND($G69*($F69-1),2),IF($I69="Medio Ganada",ROUND($G69/2*($F69-1),2),IF($I69="Perdida",IF($H69="Free Bet",0,-$G69),IF($I69="Medio Perdida",IF($H69="Free Bet",0,-$G69/2),IF($I69="Reembolso",IF($R69="","",ROUND($R69-$G69,2)),IF($I69="Anulada",0,"")))))))</f>
        <v>11</v>
      </c>
      <c r="K69" s="118">
        <f>IF(J69="","",2000+SUM(J$5:J69))</f>
        <v>2150.15</v>
      </c>
      <c r="L69" s="119">
        <f>IF(OR($I69="Ganada",$I69="Perdida",$I69="Medio Ganada",$I69="Medio Perdida"),IF($G69=0,"",J69/$G69),"")</f>
        <v>0.55000000000000004</v>
      </c>
      <c r="M69" s="120">
        <f>IF(OR($A69="",$B69=""),"",COUNTIFS($A$5:A69,A69,$B$5:B69,B69))</f>
        <v>1</v>
      </c>
      <c r="N69" s="120">
        <f>IF($A69="","",COUNTA($A$5:$A69))</f>
        <v>65</v>
      </c>
      <c r="O69" s="120">
        <f>IF($A69="","",COUNTA($A$5:$A69))</f>
        <v>65</v>
      </c>
      <c r="P69" s="118">
        <f>IF($K69="","",MAX($K$5:K69))</f>
        <v>2150.15</v>
      </c>
      <c r="Q69" s="117">
        <f>IF($K69="","",K69-P69)</f>
        <v>0</v>
      </c>
      <c r="R69" s="118"/>
      <c r="S69" s="2">
        <f>IF(OR($A69="",$F69=""),"",IF($I69="Pendiente","",ROUND($G69*($F69*0.609-1),2)))</f>
        <v>-1.1200000000000001</v>
      </c>
      <c r="T69" s="2">
        <f>IF($A69="","",IFERROR(SUM($S$5:S69),0))</f>
        <v>101.35000000000002</v>
      </c>
    </row>
    <row r="70" spans="1:20" ht="15" customHeight="1">
      <c r="A70" s="110">
        <v>46197</v>
      </c>
      <c r="B70" s="129" t="s">
        <v>31</v>
      </c>
      <c r="C70" s="141" t="s">
        <v>192</v>
      </c>
      <c r="D70" s="113" t="s">
        <v>76</v>
      </c>
      <c r="E70" s="139" t="s">
        <v>193</v>
      </c>
      <c r="F70" s="115">
        <v>2.1</v>
      </c>
      <c r="G70" s="116">
        <v>15</v>
      </c>
      <c r="H70" s="120" t="s">
        <v>69</v>
      </c>
      <c r="I70" s="120" t="s">
        <v>75</v>
      </c>
      <c r="J70" s="117">
        <f>IF($A70="","",IF($I70="Ganada",ROUND($G70*($F70-1),2),IF($I70="Medio Ganada",ROUND($G70/2*($F70-1),2),IF($I70="Perdida",IF($H70="Free Bet",0,-$G70),IF($I70="Medio Perdida",IF($H70="Free Bet",0,-$G70/2),IF($I70="Reembolso",IF($R70="","",ROUND($R70-$G70,2)),IF($I70="Anulada",0,"")))))))</f>
        <v>-15</v>
      </c>
      <c r="K70" s="118">
        <f>IF(J70="","",2000+SUM(J$5:J70))</f>
        <v>2135.15</v>
      </c>
      <c r="L70" s="119">
        <f>IF(OR($I70="Ganada",$I70="Perdida",$I70="Medio Ganada",$I70="Medio Perdida"),IF($G70=0,"",J70/$G70),"")</f>
        <v>-1</v>
      </c>
      <c r="M70" s="120">
        <f>IF(OR($A70="",$B70=""),"",COUNTIFS($A$5:A70,A70,$B$5:B70,B70))</f>
        <v>3</v>
      </c>
      <c r="N70" s="120">
        <f>IF($A70="","",COUNTA($A$5:$A70))</f>
        <v>66</v>
      </c>
      <c r="O70" s="120">
        <f>IF($A70="","",COUNTA($A$5:$A70))</f>
        <v>66</v>
      </c>
      <c r="P70" s="118">
        <f>IF($K70="","",MAX($K$5:K70))</f>
        <v>2150.15</v>
      </c>
      <c r="Q70" s="117">
        <f>IF($K70="","",K70-P70)</f>
        <v>-15</v>
      </c>
      <c r="R70" s="118"/>
      <c r="S70" s="2">
        <f>IF(OR($A70="",$F70=""),"",IF($I70="Pendiente","",ROUND($G70*($F70*0.609-1),2)))</f>
        <v>4.18</v>
      </c>
      <c r="T70" s="2">
        <f>IF($A70="","",IFERROR(SUM($S$5:S70),0))</f>
        <v>105.53000000000003</v>
      </c>
    </row>
    <row r="71" spans="1:20" ht="15" customHeight="1">
      <c r="A71" s="110">
        <v>46197</v>
      </c>
      <c r="B71" s="129" t="s">
        <v>31</v>
      </c>
      <c r="C71" s="133" t="s">
        <v>194</v>
      </c>
      <c r="D71" s="113" t="s">
        <v>76</v>
      </c>
      <c r="E71" s="139" t="s">
        <v>195</v>
      </c>
      <c r="F71" s="115">
        <v>1.33</v>
      </c>
      <c r="G71" s="116">
        <v>25</v>
      </c>
      <c r="H71" s="120" t="s">
        <v>69</v>
      </c>
      <c r="I71" s="120" t="s">
        <v>70</v>
      </c>
      <c r="J71" s="117">
        <f>IF($A71="","",IF($I71="Ganada",ROUND($G71*($F71-1),2),IF($I71="Medio Ganada",ROUND($G71/2*($F71-1),2),IF($I71="Perdida",IF($H71="Free Bet",0,-$G71),IF($I71="Medio Perdida",IF($H71="Free Bet",0,-$G71/2),IF($I71="Reembolso",IF($R71="","",ROUND($R71-$G71,2)),IF($I71="Anulada",0,"")))))))</f>
        <v>8.25</v>
      </c>
      <c r="K71" s="118">
        <f>IF(J71="","",2000+SUM(J$5:J71))</f>
        <v>2143.4</v>
      </c>
      <c r="L71" s="119">
        <f>IF(OR($I71="Ganada",$I71="Perdida",$I71="Medio Ganada",$I71="Medio Perdida"),IF($G71=0,"",J71/$G71),"")</f>
        <v>0.33</v>
      </c>
      <c r="M71" s="120">
        <f>IF(OR($A71="",$B71=""),"",COUNTIFS($A$5:A71,A71,$B$5:B71,B71))</f>
        <v>4</v>
      </c>
      <c r="N71" s="120">
        <f>IF($A71="","",COUNTA($A$5:$A71))</f>
        <v>67</v>
      </c>
      <c r="O71" s="120">
        <f>IF($A71="","",COUNTA($A$5:$A71))</f>
        <v>67</v>
      </c>
      <c r="P71" s="118">
        <f>IF($K71="","",MAX($K$5:K71))</f>
        <v>2150.15</v>
      </c>
      <c r="Q71" s="117">
        <f>IF($K71="","",K71-P71)</f>
        <v>-6.75</v>
      </c>
      <c r="R71" s="118"/>
      <c r="S71" s="2">
        <f>IF(OR($A71="",$F71=""),"",IF($I71="Pendiente","",ROUND($G71*($F71*0.609-1),2)))</f>
        <v>-4.75</v>
      </c>
      <c r="T71" s="2">
        <f>IF($A71="","",IFERROR(SUM($S$5:S71),0))</f>
        <v>100.78000000000003</v>
      </c>
    </row>
    <row r="72" spans="1:20" ht="15" customHeight="1">
      <c r="A72" s="110">
        <v>46197</v>
      </c>
      <c r="B72" s="129" t="s">
        <v>31</v>
      </c>
      <c r="C72" s="133" t="s">
        <v>196</v>
      </c>
      <c r="D72" s="113" t="s">
        <v>76</v>
      </c>
      <c r="E72" s="139" t="s">
        <v>195</v>
      </c>
      <c r="F72" s="115">
        <v>2</v>
      </c>
      <c r="G72" s="116">
        <v>15</v>
      </c>
      <c r="H72" s="120" t="s">
        <v>69</v>
      </c>
      <c r="I72" s="120" t="s">
        <v>70</v>
      </c>
      <c r="J72" s="117">
        <f>IF($A72="","",IF($I72="Ganada",ROUND($G72*($F72-1),2),IF($I72="Medio Ganada",ROUND($G72/2*($F72-1),2),IF($I72="Perdida",IF($H72="Free Bet",0,-$G72),IF($I72="Medio Perdida",IF($H72="Free Bet",0,-$G72/2),IF($I72="Reembolso",IF($R72="","",ROUND($R72-$G72,2)),IF($I72="Anulada",0,"")))))))</f>
        <v>15</v>
      </c>
      <c r="K72" s="118">
        <f>IF(J72="","",2000+SUM(J$5:J72))</f>
        <v>2158.4</v>
      </c>
      <c r="L72" s="119">
        <f>IF(OR($I72="Ganada",$I72="Perdida",$I72="Medio Ganada",$I72="Medio Perdida"),IF($G72=0,"",J72/$G72),"")</f>
        <v>1</v>
      </c>
      <c r="M72" s="120">
        <f>IF(OR($A72="",$B72=""),"",COUNTIFS($A$5:A72,A72,$B$5:B72,B72))</f>
        <v>5</v>
      </c>
      <c r="N72" s="120">
        <f>IF($A72="","",COUNTA($A$5:$A72))</f>
        <v>68</v>
      </c>
      <c r="O72" s="120">
        <f>IF($A72="","",COUNTA($A$5:$A72))</f>
        <v>68</v>
      </c>
      <c r="P72" s="118">
        <f>IF($K72="","",MAX($K$5:K72))</f>
        <v>2158.4</v>
      </c>
      <c r="Q72" s="117">
        <f>IF($K72="","",K72-P72)</f>
        <v>0</v>
      </c>
      <c r="R72" s="118"/>
      <c r="S72" s="2">
        <f>IF(OR($A72="",$F72=""),"",IF($I72="Pendiente","",ROUND($G72*($F72*0.609-1),2)))</f>
        <v>3.27</v>
      </c>
      <c r="T72" s="2">
        <f>IF($A72="","",IFERROR(SUM($S$5:S72),0))</f>
        <v>104.05000000000003</v>
      </c>
    </row>
    <row r="73" spans="1:20" ht="26.25" customHeight="1">
      <c r="A73" s="110">
        <v>46197</v>
      </c>
      <c r="B73" s="132" t="s">
        <v>29</v>
      </c>
      <c r="C73" s="140" t="s">
        <v>197</v>
      </c>
      <c r="D73" s="113" t="s">
        <v>76</v>
      </c>
      <c r="E73" s="143" t="s">
        <v>198</v>
      </c>
      <c r="F73" s="115">
        <v>1.88</v>
      </c>
      <c r="G73" s="116">
        <v>15</v>
      </c>
      <c r="H73" s="120" t="s">
        <v>69</v>
      </c>
      <c r="I73" s="120" t="s">
        <v>70</v>
      </c>
      <c r="J73" s="117">
        <f>IF($A73="","",IF($I73="Ganada",ROUND($G73*($F73-1),2),IF($I73="Medio Ganada",ROUND($G73/2*($F73-1),2),IF($I73="Perdida",IF($H73="Free Bet",0,-$G73),IF($I73="Medio Perdida",IF($H73="Free Bet",0,-$G73/2),IF($I73="Reembolso",IF($R73="","",ROUND($R73-$G73,2)),IF($I73="Anulada",0,"")))))))</f>
        <v>13.2</v>
      </c>
      <c r="K73" s="118">
        <f>IF(J73="","",2000+SUM(J$5:J73))</f>
        <v>2171.6</v>
      </c>
      <c r="L73" s="119">
        <f>IF(OR($I73="Ganada",$I73="Perdida",$I73="Medio Ganada",$I73="Medio Perdida"),IF($G73=0,"",J73/$G73),"")</f>
        <v>0.88</v>
      </c>
      <c r="M73" s="120">
        <f>IF(OR($A73="",$B73=""),"",COUNTIFS($A$5:A73,A73,$B$5:B73,B73))</f>
        <v>5</v>
      </c>
      <c r="N73" s="120">
        <f>IF($A73="","",COUNTA($A$5:$A73))</f>
        <v>69</v>
      </c>
      <c r="O73" s="120">
        <f>IF($A73="","",COUNTA($A$5:$A73))</f>
        <v>69</v>
      </c>
      <c r="P73" s="118">
        <f>IF($K73="","",MAX($K$5:K73))</f>
        <v>2171.6</v>
      </c>
      <c r="Q73" s="117">
        <f>IF($K73="","",K73-P73)</f>
        <v>0</v>
      </c>
      <c r="R73" s="118"/>
      <c r="S73" s="2">
        <f>IF(OR($A73="",$F73=""),"",IF($I73="Pendiente","",ROUND($G73*($F73*0.609-1),2)))</f>
        <v>2.17</v>
      </c>
      <c r="T73" s="2">
        <f>IF($A73="","",IFERROR(SUM($S$5:S73),0))</f>
        <v>106.22000000000003</v>
      </c>
    </row>
    <row r="74" spans="1:20" ht="24" customHeight="1">
      <c r="A74" s="110">
        <v>46197</v>
      </c>
      <c r="B74" s="111" t="s">
        <v>30</v>
      </c>
      <c r="C74" s="133" t="s">
        <v>199</v>
      </c>
      <c r="D74" s="113" t="s">
        <v>95</v>
      </c>
      <c r="E74" s="143" t="s">
        <v>200</v>
      </c>
      <c r="F74" s="115">
        <v>2.06</v>
      </c>
      <c r="G74" s="116">
        <v>15</v>
      </c>
      <c r="H74" s="120" t="s">
        <v>69</v>
      </c>
      <c r="I74" s="120" t="s">
        <v>70</v>
      </c>
      <c r="J74" s="117">
        <f>IF($A74="","",IF($I74="Ganada",ROUND($G74*($F74-1),2),IF($I74="Medio Ganada",ROUND($G74/2*($F74-1),2),IF($I74="Perdida",IF($H74="Free Bet",0,-$G74),IF($I74="Medio Perdida",IF($H74="Free Bet",0,-$G74/2),IF($I74="Reembolso",IF($R74="","",ROUND($R74-$G74,2)),IF($I74="Anulada",0,"")))))))</f>
        <v>15.9</v>
      </c>
      <c r="K74" s="118">
        <f>IF(J74="","",2000+SUM(J$5:J74))</f>
        <v>2187.5</v>
      </c>
      <c r="L74" s="119">
        <f>IF(OR($I74="Ganada",$I74="Perdida",$I74="Medio Ganada",$I74="Medio Perdida"),IF($G74=0,"",J74/$G74),"")</f>
        <v>1.06</v>
      </c>
      <c r="M74" s="120">
        <f>IF(OR($A74="",$B74=""),"",COUNTIFS($A$5:A74,A74,$B$5:B74,B74))</f>
        <v>2</v>
      </c>
      <c r="N74" s="120">
        <f>IF($A74="","",COUNTA($A$5:$A74))</f>
        <v>70</v>
      </c>
      <c r="O74" s="120">
        <f>IF($A74="","",COUNTA($A$5:$A74))</f>
        <v>70</v>
      </c>
      <c r="P74" s="118">
        <f>IF($K74="","",MAX($K$5:K74))</f>
        <v>2187.5</v>
      </c>
      <c r="Q74" s="117">
        <f>IF($K74="","",K74-P74)</f>
        <v>0</v>
      </c>
      <c r="R74" s="118"/>
      <c r="S74" s="2">
        <f>IF(OR($A74="",$F74=""),"",IF($I74="Pendiente","",ROUND($G74*($F74*0.609-1),2)))</f>
        <v>3.82</v>
      </c>
      <c r="T74" s="2">
        <f>IF($A74="","",IFERROR(SUM($S$5:S74),0))</f>
        <v>110.04000000000002</v>
      </c>
    </row>
    <row r="75" spans="1:20" ht="15" customHeight="1">
      <c r="A75" s="110">
        <v>46197</v>
      </c>
      <c r="B75" s="129" t="s">
        <v>31</v>
      </c>
      <c r="C75" s="133" t="s">
        <v>201</v>
      </c>
      <c r="D75" s="113" t="s">
        <v>95</v>
      </c>
      <c r="E75" s="143" t="s">
        <v>202</v>
      </c>
      <c r="F75" s="115">
        <v>2.2000000000000002</v>
      </c>
      <c r="G75" s="116">
        <v>15</v>
      </c>
      <c r="H75" s="120" t="s">
        <v>69</v>
      </c>
      <c r="I75" s="120" t="s">
        <v>70</v>
      </c>
      <c r="J75" s="117">
        <f>IF($A75="","",IF($I75="Ganada",ROUND($G75*($F75-1),2),IF($I75="Medio Ganada",ROUND($G75/2*($F75-1),2),IF($I75="Perdida",IF($H75="Free Bet",0,-$G75),IF($I75="Medio Perdida",IF($H75="Free Bet",0,-$G75/2),IF($I75="Reembolso",IF($R75="","",ROUND($R75-$G75,2)),IF($I75="Anulada",0,"")))))))</f>
        <v>18</v>
      </c>
      <c r="K75" s="118">
        <f>IF(J75="","",2000+SUM(J$5:J75))</f>
        <v>2205.5</v>
      </c>
      <c r="L75" s="119">
        <f>IF(OR($I75="Ganada",$I75="Perdida",$I75="Medio Ganada",$I75="Medio Perdida"),IF($G75=0,"",J75/$G75),"")</f>
        <v>1.2</v>
      </c>
      <c r="M75" s="120">
        <f>IF(OR($A75="",$B75=""),"",COUNTIFS($A$5:A75,A75,$B$5:B75,B75))</f>
        <v>6</v>
      </c>
      <c r="N75" s="120">
        <f>IF($A75="","",COUNTA($A$5:$A75))</f>
        <v>71</v>
      </c>
      <c r="O75" s="120">
        <f>IF($A75="","",COUNTA($A$5:$A75))</f>
        <v>71</v>
      </c>
      <c r="P75" s="118">
        <f>IF($K75="","",MAX($K$5:K75))</f>
        <v>2205.5</v>
      </c>
      <c r="Q75" s="117">
        <f>IF($K75="","",K75-P75)</f>
        <v>0</v>
      </c>
      <c r="R75" s="118"/>
      <c r="S75" s="2">
        <f>IF(OR($A75="",$F75=""),"",IF($I75="Pendiente","",ROUND($G75*($F75*0.609-1),2)))</f>
        <v>5.0999999999999996</v>
      </c>
      <c r="T75" s="2">
        <f>IF($A75="","",IFERROR(SUM($S$5:S75),0))</f>
        <v>115.14000000000001</v>
      </c>
    </row>
    <row r="76" spans="1:20" ht="31.5" customHeight="1">
      <c r="A76" s="110">
        <v>46197</v>
      </c>
      <c r="B76" s="132" t="s">
        <v>29</v>
      </c>
      <c r="C76" s="136" t="s">
        <v>203</v>
      </c>
      <c r="D76" s="113" t="s">
        <v>76</v>
      </c>
      <c r="E76" s="139" t="s">
        <v>112</v>
      </c>
      <c r="F76" s="115">
        <v>1.52</v>
      </c>
      <c r="G76" s="116">
        <v>20</v>
      </c>
      <c r="H76" s="120" t="s">
        <v>69</v>
      </c>
      <c r="I76" s="120" t="s">
        <v>70</v>
      </c>
      <c r="J76" s="117">
        <f>IF($A76="","",IF($I76="Ganada",ROUND($G76*($F76-1),2),IF($I76="Medio Ganada",ROUND($G76/2*($F76-1),2),IF($I76="Perdida",IF($H76="Free Bet",0,-$G76),IF($I76="Medio Perdida",IF($H76="Free Bet",0,-$G76/2),IF($I76="Reembolso",IF($R76="","",ROUND($R76-$G76,2)),IF($I76="Anulada",0,"")))))))</f>
        <v>10.4</v>
      </c>
      <c r="K76" s="118">
        <f>IF(J76="","",2000+SUM(J$5:J76))</f>
        <v>2215.9</v>
      </c>
      <c r="L76" s="119">
        <f>IF(OR($I76="Ganada",$I76="Perdida",$I76="Medio Ganada",$I76="Medio Perdida"),IF($G76=0,"",J76/$G76),"")</f>
        <v>0.52</v>
      </c>
      <c r="M76" s="120">
        <f>IF(OR($A76="",$B76=""),"",COUNTIFS($A$5:A76,A76,$B$5:B76,B76))</f>
        <v>6</v>
      </c>
      <c r="N76" s="120">
        <f>IF($A76="","",COUNTA($A$5:$A76))</f>
        <v>72</v>
      </c>
      <c r="O76" s="120">
        <f>IF($A76="","",COUNTA($A$5:$A76))</f>
        <v>72</v>
      </c>
      <c r="P76" s="118">
        <f>IF($K76="","",MAX($K$5:K76))</f>
        <v>2215.9</v>
      </c>
      <c r="Q76" s="117">
        <f>IF($K76="","",K76-P76)</f>
        <v>0</v>
      </c>
      <c r="R76" s="118"/>
      <c r="S76" s="2">
        <f>IF(OR($A76="",$F76=""),"",IF($I76="Pendiente","",ROUND($G76*($F76*0.609-1),2)))</f>
        <v>-1.49</v>
      </c>
      <c r="T76" s="2">
        <f>IF($A76="","",IFERROR(SUM($S$5:S76),0))</f>
        <v>113.65000000000002</v>
      </c>
    </row>
    <row r="77" spans="1:20" ht="15" customHeight="1">
      <c r="A77" s="110">
        <v>46197</v>
      </c>
      <c r="B77" s="132" t="s">
        <v>29</v>
      </c>
      <c r="C77" s="136" t="s">
        <v>203</v>
      </c>
      <c r="D77" s="113" t="s">
        <v>76</v>
      </c>
      <c r="E77" s="139" t="s">
        <v>112</v>
      </c>
      <c r="F77" s="115">
        <v>1.48</v>
      </c>
      <c r="G77" s="116">
        <v>20</v>
      </c>
      <c r="H77" s="120" t="s">
        <v>69</v>
      </c>
      <c r="I77" s="120" t="s">
        <v>70</v>
      </c>
      <c r="J77" s="117">
        <f>IF($A77="","",IF($I77="Ganada",ROUND($G77*($F77-1),2),IF($I77="Medio Ganada",ROUND($G77/2*($F77-1),2),IF($I77="Perdida",IF($H77="Free Bet",0,-$G77),IF($I77="Medio Perdida",IF($H77="Free Bet",0,-$G77/2),IF($I77="Reembolso",IF($R77="","",ROUND($R77-$G77,2)),IF($I77="Anulada",0,"")))))))</f>
        <v>9.6</v>
      </c>
      <c r="K77" s="118">
        <f>IF(J77="","",2000+SUM(J$5:J77))</f>
        <v>2225.5</v>
      </c>
      <c r="L77" s="119">
        <f>IF(OR($I77="Ganada",$I77="Perdida",$I77="Medio Ganada",$I77="Medio Perdida"),IF($G77=0,"",J77/$G77),"")</f>
        <v>0.48</v>
      </c>
      <c r="M77" s="120">
        <f>IF(OR($A77="",$B77=""),"",COUNTIFS($A$5:A77,A77,$B$5:B77,B77))</f>
        <v>7</v>
      </c>
      <c r="N77" s="120">
        <f>IF($A77="","",COUNTA($A$5:$A77))</f>
        <v>73</v>
      </c>
      <c r="O77" s="120">
        <f>IF($A77="","",COUNTA($A$5:$A77))</f>
        <v>73</v>
      </c>
      <c r="P77" s="118">
        <f>IF($K77="","",MAX($K$5:K77))</f>
        <v>2225.5</v>
      </c>
      <c r="Q77" s="117">
        <f>IF($K77="","",K77-P77)</f>
        <v>0</v>
      </c>
      <c r="R77" s="118"/>
      <c r="S77" s="2">
        <f>IF(OR($A77="",$F77=""),"",IF($I77="Pendiente","",ROUND($G77*($F77*0.609-1),2)))</f>
        <v>-1.97</v>
      </c>
      <c r="T77" s="2">
        <f>IF($A77="","",IFERROR(SUM($S$5:S77),0))</f>
        <v>111.68000000000002</v>
      </c>
    </row>
    <row r="78" spans="1:20" ht="24.75" customHeight="1">
      <c r="A78" s="110">
        <v>46197</v>
      </c>
      <c r="B78" s="111" t="s">
        <v>30</v>
      </c>
      <c r="C78" s="136" t="s">
        <v>204</v>
      </c>
      <c r="D78" s="113" t="s">
        <v>76</v>
      </c>
      <c r="E78" s="139" t="s">
        <v>112</v>
      </c>
      <c r="F78" s="115">
        <v>1.74</v>
      </c>
      <c r="G78" s="116">
        <v>20</v>
      </c>
      <c r="H78" s="120" t="s">
        <v>69</v>
      </c>
      <c r="I78" s="120" t="s">
        <v>70</v>
      </c>
      <c r="J78" s="117">
        <f>IF($A78="","",IF($I78="Ganada",ROUND($G78*($F78-1),2),IF($I78="Medio Ganada",ROUND($G78/2*($F78-1),2),IF($I78="Perdida",IF($H78="Free Bet",0,-$G78),IF($I78="Medio Perdida",IF($H78="Free Bet",0,-$G78/2),IF($I78="Reembolso",IF($R78="","",ROUND($R78-$G78,2)),IF($I78="Anulada",0,"")))))))</f>
        <v>14.8</v>
      </c>
      <c r="K78" s="118">
        <f>IF(J78="","",2000+SUM(J$5:J78))</f>
        <v>2240.3000000000002</v>
      </c>
      <c r="L78" s="119">
        <f>IF(OR($I78="Ganada",$I78="Perdida",$I78="Medio Ganada",$I78="Medio Perdida"),IF($G78=0,"",J78/$G78),"")</f>
        <v>0.74</v>
      </c>
      <c r="M78" s="120">
        <f>IF(OR($A78="",$B78=""),"",COUNTIFS($A$5:A78,A78,$B$5:B78,B78))</f>
        <v>3</v>
      </c>
      <c r="N78" s="120">
        <f>IF($A78="","",COUNTA($A$5:$A78))</f>
        <v>74</v>
      </c>
      <c r="O78" s="120">
        <f>IF($A78="","",COUNTA($A$5:$A78))</f>
        <v>74</v>
      </c>
      <c r="P78" s="118">
        <f>IF($K78="","",MAX($K$5:K78))</f>
        <v>2240.3000000000002</v>
      </c>
      <c r="Q78" s="117">
        <f>IF($K78="","",K78-P78)</f>
        <v>0</v>
      </c>
      <c r="R78" s="118"/>
      <c r="S78" s="2">
        <f>IF(OR($A78="",$F78=""),"",IF($I78="Pendiente","",ROUND($G78*($F78*0.609-1),2)))</f>
        <v>1.19</v>
      </c>
      <c r="T78" s="2">
        <f>IF($A78="","",IFERROR(SUM($S$5:S78),0))</f>
        <v>112.87000000000002</v>
      </c>
    </row>
    <row r="79" spans="1:20" ht="15" customHeight="1">
      <c r="A79" s="110">
        <v>46197</v>
      </c>
      <c r="B79" s="124" t="s">
        <v>28</v>
      </c>
      <c r="C79" s="133" t="s">
        <v>205</v>
      </c>
      <c r="D79" s="113" t="s">
        <v>67</v>
      </c>
      <c r="E79" s="139" t="s">
        <v>206</v>
      </c>
      <c r="F79" s="115">
        <v>1.8</v>
      </c>
      <c r="G79" s="116">
        <v>20</v>
      </c>
      <c r="H79" s="120" t="s">
        <v>69</v>
      </c>
      <c r="I79" s="120" t="s">
        <v>70</v>
      </c>
      <c r="J79" s="117">
        <f>IF($A79="","",IF($I79="Ganada",ROUND($G79*($F79-1),2),IF($I79="Medio Ganada",ROUND($G79/2*($F79-1),2),IF($I79="Perdida",IF($H79="Free Bet",0,-$G79),IF($I79="Medio Perdida",IF($H79="Free Bet",0,-$G79/2),IF($I79="Reembolso",IF($R79="","",ROUND($R79-$G79,2)),IF($I79="Anulada",0,"")))))))</f>
        <v>16</v>
      </c>
      <c r="K79" s="118">
        <f>IF(J79="","",2000+SUM(J$5:J79))</f>
        <v>2256.3000000000002</v>
      </c>
      <c r="L79" s="119">
        <f>IF(OR($I79="Ganada",$I79="Perdida",$I79="Medio Ganada",$I79="Medio Perdida"),IF($G79=0,"",J79/$G79),"")</f>
        <v>0.8</v>
      </c>
      <c r="M79" s="120">
        <f>IF(OR($A79="",$B79=""),"",COUNTIFS($A$5:A79,A79,$B$5:B79,B79))</f>
        <v>4</v>
      </c>
      <c r="N79" s="120">
        <f>IF($A79="","",COUNTA($A$5:$A79))</f>
        <v>75</v>
      </c>
      <c r="O79" s="120">
        <f>IF($A79="","",COUNTA($A$5:$A79))</f>
        <v>75</v>
      </c>
      <c r="P79" s="118">
        <f>IF($K79="","",MAX($K$5:K79))</f>
        <v>2256.3000000000002</v>
      </c>
      <c r="Q79" s="117">
        <f>IF($K79="","",K79-P79)</f>
        <v>0</v>
      </c>
      <c r="R79" s="118"/>
      <c r="S79" s="2">
        <f>IF(OR($A79="",$F79=""),"",IF($I79="Pendiente","",ROUND($G79*($F79*0.609-1),2)))</f>
        <v>1.92</v>
      </c>
      <c r="T79" s="2">
        <f>IF($A79="","",IFERROR(SUM($S$5:S79),0))</f>
        <v>114.79000000000002</v>
      </c>
    </row>
    <row r="80" spans="1:20" ht="29.25" customHeight="1">
      <c r="A80" s="110">
        <v>46197</v>
      </c>
      <c r="B80" s="111" t="s">
        <v>30</v>
      </c>
      <c r="C80" s="136" t="s">
        <v>207</v>
      </c>
      <c r="D80" s="113" t="s">
        <v>76</v>
      </c>
      <c r="E80" s="139" t="s">
        <v>112</v>
      </c>
      <c r="F80" s="115">
        <v>1.35</v>
      </c>
      <c r="G80" s="116">
        <v>25</v>
      </c>
      <c r="H80" s="120" t="s">
        <v>69</v>
      </c>
      <c r="I80" s="120" t="s">
        <v>70</v>
      </c>
      <c r="J80" s="117">
        <f>IF($A80="","",IF($I80="Ganada",ROUND($G80*($F80-1),2),IF($I80="Medio Ganada",ROUND($G80/2*($F80-1),2),IF($I80="Perdida",IF($H80="Free Bet",0,-$G80),IF($I80="Medio Perdida",IF($H80="Free Bet",0,-$G80/2),IF($I80="Reembolso",IF($R80="","",ROUND($R80-$G80,2)),IF($I80="Anulada",0,"")))))))</f>
        <v>8.75</v>
      </c>
      <c r="K80" s="118">
        <f>IF(J80="","",2000+SUM(J$5:J80))</f>
        <v>2265.0500000000002</v>
      </c>
      <c r="L80" s="119">
        <f>IF(OR($I80="Ganada",$I80="Perdida",$I80="Medio Ganada",$I80="Medio Perdida"),IF($G80=0,"",J80/$G80),"")</f>
        <v>0.35</v>
      </c>
      <c r="M80" s="120">
        <f>IF(OR($A80="",$B80=""),"",COUNTIFS($A$5:A80,A80,$B$5:B80,B80))</f>
        <v>4</v>
      </c>
      <c r="N80" s="120">
        <f>IF($A80="","",COUNTA($A$5:$A80))</f>
        <v>76</v>
      </c>
      <c r="O80" s="120">
        <f>IF($A80="","",COUNTA($A$5:$A80))</f>
        <v>76</v>
      </c>
      <c r="P80" s="118">
        <f>IF($K80="","",MAX($K$5:K80))</f>
        <v>2265.0500000000002</v>
      </c>
      <c r="Q80" s="117">
        <f>IF($K80="","",K80-P80)</f>
        <v>0</v>
      </c>
      <c r="R80" s="118"/>
      <c r="S80" s="2">
        <f>IF(OR($A80="",$F80=""),"",IF($I80="Pendiente","",ROUND($G80*($F80*0.609-1),2)))</f>
        <v>-4.45</v>
      </c>
      <c r="T80" s="2">
        <f>IF($A80="","",IFERROR(SUM($S$5:S80),0))</f>
        <v>110.34000000000002</v>
      </c>
    </row>
    <row r="81" spans="1:20" ht="15" customHeight="1">
      <c r="A81" s="110">
        <v>46197</v>
      </c>
      <c r="B81" s="129" t="s">
        <v>31</v>
      </c>
      <c r="C81" s="133" t="s">
        <v>208</v>
      </c>
      <c r="D81" s="113" t="s">
        <v>76</v>
      </c>
      <c r="E81" s="139" t="s">
        <v>112</v>
      </c>
      <c r="F81" s="115">
        <v>1.33</v>
      </c>
      <c r="G81" s="116">
        <v>25</v>
      </c>
      <c r="H81" s="120" t="s">
        <v>69</v>
      </c>
      <c r="I81" s="120" t="s">
        <v>70</v>
      </c>
      <c r="J81" s="117">
        <f>IF($A81="","",IF($I81="Ganada",ROUND($G81*($F81-1),2),IF($I81="Medio Ganada",ROUND($G81/2*($F81-1),2),IF($I81="Perdida",IF($H81="Free Bet",0,-$G81),IF($I81="Medio Perdida",IF($H81="Free Bet",0,-$G81/2),IF($I81="Reembolso",IF($R81="","",ROUND($R81-$G81,2)),IF($I81="Anulada",0,"")))))))</f>
        <v>8.25</v>
      </c>
      <c r="K81" s="118">
        <f>IF(J81="","",2000+SUM(J$5:J81))</f>
        <v>2273.3000000000002</v>
      </c>
      <c r="L81" s="119">
        <f>IF(OR($I81="Ganada",$I81="Perdida",$I81="Medio Ganada",$I81="Medio Perdida"),IF($G81=0,"",J81/$G81),"")</f>
        <v>0.33</v>
      </c>
      <c r="M81" s="120">
        <f>IF(OR($A81="",$B81=""),"",COUNTIFS($A$5:A81,A81,$B$5:B81,B81))</f>
        <v>7</v>
      </c>
      <c r="N81" s="120">
        <f>IF($A81="","",COUNTA($A$5:$A81))</f>
        <v>77</v>
      </c>
      <c r="O81" s="120">
        <f>IF($A81="","",COUNTA($A$5:$A81))</f>
        <v>77</v>
      </c>
      <c r="P81" s="118">
        <f>IF($K81="","",MAX($K$5:K81))</f>
        <v>2273.3000000000002</v>
      </c>
      <c r="Q81" s="117">
        <f>IF($K81="","",K81-P81)</f>
        <v>0</v>
      </c>
      <c r="R81" s="118"/>
      <c r="S81" s="2">
        <f>IF(OR($A81="",$F81=""),"",IF($I81="Pendiente","",ROUND($G81*($F81*0.609-1),2)))</f>
        <v>-4.75</v>
      </c>
      <c r="T81" s="2">
        <f>IF($A81="","",IFERROR(SUM($S$5:S81),0))</f>
        <v>105.59000000000002</v>
      </c>
    </row>
    <row r="82" spans="1:20" ht="33" customHeight="1">
      <c r="A82" s="110">
        <v>46197</v>
      </c>
      <c r="B82" s="124" t="s">
        <v>28</v>
      </c>
      <c r="C82" s="136" t="s">
        <v>209</v>
      </c>
      <c r="D82" s="113" t="s">
        <v>76</v>
      </c>
      <c r="E82" s="139" t="s">
        <v>210</v>
      </c>
      <c r="F82" s="115">
        <v>2</v>
      </c>
      <c r="G82" s="116">
        <v>15</v>
      </c>
      <c r="H82" s="120" t="s">
        <v>69</v>
      </c>
      <c r="I82" s="120" t="s">
        <v>70</v>
      </c>
      <c r="J82" s="117">
        <f>IF($A82="","",IF($I82="Ganada",ROUND($G82*($F82-1),2),IF($I82="Medio Ganada",ROUND($G82/2*($F82-1),2),IF($I82="Perdida",IF($H82="Free Bet",0,-$G82),IF($I82="Medio Perdida",IF($H82="Free Bet",0,-$G82/2),IF($I82="Reembolso",IF($R82="","",ROUND($R82-$G82,2)),IF($I82="Anulada",0,"")))))))</f>
        <v>15</v>
      </c>
      <c r="K82" s="118">
        <f>IF(J82="","",2000+SUM(J$5:J82))</f>
        <v>2288.3000000000002</v>
      </c>
      <c r="L82" s="119">
        <f>IF(OR($I82="Ganada",$I82="Perdida",$I82="Medio Ganada",$I82="Medio Perdida"),IF($G82=0,"",J82/$G82),"")</f>
        <v>1</v>
      </c>
      <c r="M82" s="120">
        <f>IF(OR($A82="",$B82=""),"",COUNTIFS($A$5:A82,A82,$B$5:B82,B82))</f>
        <v>5</v>
      </c>
      <c r="N82" s="120">
        <f>IF($A82="","",COUNTA($A$5:$A82))</f>
        <v>78</v>
      </c>
      <c r="O82" s="120">
        <f>IF($A82="","",COUNTA($A$5:$A82))</f>
        <v>78</v>
      </c>
      <c r="P82" s="118">
        <f>IF($K82="","",MAX($K$5:K82))</f>
        <v>2288.3000000000002</v>
      </c>
      <c r="Q82" s="117">
        <f>IF($K82="","",K82-P82)</f>
        <v>0</v>
      </c>
      <c r="R82" s="118"/>
      <c r="S82" s="2">
        <f>IF(OR($A82="",$F82=""),"",IF($I82="Pendiente","",ROUND($G82*($F82*0.609-1),2)))</f>
        <v>3.27</v>
      </c>
      <c r="T82" s="2">
        <f>IF($A82="","",IFERROR(SUM($S$5:S82),0))</f>
        <v>108.86000000000001</v>
      </c>
    </row>
    <row r="83" spans="1:20" ht="15" customHeight="1">
      <c r="A83" s="110">
        <v>46198</v>
      </c>
      <c r="B83" s="132" t="s">
        <v>29</v>
      </c>
      <c r="C83" s="133" t="s">
        <v>211</v>
      </c>
      <c r="D83" s="113" t="s">
        <v>76</v>
      </c>
      <c r="E83" s="139" t="s">
        <v>195</v>
      </c>
      <c r="F83" s="115">
        <v>1.22</v>
      </c>
      <c r="G83" s="116">
        <v>34</v>
      </c>
      <c r="H83" s="120" t="s">
        <v>69</v>
      </c>
      <c r="I83" s="120" t="s">
        <v>75</v>
      </c>
      <c r="J83" s="117">
        <f>IF($A83="","",IF($I83="Ganada",ROUND($G83*($F83-1),2),IF($I83="Medio Ganada",ROUND($G83/2*($F83-1),2),IF($I83="Perdida",IF($H83="Free Bet",0,-$G83),IF($I83="Medio Perdida",IF($H83="Free Bet",0,-$G83/2),IF($I83="Reembolso",IF($R83="","",ROUND($R83-$G83,2)),IF($I83="Anulada",0,"")))))))</f>
        <v>-34</v>
      </c>
      <c r="K83" s="118">
        <f>IF(J83="","",2000+SUM(J$5:J83))</f>
        <v>2254.3000000000002</v>
      </c>
      <c r="L83" s="119">
        <f>IF(OR($I83="Ganada",$I83="Perdida",$I83="Medio Ganada",$I83="Medio Perdida"),IF($G83=0,"",J83/$G83),"")</f>
        <v>-1</v>
      </c>
      <c r="M83" s="120">
        <f>IF(OR($A83="",$B83=""),"",COUNTIFS($A$5:A83,A83,$B$5:B83,B83))</f>
        <v>1</v>
      </c>
      <c r="N83" s="120">
        <f>IF($A83="","",COUNTA($A$5:$A83))</f>
        <v>79</v>
      </c>
      <c r="O83" s="120">
        <f>IF($A83="","",COUNTA($A$5:$A83))</f>
        <v>79</v>
      </c>
      <c r="P83" s="118">
        <f>IF($K83="","",MAX($K$5:K83))</f>
        <v>2288.3000000000002</v>
      </c>
      <c r="Q83" s="117">
        <f>IF($K83="","",K83-P83)</f>
        <v>-34</v>
      </c>
      <c r="R83" s="118"/>
      <c r="S83" s="2">
        <f>IF(OR($A83="",$F83=""),"",IF($I83="Pendiente","",ROUND($G83*($F83*0.609-1),2)))</f>
        <v>-8.74</v>
      </c>
      <c r="T83" s="2">
        <f>IF($A83="","",IFERROR(SUM($S$5:S83),0))</f>
        <v>100.12000000000002</v>
      </c>
    </row>
    <row r="84" spans="1:20" ht="27.75" customHeight="1">
      <c r="A84" s="110">
        <v>46198</v>
      </c>
      <c r="B84" s="132" t="s">
        <v>29</v>
      </c>
      <c r="C84" s="136" t="s">
        <v>212</v>
      </c>
      <c r="D84" s="113" t="s">
        <v>95</v>
      </c>
      <c r="E84" s="143" t="s">
        <v>213</v>
      </c>
      <c r="F84" s="115">
        <v>2.12</v>
      </c>
      <c r="G84" s="116">
        <v>17</v>
      </c>
      <c r="H84" s="120" t="s">
        <v>69</v>
      </c>
      <c r="I84" s="120" t="s">
        <v>70</v>
      </c>
      <c r="J84" s="117">
        <f>IF($A84="","",IF($I84="Ganada",ROUND($G84*($F84-1),2),IF($I84="Medio Ganada",ROUND($G84/2*($F84-1),2),IF($I84="Perdida",IF($H84="Free Bet",0,-$G84),IF($I84="Medio Perdida",IF($H84="Free Bet",0,-$G84/2),IF($I84="Reembolso",IF($R84="","",ROUND($R84-$G84,2)),IF($I84="Anulada",0,"")))))))</f>
        <v>19.04</v>
      </c>
      <c r="K84" s="118">
        <f>IF(J84="","",2000+SUM(J$5:J84))</f>
        <v>2273.34</v>
      </c>
      <c r="L84" s="119">
        <f>IF(OR($I84="Ganada",$I84="Perdida",$I84="Medio Ganada",$I84="Medio Perdida"),IF($G84=0,"",J84/$G84),"")</f>
        <v>1.1199999999999999</v>
      </c>
      <c r="M84" s="120">
        <f>IF(OR($A84="",$B84=""),"",COUNTIFS($A$5:A84,A84,$B$5:B84,B84))</f>
        <v>2</v>
      </c>
      <c r="N84" s="120">
        <f>IF($A84="","",COUNTA($A$5:$A84))</f>
        <v>80</v>
      </c>
      <c r="O84" s="120">
        <f>IF($A84="","",COUNTA($A$5:$A84))</f>
        <v>80</v>
      </c>
      <c r="P84" s="118">
        <f>IF($K84="","",MAX($K$5:K84))</f>
        <v>2288.3000000000002</v>
      </c>
      <c r="Q84" s="117">
        <f>IF($K84="","",K84-P84)</f>
        <v>-14.960000000000036</v>
      </c>
      <c r="R84" s="118"/>
      <c r="S84" s="2">
        <f>IF(OR($A84="",$F84=""),"",IF($I84="Pendiente","",ROUND($G84*($F84*0.609-1),2)))</f>
        <v>4.95</v>
      </c>
      <c r="T84" s="2">
        <f>IF($A84="","",IFERROR(SUM($S$5:S84),0))</f>
        <v>105.07000000000002</v>
      </c>
    </row>
    <row r="85" spans="1:20" ht="23.25" customHeight="1">
      <c r="A85" s="110">
        <v>46198</v>
      </c>
      <c r="B85" s="124" t="s">
        <v>28</v>
      </c>
      <c r="C85" s="136" t="s">
        <v>214</v>
      </c>
      <c r="D85" s="113" t="s">
        <v>67</v>
      </c>
      <c r="E85" s="143" t="s">
        <v>215</v>
      </c>
      <c r="F85" s="115">
        <v>1.9</v>
      </c>
      <c r="G85" s="116">
        <v>17</v>
      </c>
      <c r="H85" s="120" t="s">
        <v>69</v>
      </c>
      <c r="I85" s="120" t="s">
        <v>70</v>
      </c>
      <c r="J85" s="117">
        <f>IF($A85="","",IF($I85="Ganada",ROUND($G85*($F85-1),2),IF($I85="Medio Ganada",ROUND($G85/2*($F85-1),2),IF($I85="Perdida",IF($H85="Free Bet",0,-$G85),IF($I85="Medio Perdida",IF($H85="Free Bet",0,-$G85/2),IF($I85="Reembolso",IF($R85="","",ROUND($R85-$G85,2)),IF($I85="Anulada",0,"")))))))</f>
        <v>15.3</v>
      </c>
      <c r="K85" s="118">
        <f>IF(J85="","",2000+SUM(J$5:J85))</f>
        <v>2288.64</v>
      </c>
      <c r="L85" s="119">
        <f>IF(OR($I85="Ganada",$I85="Perdida",$I85="Medio Ganada",$I85="Medio Perdida"),IF($G85=0,"",J85/$G85),"")</f>
        <v>0.9</v>
      </c>
      <c r="M85" s="120">
        <f>IF(OR($A85="",$B85=""),"",COUNTIFS($A$5:A85,A85,$B$5:B85,B85))</f>
        <v>1</v>
      </c>
      <c r="N85" s="120">
        <f>IF($A85="","",COUNTA($A$5:$A85))</f>
        <v>81</v>
      </c>
      <c r="O85" s="120">
        <f>IF($A85="","",COUNTA($A$5:$A85))</f>
        <v>81</v>
      </c>
      <c r="P85" s="118">
        <f>IF($K85="","",MAX($K$5:K85))</f>
        <v>2288.64</v>
      </c>
      <c r="Q85" s="117">
        <f>IF($K85="","",K85-P85)</f>
        <v>0</v>
      </c>
      <c r="R85" s="118"/>
      <c r="S85" s="2">
        <f>IF(OR($A85="",$F85=""),"",IF($I85="Pendiente","",ROUND($G85*($F85*0.609-1),2)))</f>
        <v>2.67</v>
      </c>
      <c r="T85" s="2">
        <f>IF($A85="","",IFERROR(SUM($S$5:S85),0))</f>
        <v>107.74000000000002</v>
      </c>
    </row>
    <row r="86" spans="1:20" ht="26.25" customHeight="1">
      <c r="A86" s="110">
        <v>46198</v>
      </c>
      <c r="B86" s="132" t="s">
        <v>29</v>
      </c>
      <c r="C86" s="133" t="s">
        <v>216</v>
      </c>
      <c r="D86" s="113" t="s">
        <v>76</v>
      </c>
      <c r="E86" s="139" t="s">
        <v>217</v>
      </c>
      <c r="F86" s="115">
        <v>1.67</v>
      </c>
      <c r="G86" s="116">
        <v>23</v>
      </c>
      <c r="H86" s="120" t="s">
        <v>69</v>
      </c>
      <c r="I86" s="120" t="s">
        <v>70</v>
      </c>
      <c r="J86" s="117">
        <f>IF($A86="","",IF($I86="Ganada",ROUND($G86*($F86-1),2),IF($I86="Medio Ganada",ROUND($G86/2*($F86-1),2),IF($I86="Perdida",IF($H86="Free Bet",0,-$G86),IF($I86="Medio Perdida",IF($H86="Free Bet",0,-$G86/2),IF($I86="Reembolso",IF($R86="","",ROUND($R86-$G86,2)),IF($I86="Anulada",0,"")))))))</f>
        <v>15.41</v>
      </c>
      <c r="K86" s="118">
        <f>IF(J86="","",2000+SUM(J$5:J86))</f>
        <v>2304.0500000000002</v>
      </c>
      <c r="L86" s="119">
        <f>IF(OR($I86="Ganada",$I86="Perdida",$I86="Medio Ganada",$I86="Medio Perdida"),IF($G86=0,"",J86/$G86),"")</f>
        <v>0.67</v>
      </c>
      <c r="M86" s="120">
        <f>IF(OR($A86="",$B86=""),"",COUNTIFS($A$5:A86,A86,$B$5:B86,B86))</f>
        <v>3</v>
      </c>
      <c r="N86" s="120">
        <f>IF($A86="","",COUNTA($A$5:$A86))</f>
        <v>82</v>
      </c>
      <c r="O86" s="120">
        <f>IF($A86="","",COUNTA($A$5:$A86))</f>
        <v>82</v>
      </c>
      <c r="P86" s="118">
        <f>IF($K86="","",MAX($K$5:K86))</f>
        <v>2304.0500000000002</v>
      </c>
      <c r="Q86" s="117">
        <f>IF($K86="","",K86-P86)</f>
        <v>0</v>
      </c>
      <c r="R86" s="118"/>
      <c r="S86" s="2">
        <f>IF(OR($A86="",$F86=""),"",IF($I86="Pendiente","",ROUND($G86*($F86*0.609-1),2)))</f>
        <v>0.39</v>
      </c>
      <c r="T86" s="2">
        <f>IF($A86="","",IFERROR(SUM($S$5:S86),0))</f>
        <v>108.13000000000002</v>
      </c>
    </row>
    <row r="87" spans="1:20" ht="15" customHeight="1">
      <c r="A87" s="110">
        <v>46198</v>
      </c>
      <c r="B87" s="129" t="s">
        <v>31</v>
      </c>
      <c r="C87" s="141" t="s">
        <v>218</v>
      </c>
      <c r="D87" s="113" t="s">
        <v>95</v>
      </c>
      <c r="E87" s="143" t="s">
        <v>219</v>
      </c>
      <c r="F87" s="115">
        <v>2.5</v>
      </c>
      <c r="G87" s="116">
        <v>17</v>
      </c>
      <c r="H87" s="120" t="s">
        <v>69</v>
      </c>
      <c r="I87" s="120" t="s">
        <v>75</v>
      </c>
      <c r="J87" s="117">
        <f>IF($A87="","",IF($I87="Ganada",ROUND($G87*($F87-1),2),IF($I87="Medio Ganada",ROUND($G87/2*($F87-1),2),IF($I87="Perdida",IF($H87="Free Bet",0,-$G87),IF($I87="Medio Perdida",IF($H87="Free Bet",0,-$G87/2),IF($I87="Reembolso",IF($R87="","",ROUND($R87-$G87,2)),IF($I87="Anulada",0,"")))))))</f>
        <v>-17</v>
      </c>
      <c r="K87" s="118">
        <f>IF(J87="","",2000+SUM(J$5:J87))</f>
        <v>2287.0500000000002</v>
      </c>
      <c r="L87" s="119">
        <f>IF(OR($I87="Ganada",$I87="Perdida",$I87="Medio Ganada",$I87="Medio Perdida"),IF($G87=0,"",J87/$G87),"")</f>
        <v>-1</v>
      </c>
      <c r="M87" s="120">
        <f>IF(OR($A87="",$B87=""),"",COUNTIFS($A$5:A87,A87,$B$5:B87,B87))</f>
        <v>1</v>
      </c>
      <c r="N87" s="120">
        <f>IF($A87="","",COUNTA($A$5:$A87))</f>
        <v>83</v>
      </c>
      <c r="O87" s="120">
        <f>IF($A87="","",COUNTA($A$5:$A87))</f>
        <v>83</v>
      </c>
      <c r="P87" s="118">
        <f>IF($K87="","",MAX($K$5:K87))</f>
        <v>2304.0500000000002</v>
      </c>
      <c r="Q87" s="117">
        <f>IF($K87="","",K87-P87)</f>
        <v>-17</v>
      </c>
      <c r="R87" s="118"/>
      <c r="S87" s="2">
        <f>IF(OR($A87="",$F87=""),"",IF($I87="Pendiente","",ROUND($G87*($F87*0.609-1),2)))</f>
        <v>8.8800000000000008</v>
      </c>
      <c r="T87" s="2">
        <f>IF($A87="","",IFERROR(SUM($S$5:S87),0))</f>
        <v>117.01000000000002</v>
      </c>
    </row>
    <row r="88" spans="1:20" ht="24" customHeight="1">
      <c r="A88" s="110">
        <v>46198</v>
      </c>
      <c r="B88" s="124" t="s">
        <v>28</v>
      </c>
      <c r="C88" s="133" t="s">
        <v>220</v>
      </c>
      <c r="D88" s="113" t="s">
        <v>67</v>
      </c>
      <c r="E88" s="143" t="s">
        <v>221</v>
      </c>
      <c r="F88" s="115">
        <v>1.74</v>
      </c>
      <c r="G88" s="116">
        <v>28</v>
      </c>
      <c r="H88" s="120" t="s">
        <v>69</v>
      </c>
      <c r="I88" s="120" t="s">
        <v>75</v>
      </c>
      <c r="J88" s="117">
        <f>IF($A88="","",IF($I88="Ganada",ROUND($G88*($F88-1),2),IF($I88="Medio Ganada",ROUND($G88/2*($F88-1),2),IF($I88="Perdida",IF($H88="Free Bet",0,-$G88),IF($I88="Medio Perdida",IF($H88="Free Bet",0,-$G88/2),IF($I88="Reembolso",IF($R88="","",ROUND($R88-$G88,2)),IF($I88="Anulada",0,"")))))))</f>
        <v>-28</v>
      </c>
      <c r="K88" s="118">
        <f>IF(J88="","",2000+SUM(J$5:J88))</f>
        <v>2259.0500000000002</v>
      </c>
      <c r="L88" s="119">
        <f>IF(OR($I88="Ganada",$I88="Perdida",$I88="Medio Ganada",$I88="Medio Perdida"),IF($G88=0,"",J88/$G88),"")</f>
        <v>-1</v>
      </c>
      <c r="M88" s="120">
        <f>IF(OR($A88="",$B88=""),"",COUNTIFS($A$5:A88,A88,$B$5:B88,B88))</f>
        <v>2</v>
      </c>
      <c r="N88" s="120">
        <f>IF($A88="","",COUNTA($A$5:$A88))</f>
        <v>84</v>
      </c>
      <c r="O88" s="120">
        <f>IF($A88="","",COUNTA($A$5:$A88))</f>
        <v>84</v>
      </c>
      <c r="P88" s="118">
        <f>IF($K88="","",MAX($K$5:K88))</f>
        <v>2304.0500000000002</v>
      </c>
      <c r="Q88" s="117">
        <f>IF($K88="","",K88-P88)</f>
        <v>-45</v>
      </c>
      <c r="R88" s="118"/>
      <c r="S88" s="2">
        <f>IF(OR($A88="",$F88=""),"",IF($I88="Pendiente","",ROUND($G88*($F88*0.609-1),2)))</f>
        <v>1.67</v>
      </c>
      <c r="T88" s="2">
        <f>IF($A88="","",IFERROR(SUM($S$5:S88),0))</f>
        <v>118.68000000000002</v>
      </c>
    </row>
    <row r="89" spans="1:20" ht="25.5" customHeight="1">
      <c r="A89" s="110">
        <v>46199</v>
      </c>
      <c r="B89" s="124" t="s">
        <v>28</v>
      </c>
      <c r="C89" s="144" t="s">
        <v>222</v>
      </c>
      <c r="D89" s="113" t="s">
        <v>95</v>
      </c>
      <c r="E89" s="143" t="s">
        <v>223</v>
      </c>
      <c r="F89" s="115">
        <v>1.76</v>
      </c>
      <c r="G89" s="116">
        <v>23</v>
      </c>
      <c r="H89" s="120" t="s">
        <v>69</v>
      </c>
      <c r="I89" s="120" t="s">
        <v>75</v>
      </c>
      <c r="J89" s="117">
        <f>IF($A89="","",IF($I89="Ganada",ROUND($G89*($F89-1),2),IF($I89="Medio Ganada",ROUND($G89/2*($F89-1),2),IF($I89="Perdida",IF($H89="Free Bet",0,-$G89),IF($I89="Medio Perdida",IF($H89="Free Bet",0,-$G89/2),IF($I89="Reembolso",IF($R89="","",ROUND($R89-$G89,2)),IF($I89="Anulada",0,"")))))))</f>
        <v>-23</v>
      </c>
      <c r="K89" s="118">
        <f>IF(J89="","",2000+SUM(J$5:J89))</f>
        <v>2236.0500000000002</v>
      </c>
      <c r="L89" s="119">
        <f>IF(OR($I89="Ganada",$I89="Perdida",$I89="Medio Ganada",$I89="Medio Perdida"),IF($G89=0,"",J89/$G89),"")</f>
        <v>-1</v>
      </c>
      <c r="M89" s="120">
        <f>IF(OR($A89="",$B89=""),"",COUNTIFS($A$5:A89,A89,$B$5:B89,B89))</f>
        <v>1</v>
      </c>
      <c r="N89" s="120">
        <f>IF($A89="","",COUNTA($A$5:$A89))</f>
        <v>85</v>
      </c>
      <c r="O89" s="120">
        <f>IF($A89="","",COUNTA($A$5:$A89))</f>
        <v>85</v>
      </c>
      <c r="P89" s="118">
        <f>IF($K89="","",MAX($K$5:K89))</f>
        <v>2304.0500000000002</v>
      </c>
      <c r="Q89" s="117">
        <f>IF($K89="","",K89-P89)</f>
        <v>-68</v>
      </c>
      <c r="R89" s="118"/>
      <c r="S89" s="2">
        <f>IF(OR($A89="",$F89=""),"",IF($I89="Pendiente","",ROUND($G89*($F89*0.609-1),2)))</f>
        <v>1.65</v>
      </c>
      <c r="T89" s="2">
        <f>IF($A89="","",IFERROR(SUM($S$5:S89),0))</f>
        <v>120.33000000000003</v>
      </c>
    </row>
    <row r="90" spans="1:20" ht="24" customHeight="1">
      <c r="A90" s="110">
        <v>46199</v>
      </c>
      <c r="B90" s="129" t="s">
        <v>31</v>
      </c>
      <c r="C90" s="144" t="s">
        <v>224</v>
      </c>
      <c r="D90" s="113" t="s">
        <v>67</v>
      </c>
      <c r="E90" s="143" t="s">
        <v>225</v>
      </c>
      <c r="F90" s="115">
        <v>1.8</v>
      </c>
      <c r="G90" s="116">
        <v>17</v>
      </c>
      <c r="H90" s="120" t="s">
        <v>69</v>
      </c>
      <c r="I90" s="120" t="s">
        <v>70</v>
      </c>
      <c r="J90" s="117">
        <f>IF($A90="","",IF($I90="Ganada",ROUND($G90*($F90-1),2),IF($I90="Medio Ganada",ROUND($G90/2*($F90-1),2),IF($I90="Perdida",IF($H90="Free Bet",0,-$G90),IF($I90="Medio Perdida",IF($H90="Free Bet",0,-$G90/2),IF($I90="Reembolso",IF($R90="","",ROUND($R90-$G90,2)),IF($I90="Anulada",0,"")))))))</f>
        <v>13.6</v>
      </c>
      <c r="K90" s="118">
        <f>IF(J90="","",2000+SUM(J$5:J90))</f>
        <v>2249.65</v>
      </c>
      <c r="L90" s="119">
        <f>IF(OR($I90="Ganada",$I90="Perdida",$I90="Medio Ganada",$I90="Medio Perdida"),IF($G90=0,"",J90/$G90),"")</f>
        <v>0.79999999999999993</v>
      </c>
      <c r="M90" s="120">
        <f>IF(OR($A90="",$B90=""),"",COUNTIFS($A$5:A90,A90,$B$5:B90,B90))</f>
        <v>1</v>
      </c>
      <c r="N90" s="120">
        <f>IF($A90="","",COUNTA($A$5:$A90))</f>
        <v>86</v>
      </c>
      <c r="O90" s="120">
        <f>IF($A90="","",COUNTA($A$5:$A90))</f>
        <v>86</v>
      </c>
      <c r="P90" s="118">
        <f>IF($K90="","",MAX($K$5:K90))</f>
        <v>2304.0500000000002</v>
      </c>
      <c r="Q90" s="117">
        <f>IF($K90="","",K90-P90)</f>
        <v>-54.400000000000091</v>
      </c>
      <c r="R90" s="118"/>
      <c r="S90" s="2">
        <f>IF(OR($A90="",$F90=""),"",IF($I90="Pendiente","",ROUND($G90*($F90*0.609-1),2)))</f>
        <v>1.64</v>
      </c>
      <c r="T90" s="2">
        <f>IF($A90="","",IFERROR(SUM($S$5:S90),0))</f>
        <v>121.97000000000003</v>
      </c>
    </row>
    <row r="91" spans="1:20" ht="24" customHeight="1">
      <c r="A91" s="110">
        <v>46199</v>
      </c>
      <c r="B91" s="111" t="s">
        <v>30</v>
      </c>
      <c r="C91" s="145" t="s">
        <v>226</v>
      </c>
      <c r="D91" s="113" t="s">
        <v>67</v>
      </c>
      <c r="E91" s="143" t="s">
        <v>227</v>
      </c>
      <c r="F91" s="115">
        <v>1.84</v>
      </c>
      <c r="G91" s="116">
        <v>17</v>
      </c>
      <c r="H91" s="120" t="s">
        <v>69</v>
      </c>
      <c r="I91" s="120" t="s">
        <v>70</v>
      </c>
      <c r="J91" s="117">
        <f>IF($A91="","",IF($I91="Ganada",ROUND($G91*($F91-1),2),IF($I91="Medio Ganada",ROUND($G91/2*($F91-1),2),IF($I91="Perdida",IF($H91="Free Bet",0,-$G91),IF($I91="Medio Perdida",IF($H91="Free Bet",0,-$G91/2),IF($I91="Reembolso",IF($R91="","",ROUND($R91-$G91,2)),IF($I91="Anulada",0,"")))))))</f>
        <v>14.28</v>
      </c>
      <c r="K91" s="118">
        <f>IF(J91="","",2000+SUM(J$5:J91))</f>
        <v>2263.9300000000003</v>
      </c>
      <c r="L91" s="119">
        <f>IF(OR($I91="Ganada",$I91="Perdida",$I91="Medio Ganada",$I91="Medio Perdida"),IF($G91=0,"",J91/$G91),"")</f>
        <v>0.84</v>
      </c>
      <c r="M91" s="120">
        <f>IF(OR($A91="",$B91=""),"",COUNTIFS($A$5:A91,A91,$B$5:B91,B91))</f>
        <v>1</v>
      </c>
      <c r="N91" s="120">
        <f>IF($A91="","",COUNTA($A$5:$A91))</f>
        <v>87</v>
      </c>
      <c r="O91" s="120">
        <f>IF($A91="","",COUNTA($A$5:$A91))</f>
        <v>87</v>
      </c>
      <c r="P91" s="118">
        <f>IF($K91="","",MAX($K$5:K91))</f>
        <v>2304.0500000000002</v>
      </c>
      <c r="Q91" s="117">
        <f>IF($K91="","",K91-P91)</f>
        <v>-40.119999999999891</v>
      </c>
      <c r="R91" s="118"/>
      <c r="S91" s="2">
        <f>IF(OR($A91="",$F91=""),"",IF($I91="Pendiente","",ROUND($G91*($F91*0.609-1),2)))</f>
        <v>2.0499999999999998</v>
      </c>
      <c r="T91" s="2">
        <f>IF($A91="","",IFERROR(SUM($S$5:S91),0))</f>
        <v>124.02000000000002</v>
      </c>
    </row>
    <row r="92" spans="1:20" ht="15" customHeight="1">
      <c r="A92" s="110">
        <v>46199</v>
      </c>
      <c r="B92" s="111" t="s">
        <v>30</v>
      </c>
      <c r="C92" s="145" t="s">
        <v>228</v>
      </c>
      <c r="D92" s="113" t="s">
        <v>76</v>
      </c>
      <c r="E92" s="146" t="s">
        <v>147</v>
      </c>
      <c r="F92" s="115">
        <v>1.4</v>
      </c>
      <c r="G92" s="116">
        <v>28</v>
      </c>
      <c r="H92" s="120" t="s">
        <v>69</v>
      </c>
      <c r="I92" s="120" t="s">
        <v>70</v>
      </c>
      <c r="J92" s="117">
        <f>IF($A92="","",IF($I92="Ganada",ROUND($G92*($F92-1),2),IF($I92="Medio Ganada",ROUND($G92/2*($F92-1),2),IF($I92="Perdida",IF($H92="Free Bet",0,-$G92),IF($I92="Medio Perdida",IF($H92="Free Bet",0,-$G92/2),IF($I92="Reembolso",IF($R92="","",ROUND($R92-$G92,2)),IF($I92="Anulada",0,"")))))))</f>
        <v>11.2</v>
      </c>
      <c r="K92" s="118">
        <f>IF(J92="","",2000+SUM(J$5:J92))</f>
        <v>2275.13</v>
      </c>
      <c r="L92" s="119">
        <f>IF(OR($I92="Ganada",$I92="Perdida",$I92="Medio Ganada",$I92="Medio Perdida"),IF($G92=0,"",J92/$G92),"")</f>
        <v>0.39999999999999997</v>
      </c>
      <c r="M92" s="120">
        <f>IF(OR($A92="",$B92=""),"",COUNTIFS($A$5:A92,A92,$B$5:B92,B92))</f>
        <v>2</v>
      </c>
      <c r="N92" s="120">
        <f>IF($A92="","",COUNTA($A$5:$A92))</f>
        <v>88</v>
      </c>
      <c r="O92" s="120">
        <f>IF($A92="","",COUNTA($A$5:$A92))</f>
        <v>88</v>
      </c>
      <c r="P92" s="118">
        <f>IF($K92="","",MAX($K$5:K92))</f>
        <v>2304.0500000000002</v>
      </c>
      <c r="Q92" s="117">
        <f>IF($K92="","",K92-P92)</f>
        <v>-28.920000000000073</v>
      </c>
      <c r="R92" s="118"/>
      <c r="S92" s="2">
        <f>IF(OR($A92="",$F92=""),"",IF($I92="Pendiente","",ROUND($G92*($F92*0.609-1),2)))</f>
        <v>-4.13</v>
      </c>
      <c r="T92" s="2">
        <f>IF($A92="","",IFERROR(SUM($S$5:S92),0))</f>
        <v>119.89000000000003</v>
      </c>
    </row>
    <row r="93" spans="1:20" ht="26.25" customHeight="1">
      <c r="A93" s="110">
        <v>46199</v>
      </c>
      <c r="B93" s="129" t="s">
        <v>31</v>
      </c>
      <c r="C93" s="145" t="s">
        <v>229</v>
      </c>
      <c r="D93" s="113" t="s">
        <v>67</v>
      </c>
      <c r="E93" s="143" t="s">
        <v>230</v>
      </c>
      <c r="F93" s="115">
        <v>2.0499999999999998</v>
      </c>
      <c r="G93" s="116">
        <v>17</v>
      </c>
      <c r="H93" s="120" t="s">
        <v>69</v>
      </c>
      <c r="I93" s="120" t="s">
        <v>70</v>
      </c>
      <c r="J93" s="117">
        <f>IF($A93="","",IF($I93="Ganada",ROUND($G93*($F93-1),2),IF($I93="Medio Ganada",ROUND($G93/2*($F93-1),2),IF($I93="Perdida",IF($H93="Free Bet",0,-$G93),IF($I93="Medio Perdida",IF($H93="Free Bet",0,-$G93/2),IF($I93="Reembolso",IF($R93="","",ROUND($R93-$G93,2)),IF($I93="Anulada",0,"")))))))</f>
        <v>17.850000000000001</v>
      </c>
      <c r="K93" s="118">
        <f>IF(J93="","",2000+SUM(J$5:J93))</f>
        <v>2292.98</v>
      </c>
      <c r="L93" s="119">
        <f>IF(OR($I93="Ganada",$I93="Perdida",$I93="Medio Ganada",$I93="Medio Perdida"),IF($G93=0,"",J93/$G93),"")</f>
        <v>1.05</v>
      </c>
      <c r="M93" s="120">
        <f>IF(OR($A93="",$B93=""),"",COUNTIFS($A$5:A93,A93,$B$5:B93,B93))</f>
        <v>2</v>
      </c>
      <c r="N93" s="120">
        <f>IF($A93="","",COUNTA($A$5:$A93))</f>
        <v>89</v>
      </c>
      <c r="O93" s="120">
        <f>IF($A93="","",COUNTA($A$5:$A93))</f>
        <v>89</v>
      </c>
      <c r="P93" s="118">
        <f>IF($K93="","",MAX($K$5:K93))</f>
        <v>2304.0500000000002</v>
      </c>
      <c r="Q93" s="117">
        <f>IF($K93="","",K93-P93)</f>
        <v>-11.070000000000164</v>
      </c>
      <c r="R93" s="118"/>
      <c r="S93" s="2">
        <f>IF(OR($A93="",$F93=""),"",IF($I93="Pendiente","",ROUND($G93*($F93*0.609-1),2)))</f>
        <v>4.22</v>
      </c>
      <c r="T93" s="2">
        <f>IF($A93="","",IFERROR(SUM($S$5:S93),0))</f>
        <v>124.11000000000003</v>
      </c>
    </row>
    <row r="94" spans="1:20" ht="23.25" customHeight="1">
      <c r="A94" s="110">
        <v>46199</v>
      </c>
      <c r="B94" s="129" t="s">
        <v>31</v>
      </c>
      <c r="C94" s="144" t="s">
        <v>231</v>
      </c>
      <c r="D94" s="113" t="s">
        <v>76</v>
      </c>
      <c r="E94" s="143" t="s">
        <v>232</v>
      </c>
      <c r="F94" s="115">
        <v>1.67</v>
      </c>
      <c r="G94" s="116">
        <v>23</v>
      </c>
      <c r="H94" s="120" t="s">
        <v>69</v>
      </c>
      <c r="I94" s="120" t="s">
        <v>70</v>
      </c>
      <c r="J94" s="117">
        <f>IF($A94="","",IF($I94="Ganada",ROUND($G94*($F94-1),2),IF($I94="Medio Ganada",ROUND($G94/2*($F94-1),2),IF($I94="Perdida",IF($H94="Free Bet",0,-$G94),IF($I94="Medio Perdida",IF($H94="Free Bet",0,-$G94/2),IF($I94="Reembolso",IF($R94="","",ROUND($R94-$G94,2)),IF($I94="Anulada",0,"")))))))</f>
        <v>15.41</v>
      </c>
      <c r="K94" s="118">
        <f>IF(J94="","",2000+SUM(J$5:J94))</f>
        <v>2308.3900000000003</v>
      </c>
      <c r="L94" s="119">
        <f>IF(OR($I94="Ganada",$I94="Perdida",$I94="Medio Ganada",$I94="Medio Perdida"),IF($G94=0,"",J94/$G94),"")</f>
        <v>0.67</v>
      </c>
      <c r="M94" s="120">
        <f>IF(OR($A94="",$B94=""),"",COUNTIFS($A$5:A94,A94,$B$5:B94,B94))</f>
        <v>3</v>
      </c>
      <c r="N94" s="120">
        <f>IF($A94="","",COUNTA($A$5:$A94))</f>
        <v>90</v>
      </c>
      <c r="O94" s="120">
        <f>IF($A94="","",COUNTA($A$5:$A94))</f>
        <v>90</v>
      </c>
      <c r="P94" s="118">
        <f>IF($K94="","",MAX($K$5:K94))</f>
        <v>2308.3900000000003</v>
      </c>
      <c r="Q94" s="117">
        <f>IF($K94="","",K94-P94)</f>
        <v>0</v>
      </c>
      <c r="R94" s="118"/>
      <c r="S94" s="2">
        <f>IF(OR($A94="",$F94=""),"",IF($I94="Pendiente","",ROUND($G94*($F94*0.609-1),2)))</f>
        <v>0.39</v>
      </c>
      <c r="T94" s="2">
        <f>IF($A94="","",IFERROR(SUM($S$5:S94),0))</f>
        <v>124.50000000000003</v>
      </c>
    </row>
    <row r="95" spans="1:20" ht="24" customHeight="1">
      <c r="A95" s="110">
        <v>46199</v>
      </c>
      <c r="B95" s="124" t="s">
        <v>28</v>
      </c>
      <c r="C95" s="144" t="s">
        <v>233</v>
      </c>
      <c r="D95" s="113" t="s">
        <v>95</v>
      </c>
      <c r="E95" s="143" t="s">
        <v>234</v>
      </c>
      <c r="F95" s="115">
        <v>1.96</v>
      </c>
      <c r="G95" s="116">
        <v>17</v>
      </c>
      <c r="H95" s="120" t="s">
        <v>69</v>
      </c>
      <c r="I95" s="120" t="s">
        <v>70</v>
      </c>
      <c r="J95" s="117">
        <f>IF($A95="","",IF($I95="Ganada",ROUND($G95*($F95-1),2),IF($I95="Medio Ganada",ROUND($G95/2*($F95-1),2),IF($I95="Perdida",IF($H95="Free Bet",0,-$G95),IF($I95="Medio Perdida",IF($H95="Free Bet",0,-$G95/2),IF($I95="Reembolso",IF($R95="","",ROUND($R95-$G95,2)),IF($I95="Anulada",0,"")))))))</f>
        <v>16.32</v>
      </c>
      <c r="K95" s="118">
        <f>IF(J95="","",2000+SUM(J$5:J95))</f>
        <v>2324.71</v>
      </c>
      <c r="L95" s="119">
        <f>IF(OR($I95="Ganada",$I95="Perdida",$I95="Medio Ganada",$I95="Medio Perdida"),IF($G95=0,"",J95/$G95),"")</f>
        <v>0.96</v>
      </c>
      <c r="M95" s="120">
        <f>IF(OR($A95="",$B95=""),"",COUNTIFS($A$5:A95,A95,$B$5:B95,B95))</f>
        <v>2</v>
      </c>
      <c r="N95" s="120">
        <f>IF($A95="","",COUNTA($A$5:$A95))</f>
        <v>91</v>
      </c>
      <c r="O95" s="120">
        <f>IF($A95="","",COUNTA($A$5:$A95))</f>
        <v>91</v>
      </c>
      <c r="P95" s="118">
        <f>IF($K95="","",MAX($K$5:K95))</f>
        <v>2324.71</v>
      </c>
      <c r="Q95" s="117">
        <f>IF($K95="","",K95-P95)</f>
        <v>0</v>
      </c>
      <c r="R95" s="118"/>
      <c r="S95" s="2">
        <f>IF(OR($A95="",$F95=""),"",IF($I95="Pendiente","",ROUND($G95*($F95*0.609-1),2)))</f>
        <v>3.29</v>
      </c>
      <c r="T95" s="2">
        <f>IF($A95="","",IFERROR(SUM($S$5:S95),0))</f>
        <v>127.79000000000003</v>
      </c>
    </row>
    <row r="96" spans="1:20" ht="27.75" customHeight="1">
      <c r="A96" s="110">
        <v>46199</v>
      </c>
      <c r="B96" s="111" t="s">
        <v>30</v>
      </c>
      <c r="C96" s="145" t="s">
        <v>235</v>
      </c>
      <c r="D96" s="113" t="s">
        <v>95</v>
      </c>
      <c r="E96" s="143" t="s">
        <v>236</v>
      </c>
      <c r="F96" s="115">
        <v>1.6</v>
      </c>
      <c r="G96" s="116">
        <v>23</v>
      </c>
      <c r="H96" s="120" t="s">
        <v>69</v>
      </c>
      <c r="I96" s="120" t="s">
        <v>70</v>
      </c>
      <c r="J96" s="117">
        <f>IF($A96="","",IF($I96="Ganada",ROUND($G96*($F96-1),2),IF($I96="Medio Ganada",ROUND($G96/2*($F96-1),2),IF($I96="Perdida",IF($H96="Free Bet",0,-$G96),IF($I96="Medio Perdida",IF($H96="Free Bet",0,-$G96/2),IF($I96="Reembolso",IF($R96="","",ROUND($R96-$G96,2)),IF($I96="Anulada",0,"")))))))</f>
        <v>13.8</v>
      </c>
      <c r="K96" s="118">
        <f>IF(J96="","",2000+SUM(J$5:J96))</f>
        <v>2338.5100000000002</v>
      </c>
      <c r="L96" s="119">
        <f>IF(OR($I96="Ganada",$I96="Perdida",$I96="Medio Ganada",$I96="Medio Perdida"),IF($G96=0,"",J96/$G96),"")</f>
        <v>0.6</v>
      </c>
      <c r="M96" s="120">
        <f>IF(OR($A96="",$B96=""),"",COUNTIFS($A$5:A96,A96,$B$5:B96,B96))</f>
        <v>3</v>
      </c>
      <c r="N96" s="120">
        <f>IF($A96="","",COUNTA($A$5:$A96))</f>
        <v>92</v>
      </c>
      <c r="O96" s="120">
        <f>IF($A96="","",COUNTA($A$5:$A96))</f>
        <v>92</v>
      </c>
      <c r="P96" s="118">
        <f>IF($K96="","",MAX($K$5:K96))</f>
        <v>2338.5100000000002</v>
      </c>
      <c r="Q96" s="117">
        <f>IF($K96="","",K96-P96)</f>
        <v>0</v>
      </c>
      <c r="R96" s="118"/>
      <c r="S96" s="2">
        <f>IF(OR($A96="",$F96=""),"",IF($I96="Pendiente","",ROUND($G96*($F96*0.609-1),2)))</f>
        <v>-0.59</v>
      </c>
      <c r="T96" s="2">
        <f>IF($A96="","",IFERROR(SUM($S$5:S96),0))</f>
        <v>127.20000000000003</v>
      </c>
    </row>
    <row r="97" spans="1:20" ht="24" customHeight="1">
      <c r="A97" s="110">
        <v>46199</v>
      </c>
      <c r="B97" s="111" t="s">
        <v>30</v>
      </c>
      <c r="C97" s="144" t="s">
        <v>237</v>
      </c>
      <c r="D97" s="113" t="s">
        <v>76</v>
      </c>
      <c r="E97" s="139">
        <v>2</v>
      </c>
      <c r="F97" s="115">
        <v>1.6</v>
      </c>
      <c r="G97" s="116">
        <v>23</v>
      </c>
      <c r="H97" s="120" t="s">
        <v>69</v>
      </c>
      <c r="I97" s="120" t="s">
        <v>70</v>
      </c>
      <c r="J97" s="117">
        <f>IF($A97="","",IF($I97="Ganada",ROUND($G97*($F97-1),2),IF($I97="Medio Ganada",ROUND($G97/2*($F97-1),2),IF($I97="Perdida",IF($H97="Free Bet",0,-$G97),IF($I97="Medio Perdida",IF($H97="Free Bet",0,-$G97/2),IF($I97="Reembolso",IF($R97="","",ROUND($R97-$G97,2)),IF($I97="Anulada",0,"")))))))</f>
        <v>13.8</v>
      </c>
      <c r="K97" s="118">
        <f>IF(J97="","",2000+SUM(J$5:J97))</f>
        <v>2352.31</v>
      </c>
      <c r="L97" s="119">
        <f>IF(OR($I97="Ganada",$I97="Perdida",$I97="Medio Ganada",$I97="Medio Perdida"),IF($G97=0,"",J97/$G97),"")</f>
        <v>0.6</v>
      </c>
      <c r="M97" s="120">
        <f>IF(OR($A97="",$B97=""),"",COUNTIFS($A$5:A97,A97,$B$5:B97,B97))</f>
        <v>4</v>
      </c>
      <c r="N97" s="120">
        <f>IF($A97="","",COUNTA($A$5:$A97))</f>
        <v>93</v>
      </c>
      <c r="O97" s="120">
        <f>IF($A97="","",COUNTA($A$5:$A97))</f>
        <v>93</v>
      </c>
      <c r="P97" s="118">
        <f>IF($K97="","",MAX($K$5:K97))</f>
        <v>2352.31</v>
      </c>
      <c r="Q97" s="117">
        <f>IF($K97="","",K97-P97)</f>
        <v>0</v>
      </c>
      <c r="R97" s="118"/>
      <c r="S97" s="2">
        <f>IF(OR($A97="",$F97=""),"",IF($I97="Pendiente","",ROUND($G97*($F97*0.609-1),2)))</f>
        <v>-0.59</v>
      </c>
      <c r="T97" s="2">
        <f>IF($A97="","",IFERROR(SUM($S$5:S97),0))</f>
        <v>126.61000000000003</v>
      </c>
    </row>
    <row r="98" spans="1:20" ht="24" customHeight="1">
      <c r="A98" s="110">
        <v>46199</v>
      </c>
      <c r="B98" s="132" t="s">
        <v>29</v>
      </c>
      <c r="C98" s="144" t="s">
        <v>238</v>
      </c>
      <c r="D98" s="113" t="s">
        <v>95</v>
      </c>
      <c r="E98" s="143" t="s">
        <v>239</v>
      </c>
      <c r="F98" s="115">
        <v>1.84</v>
      </c>
      <c r="G98" s="116">
        <v>17</v>
      </c>
      <c r="H98" s="120" t="s">
        <v>69</v>
      </c>
      <c r="I98" s="120" t="s">
        <v>70</v>
      </c>
      <c r="J98" s="117">
        <f>IF($A98="","",IF($I98="Ganada",ROUND($G98*($F98-1),2),IF($I98="Medio Ganada",ROUND($G98/2*($F98-1),2),IF($I98="Perdida",IF($H98="Free Bet",0,-$G98),IF($I98="Medio Perdida",IF($H98="Free Bet",0,-$G98/2),IF($I98="Reembolso",IF($R98="","",ROUND($R98-$G98,2)),IF($I98="Anulada",0,"")))))))</f>
        <v>14.28</v>
      </c>
      <c r="K98" s="118">
        <f>IF(J98="","",2000+SUM(J$5:J98))</f>
        <v>2366.59</v>
      </c>
      <c r="L98" s="119">
        <f>IF(OR($I98="Ganada",$I98="Perdida",$I98="Medio Ganada",$I98="Medio Perdida"),IF($G98=0,"",J98/$G98),"")</f>
        <v>0.84</v>
      </c>
      <c r="M98" s="120">
        <f>IF(OR($A98="",$B98=""),"",COUNTIFS($A$5:A98,A98,$B$5:B98,B98))</f>
        <v>1</v>
      </c>
      <c r="N98" s="120">
        <f>IF($A98="","",COUNTA($A$5:$A98))</f>
        <v>94</v>
      </c>
      <c r="O98" s="120">
        <f>IF($A98="","",COUNTA($A$5:$A98))</f>
        <v>94</v>
      </c>
      <c r="P98" s="118">
        <f>IF($K98="","",MAX($K$5:K98))</f>
        <v>2366.59</v>
      </c>
      <c r="Q98" s="117">
        <f>IF($K98="","",K98-P98)</f>
        <v>0</v>
      </c>
      <c r="R98" s="118"/>
      <c r="S98" s="2">
        <f>IF(OR($A98="",$F98=""),"",IF($I98="Pendiente","",ROUND($G98*($F98*0.609-1),2)))</f>
        <v>2.0499999999999998</v>
      </c>
      <c r="T98" s="2">
        <f>IF($A98="","",IFERROR(SUM($S$5:S98),0))</f>
        <v>128.66000000000003</v>
      </c>
    </row>
    <row r="99" spans="1:20" ht="24" customHeight="1">
      <c r="A99" s="110">
        <v>46199</v>
      </c>
      <c r="B99" s="129" t="s">
        <v>31</v>
      </c>
      <c r="C99" s="144" t="s">
        <v>240</v>
      </c>
      <c r="D99" s="113" t="s">
        <v>95</v>
      </c>
      <c r="E99" s="143" t="s">
        <v>241</v>
      </c>
      <c r="F99" s="115">
        <v>2</v>
      </c>
      <c r="G99" s="116">
        <v>17</v>
      </c>
      <c r="H99" s="120" t="s">
        <v>69</v>
      </c>
      <c r="I99" s="120" t="s">
        <v>75</v>
      </c>
      <c r="J99" s="117">
        <f>IF($A99="","",IF($I99="Ganada",ROUND($G99*($F99-1),2),IF($I99="Medio Ganada",ROUND($G99/2*($F99-1),2),IF($I99="Perdida",IF($H99="Free Bet",0,-$G99),IF($I99="Medio Perdida",IF($H99="Free Bet",0,-$G99/2),IF($I99="Reembolso",IF($R99="","",ROUND($R99-$G99,2)),IF($I99="Anulada",0,"")))))))</f>
        <v>-17</v>
      </c>
      <c r="K99" s="118">
        <f>IF(J99="","",2000+SUM(J$5:J99))</f>
        <v>2349.59</v>
      </c>
      <c r="L99" s="119">
        <f>IF(OR($I99="Ganada",$I99="Perdida",$I99="Medio Ganada",$I99="Medio Perdida"),IF($G99=0,"",J99/$G99),"")</f>
        <v>-1</v>
      </c>
      <c r="M99" s="120">
        <f>IF(OR($A99="",$B99=""),"",COUNTIFS($A$5:A99,A99,$B$5:B99,B99))</f>
        <v>4</v>
      </c>
      <c r="N99" s="120">
        <f>IF($A99="","",COUNTA($A$5:$A99))</f>
        <v>95</v>
      </c>
      <c r="O99" s="120">
        <f>IF($A99="","",COUNTA($A$5:$A99))</f>
        <v>95</v>
      </c>
      <c r="P99" s="118">
        <f>IF($K99="","",MAX($K$5:K99))</f>
        <v>2366.59</v>
      </c>
      <c r="Q99" s="117">
        <f>IF($K99="","",K99-P99)</f>
        <v>-17</v>
      </c>
      <c r="R99" s="118"/>
      <c r="S99" s="2">
        <f>IF(OR($A99="",$F99=""),"",IF($I99="Pendiente","",ROUND($G99*($F99*0.609-1),2)))</f>
        <v>3.71</v>
      </c>
      <c r="T99" s="2">
        <f>IF($A99="","",IFERROR(SUM($S$5:S99),0))</f>
        <v>132.37000000000003</v>
      </c>
    </row>
    <row r="100" spans="1:20" ht="15.75" customHeight="1">
      <c r="A100" s="110">
        <v>46199</v>
      </c>
      <c r="B100" s="129" t="s">
        <v>31</v>
      </c>
      <c r="C100" s="147" t="s">
        <v>242</v>
      </c>
      <c r="D100" s="113" t="s">
        <v>76</v>
      </c>
      <c r="E100" s="139">
        <v>1</v>
      </c>
      <c r="F100" s="115">
        <v>2.15</v>
      </c>
      <c r="G100" s="116">
        <v>17</v>
      </c>
      <c r="H100" s="120" t="s">
        <v>69</v>
      </c>
      <c r="I100" s="120" t="s">
        <v>75</v>
      </c>
      <c r="J100" s="117">
        <f>IF($A100="","",IF($I100="Ganada",ROUND($G100*($F100-1),2),IF($I100="Medio Ganada",ROUND($G100/2*($F100-1),2),IF($I100="Perdida",IF($H100="Free Bet",0,-$G100),IF($I100="Medio Perdida",IF($H100="Free Bet",0,-$G100/2),IF($I100="Reembolso",IF($R100="","",ROUND($R100-$G100,2)),IF($I100="Anulada",0,"")))))))</f>
        <v>-17</v>
      </c>
      <c r="K100" s="118">
        <f>IF(J100="","",2000+SUM(J$5:J100))</f>
        <v>2332.59</v>
      </c>
      <c r="L100" s="119">
        <f>IF(OR($I100="Ganada",$I100="Perdida",$I100="Medio Ganada",$I100="Medio Perdida"),IF($G100=0,"",J100/$G100),"")</f>
        <v>-1</v>
      </c>
      <c r="M100" s="120">
        <f>IF(OR($A100="",$B100=""),"",COUNTIFS($A$5:A100,A100,$B$5:B100,B100))</f>
        <v>5</v>
      </c>
      <c r="N100" s="120">
        <f>IF($A100="","",COUNTA($A$5:$A100))</f>
        <v>96</v>
      </c>
      <c r="O100" s="120">
        <f>IF($A100="","",COUNTA($A$5:$A100))</f>
        <v>96</v>
      </c>
      <c r="P100" s="118">
        <f>IF($K100="","",MAX($K$5:K100))</f>
        <v>2366.59</v>
      </c>
      <c r="Q100" s="117">
        <f>IF($K100="","",K100-P100)</f>
        <v>-34</v>
      </c>
      <c r="R100" s="118"/>
      <c r="S100" s="2">
        <f>IF(OR($A100="",$F100=""),"",IF($I100="Pendiente","",ROUND($G100*($F100*0.609-1),2)))</f>
        <v>5.26</v>
      </c>
      <c r="T100" s="2">
        <f>IF($A100="","",IFERROR(SUM($S$5:S100),0))</f>
        <v>137.63000000000002</v>
      </c>
    </row>
    <row r="101" spans="1:20" ht="24" customHeight="1">
      <c r="A101" s="110">
        <v>46199</v>
      </c>
      <c r="B101" s="148" t="s">
        <v>36</v>
      </c>
      <c r="C101" s="145" t="s">
        <v>243</v>
      </c>
      <c r="D101" s="113" t="s">
        <v>67</v>
      </c>
      <c r="E101" s="143" t="s">
        <v>244</v>
      </c>
      <c r="F101" s="115">
        <v>1.93</v>
      </c>
      <c r="G101" s="116">
        <v>17</v>
      </c>
      <c r="H101" s="120" t="s">
        <v>69</v>
      </c>
      <c r="I101" s="120" t="s">
        <v>70</v>
      </c>
      <c r="J101" s="117">
        <f>IF($A101="","",IF($I101="Ganada",ROUND($G101*($F101-1),2),IF($I101="Medio Ganada",ROUND($G101/2*($F101-1),2),IF($I101="Perdida",IF($H101="Free Bet",0,-$G101),IF($I101="Medio Perdida",IF($H101="Free Bet",0,-$G101/2),IF($I101="Reembolso",IF($R101="","",ROUND($R101-$G101,2)),IF($I101="Anulada",0,"")))))))</f>
        <v>15.81</v>
      </c>
      <c r="K101" s="118">
        <f>IF(J101="","",2000+SUM(J$5:J101))</f>
        <v>2348.4</v>
      </c>
      <c r="L101" s="119">
        <f>IF(OR($I101="Ganada",$I101="Perdida",$I101="Medio Ganada",$I101="Medio Perdida"),IF($G101=0,"",J101/$G101),"")</f>
        <v>0.93</v>
      </c>
      <c r="M101" s="120">
        <f>IF(OR($A101="",$B101=""),"",COUNTIFS($A$5:A101,A101,$B$5:B101,B101))</f>
        <v>1</v>
      </c>
      <c r="N101" s="120">
        <f>IF($A101="","",COUNTA($A$5:$A101))</f>
        <v>97</v>
      </c>
      <c r="O101" s="120">
        <f>IF($A101="","",COUNTA($A$5:$A101))</f>
        <v>97</v>
      </c>
      <c r="P101" s="118">
        <f>IF($K101="","",MAX($K$5:K101))</f>
        <v>2366.59</v>
      </c>
      <c r="Q101" s="117">
        <f>IF($K101="","",K101-P101)</f>
        <v>-18.190000000000055</v>
      </c>
      <c r="R101" s="118"/>
      <c r="S101" s="2">
        <f>IF(OR($A101="",$F101=""),"",IF($I101="Pendiente","",ROUND($G101*($F101*0.609-1),2)))</f>
        <v>2.98</v>
      </c>
      <c r="T101" s="2">
        <f>IF($A101="","",IFERROR(SUM($S$5:S101),0))</f>
        <v>140.61000000000001</v>
      </c>
    </row>
    <row r="102" spans="1:20" ht="31.5" customHeight="1">
      <c r="A102" s="110">
        <v>46199</v>
      </c>
      <c r="B102" s="124" t="s">
        <v>28</v>
      </c>
      <c r="C102" s="144" t="s">
        <v>245</v>
      </c>
      <c r="D102" s="113" t="s">
        <v>67</v>
      </c>
      <c r="E102" s="142" t="s">
        <v>246</v>
      </c>
      <c r="F102" s="115">
        <v>1.98</v>
      </c>
      <c r="G102" s="116">
        <v>17</v>
      </c>
      <c r="H102" s="120" t="s">
        <v>69</v>
      </c>
      <c r="I102" s="120" t="s">
        <v>75</v>
      </c>
      <c r="J102" s="117">
        <f>IF($A102="","",IF($I102="Ganada",ROUND($G102*($F102-1),2),IF($I102="Medio Ganada",ROUND($G102/2*($F102-1),2),IF($I102="Perdida",IF($H102="Free Bet",0,-$G102),IF($I102="Medio Perdida",IF($H102="Free Bet",0,-$G102/2),IF($I102="Reembolso",IF($R102="","",ROUND($R102-$G102,2)),IF($I102="Anulada",0,"")))))))</f>
        <v>-17</v>
      </c>
      <c r="K102" s="118">
        <f>IF(J102="","",2000+SUM(J$5:J102))</f>
        <v>2331.4</v>
      </c>
      <c r="L102" s="119">
        <f>IF(OR($I102="Ganada",$I102="Perdida",$I102="Medio Ganada",$I102="Medio Perdida"),IF($G102=0,"",J102/$G102),"")</f>
        <v>-1</v>
      </c>
      <c r="M102" s="120">
        <f>IF(OR($A102="",$B102=""),"",COUNTIFS($A$5:A102,A102,$B$5:B102,B102))</f>
        <v>3</v>
      </c>
      <c r="N102" s="120">
        <f>IF($A102="","",COUNTA($A$5:$A102))</f>
        <v>98</v>
      </c>
      <c r="O102" s="120">
        <f>IF($A102="","",COUNTA($A$5:$A102))</f>
        <v>98</v>
      </c>
      <c r="P102" s="118">
        <f>IF($K102="","",MAX($K$5:K102))</f>
        <v>2366.59</v>
      </c>
      <c r="Q102" s="117">
        <f>IF($K102="","",K102-P102)</f>
        <v>-35.190000000000055</v>
      </c>
      <c r="R102" s="118"/>
      <c r="S102" s="2">
        <f>IF(OR($A102="",$F102=""),"",IF($I102="Pendiente","",ROUND($G102*($F102*0.609-1),2)))</f>
        <v>3.5</v>
      </c>
      <c r="T102" s="2">
        <f>IF($A102="","",IFERROR(SUM($S$5:S102),0))</f>
        <v>144.11000000000001</v>
      </c>
    </row>
    <row r="103" spans="1:20" ht="24" customHeight="1">
      <c r="A103" s="110">
        <v>46199</v>
      </c>
      <c r="B103" s="124" t="s">
        <v>28</v>
      </c>
      <c r="C103" s="144" t="s">
        <v>247</v>
      </c>
      <c r="D103" s="113" t="s">
        <v>90</v>
      </c>
      <c r="E103" s="139" t="s">
        <v>248</v>
      </c>
      <c r="F103" s="115">
        <v>1.43</v>
      </c>
      <c r="G103" s="116">
        <v>28</v>
      </c>
      <c r="H103" s="120" t="s">
        <v>69</v>
      </c>
      <c r="I103" s="120" t="s">
        <v>75</v>
      </c>
      <c r="J103" s="117">
        <f>IF($A103="","",IF($I103="Ganada",ROUND($G103*($F103-1),2),IF($I103="Medio Ganada",ROUND($G103/2*($F103-1),2),IF($I103="Perdida",IF($H103="Free Bet",0,-$G103),IF($I103="Medio Perdida",IF($H103="Free Bet",0,-$G103/2),IF($I103="Reembolso",IF($R103="","",ROUND($R103-$G103,2)),IF($I103="Anulada",0,"")))))))</f>
        <v>-28</v>
      </c>
      <c r="K103" s="118">
        <f>IF(J103="","",2000+SUM(J$5:J103))</f>
        <v>2303.4</v>
      </c>
      <c r="L103" s="119">
        <f>IF(OR($I103="Ganada",$I103="Perdida",$I103="Medio Ganada",$I103="Medio Perdida"),IF($G103=0,"",J103/$G103),"")</f>
        <v>-1</v>
      </c>
      <c r="M103" s="120">
        <f>IF(OR($A103="",$B103=""),"",COUNTIFS($A$5:A103,A103,$B$5:B103,B103))</f>
        <v>4</v>
      </c>
      <c r="N103" s="120">
        <f>IF($A103="","",COUNTA($A$5:$A103))</f>
        <v>99</v>
      </c>
      <c r="O103" s="120">
        <f>IF($A103="","",COUNTA($A$5:$A103))</f>
        <v>99</v>
      </c>
      <c r="P103" s="118">
        <f>IF($K103="","",MAX($K$5:K103))</f>
        <v>2366.59</v>
      </c>
      <c r="Q103" s="117">
        <f>IF($K103="","",K103-P103)</f>
        <v>-63.190000000000055</v>
      </c>
      <c r="R103" s="118"/>
      <c r="S103" s="2">
        <f>IF(OR($A103="",$F103=""),"",IF($I103="Pendiente","",ROUND($G103*($F103*0.609-1),2)))</f>
        <v>-3.62</v>
      </c>
      <c r="T103" s="2">
        <f>IF($A103="","",IFERROR(SUM($S$5:S103),0))</f>
        <v>140.49</v>
      </c>
    </row>
    <row r="104" spans="1:20" ht="15" customHeight="1">
      <c r="A104" s="110">
        <v>46199</v>
      </c>
      <c r="B104" s="129" t="s">
        <v>31</v>
      </c>
      <c r="C104" s="145" t="s">
        <v>249</v>
      </c>
      <c r="D104" s="113" t="s">
        <v>250</v>
      </c>
      <c r="E104" s="142" t="s">
        <v>251</v>
      </c>
      <c r="F104" s="115">
        <v>2.0499999999999998</v>
      </c>
      <c r="G104" s="116">
        <v>17</v>
      </c>
      <c r="H104" s="120" t="s">
        <v>69</v>
      </c>
      <c r="I104" s="120" t="s">
        <v>75</v>
      </c>
      <c r="J104" s="117">
        <f>IF($A104="","",IF($I104="Ganada",ROUND($G104*($F104-1),2),IF($I104="Medio Ganada",ROUND($G104/2*($F104-1),2),IF($I104="Perdida",IF($H104="Free Bet",0,-$G104),IF($I104="Medio Perdida",IF($H104="Free Bet",0,-$G104/2),IF($I104="Reembolso",IF($R104="","",ROUND($R104-$G104,2)),IF($I104="Anulada",0,"")))))))</f>
        <v>-17</v>
      </c>
      <c r="K104" s="118">
        <f>IF(J104="","",2000+SUM(J$5:J104))</f>
        <v>2286.4</v>
      </c>
      <c r="L104" s="119">
        <f>IF(OR($I104="Ganada",$I104="Perdida",$I104="Medio Ganada",$I104="Medio Perdida"),IF($G104=0,"",J104/$G104),"")</f>
        <v>-1</v>
      </c>
      <c r="M104" s="120">
        <f>IF(OR($A104="",$B104=""),"",COUNTIFS($A$5:A104,A104,$B$5:B104,B104))</f>
        <v>6</v>
      </c>
      <c r="N104" s="120">
        <f>IF($A104="","",COUNTA($A$5:$A104))</f>
        <v>100</v>
      </c>
      <c r="O104" s="120">
        <f>IF($A104="","",COUNTA($A$5:$A104))</f>
        <v>100</v>
      </c>
      <c r="P104" s="118">
        <f>IF($K104="","",MAX($K$5:K104))</f>
        <v>2366.59</v>
      </c>
      <c r="Q104" s="117">
        <f>IF($K104="","",K104-P104)</f>
        <v>-80.190000000000055</v>
      </c>
      <c r="R104" s="118"/>
      <c r="S104" s="2">
        <f>IF(OR($A104="",$F104=""),"",IF($I104="Pendiente","",ROUND($G104*($F104*0.609-1),2)))</f>
        <v>4.22</v>
      </c>
      <c r="T104" s="2">
        <f>IF($A104="","",IFERROR(SUM($S$5:S104),0))</f>
        <v>144.71</v>
      </c>
    </row>
    <row r="105" spans="1:20" ht="15" customHeight="1">
      <c r="A105" s="110">
        <v>46199</v>
      </c>
      <c r="B105" s="124" t="s">
        <v>28</v>
      </c>
      <c r="C105" s="145" t="s">
        <v>252</v>
      </c>
      <c r="D105" s="113" t="s">
        <v>76</v>
      </c>
      <c r="E105" s="139">
        <v>2</v>
      </c>
      <c r="F105" s="115">
        <v>1.1599999999999999</v>
      </c>
      <c r="G105" s="116">
        <v>28</v>
      </c>
      <c r="H105" s="120" t="s">
        <v>69</v>
      </c>
      <c r="I105" s="120" t="s">
        <v>70</v>
      </c>
      <c r="J105" s="117">
        <f>IF($A105="","",IF($I105="Ganada",ROUND($G105*($F105-1),2),IF($I105="Medio Ganada",ROUND($G105/2*($F105-1),2),IF($I105="Perdida",IF($H105="Free Bet",0,-$G105),IF($I105="Medio Perdida",IF($H105="Free Bet",0,-$G105/2),IF($I105="Reembolso",IF($R105="","",ROUND($R105-$G105,2)),IF($I105="Anulada",0,"")))))))</f>
        <v>4.4800000000000004</v>
      </c>
      <c r="K105" s="118">
        <f>IF(J105="","",2000+SUM(J$5:J105))</f>
        <v>2290.88</v>
      </c>
      <c r="L105" s="119">
        <f>IF(OR($I105="Ganada",$I105="Perdida",$I105="Medio Ganada",$I105="Medio Perdida"),IF($G105=0,"",J105/$G105),"")</f>
        <v>0.16</v>
      </c>
      <c r="M105" s="120">
        <f>IF(OR($A105="",$B105=""),"",COUNTIFS($A$5:A105,A105,$B$5:B105,B105))</f>
        <v>5</v>
      </c>
      <c r="N105" s="120">
        <f>IF($A105="","",COUNTA($A$5:$A105))</f>
        <v>101</v>
      </c>
      <c r="O105" s="120">
        <f>IF($A105="","",COUNTA($A$5:$A105))</f>
        <v>101</v>
      </c>
      <c r="P105" s="118">
        <f>IF($K105="","",MAX($K$5:K105))</f>
        <v>2366.59</v>
      </c>
      <c r="Q105" s="117">
        <f>IF($K105="","",K105-P105)</f>
        <v>-75.710000000000036</v>
      </c>
      <c r="R105" s="118"/>
      <c r="S105" s="2">
        <f>IF(OR($A105="",$F105=""),"",IF($I105="Pendiente","",ROUND($G105*($F105*0.609-1),2)))</f>
        <v>-8.2200000000000006</v>
      </c>
      <c r="T105" s="2">
        <f>IF($A105="","",IFERROR(SUM($S$5:S105),0))</f>
        <v>136.49</v>
      </c>
    </row>
    <row r="106" spans="1:20" ht="32.25" customHeight="1">
      <c r="A106" s="110">
        <v>46199</v>
      </c>
      <c r="B106" s="124" t="s">
        <v>28</v>
      </c>
      <c r="C106" s="149" t="s">
        <v>253</v>
      </c>
      <c r="D106" s="113" t="s">
        <v>95</v>
      </c>
      <c r="E106" s="139" t="s">
        <v>254</v>
      </c>
      <c r="F106" s="115">
        <v>1.9</v>
      </c>
      <c r="G106" s="116">
        <v>17</v>
      </c>
      <c r="H106" s="120" t="s">
        <v>69</v>
      </c>
      <c r="I106" s="120" t="s">
        <v>70</v>
      </c>
      <c r="J106" s="117">
        <f>IF($A106="","",IF($I106="Ganada",ROUND($G106*($F106-1),2),IF($I106="Medio Ganada",ROUND($G106/2*($F106-1),2),IF($I106="Perdida",IF($H106="Free Bet",0,-$G106),IF($I106="Medio Perdida",IF($H106="Free Bet",0,-$G106/2),IF($I106="Reembolso",IF($R106="","",ROUND($R106-$G106,2)),IF($I106="Anulada",0,"")))))))</f>
        <v>15.3</v>
      </c>
      <c r="K106" s="118">
        <f>IF(J106="","",2000+SUM(J$5:J106))</f>
        <v>2306.1800000000003</v>
      </c>
      <c r="L106" s="119">
        <f>IF(OR($I106="Ganada",$I106="Perdida",$I106="Medio Ganada",$I106="Medio Perdida"),IF($G106=0,"",J106/$G106),"")</f>
        <v>0.9</v>
      </c>
      <c r="M106" s="120">
        <f>IF(OR($A106="",$B106=""),"",COUNTIFS($A$5:A106,A106,$B$5:B106,B106))</f>
        <v>6</v>
      </c>
      <c r="N106" s="120">
        <f>IF($A106="","",COUNTA($A$5:$A106))</f>
        <v>102</v>
      </c>
      <c r="O106" s="120">
        <f>IF($A106="","",COUNTA($A$5:$A106))</f>
        <v>102</v>
      </c>
      <c r="P106" s="118">
        <f>IF($K106="","",MAX($K$5:K106))</f>
        <v>2366.59</v>
      </c>
      <c r="Q106" s="117">
        <f>IF($K106="","",K106-P106)</f>
        <v>-60.409999999999854</v>
      </c>
      <c r="R106" s="118"/>
      <c r="S106" s="2">
        <f>IF(OR($A106="",$F106=""),"",IF($I106="Pendiente","",ROUND($G106*($F106*0.609-1),2)))</f>
        <v>2.67</v>
      </c>
      <c r="T106" s="2">
        <f>IF($A106="","",IFERROR(SUM($S$5:S106),0))</f>
        <v>139.16</v>
      </c>
    </row>
    <row r="107" spans="1:20" ht="24" customHeight="1">
      <c r="A107" s="110">
        <v>46199</v>
      </c>
      <c r="B107" s="124" t="s">
        <v>28</v>
      </c>
      <c r="C107" s="144" t="s">
        <v>255</v>
      </c>
      <c r="D107" s="113" t="s">
        <v>95</v>
      </c>
      <c r="E107" s="143" t="s">
        <v>256</v>
      </c>
      <c r="F107" s="115">
        <v>1.68</v>
      </c>
      <c r="G107" s="116">
        <v>23</v>
      </c>
      <c r="H107" s="120" t="s">
        <v>69</v>
      </c>
      <c r="I107" s="120" t="s">
        <v>75</v>
      </c>
      <c r="J107" s="117">
        <f>IF($A107="","",IF($I107="Ganada",ROUND($G107*($F107-1),2),IF($I107="Medio Ganada",ROUND($G107/2*($F107-1),2),IF($I107="Perdida",IF($H107="Free Bet",0,-$G107),IF($I107="Medio Perdida",IF($H107="Free Bet",0,-$G107/2),IF($I107="Reembolso",IF($R107="","",ROUND($R107-$G107,2)),IF($I107="Anulada",0,"")))))))</f>
        <v>-23</v>
      </c>
      <c r="K107" s="118">
        <f>IF(J107="","",2000+SUM(J$5:J107))</f>
        <v>2283.1800000000003</v>
      </c>
      <c r="L107" s="119">
        <f>IF(OR($I107="Ganada",$I107="Perdida",$I107="Medio Ganada",$I107="Medio Perdida"),IF($G107=0,"",J107/$G107),"")</f>
        <v>-1</v>
      </c>
      <c r="M107" s="120">
        <f>IF(OR($A107="",$B107=""),"",COUNTIFS($A$5:A107,A107,$B$5:B107,B107))</f>
        <v>7</v>
      </c>
      <c r="N107" s="120">
        <f>IF($A107="","",COUNTA($A$5:$A107))</f>
        <v>103</v>
      </c>
      <c r="O107" s="120">
        <f>IF($A107="","",COUNTA($A$5:$A107))</f>
        <v>103</v>
      </c>
      <c r="P107" s="118">
        <f>IF($K107="","",MAX($K$5:K107))</f>
        <v>2366.59</v>
      </c>
      <c r="Q107" s="117">
        <f>IF($K107="","",K107-P107)</f>
        <v>-83.409999999999854</v>
      </c>
      <c r="R107" s="118"/>
      <c r="S107" s="2">
        <f>IF(OR($A107="",$F107=""),"",IF($I107="Pendiente","",ROUND($G107*($F107*0.609-1),2)))</f>
        <v>0.53</v>
      </c>
      <c r="T107" s="2">
        <f>IF($A107="","",IFERROR(SUM($S$5:S107),0))</f>
        <v>139.69</v>
      </c>
    </row>
    <row r="108" spans="1:20" ht="31.5" customHeight="1">
      <c r="A108" s="110">
        <v>46199</v>
      </c>
      <c r="B108" s="129" t="s">
        <v>31</v>
      </c>
      <c r="C108" s="149" t="s">
        <v>257</v>
      </c>
      <c r="D108" s="113" t="s">
        <v>67</v>
      </c>
      <c r="E108" s="146" t="s">
        <v>258</v>
      </c>
      <c r="F108" s="115">
        <v>1.86</v>
      </c>
      <c r="G108" s="116">
        <v>17</v>
      </c>
      <c r="H108" s="120" t="s">
        <v>69</v>
      </c>
      <c r="I108" s="120" t="s">
        <v>70</v>
      </c>
      <c r="J108" s="117">
        <f>IF($A108="","",IF($I108="Ganada",ROUND($G108*($F108-1),2),IF($I108="Medio Ganada",ROUND($G108/2*($F108-1),2),IF($I108="Perdida",IF($H108="Free Bet",0,-$G108),IF($I108="Medio Perdida",IF($H108="Free Bet",0,-$G108/2),IF($I108="Reembolso",IF($R108="","",ROUND($R108-$G108,2)),IF($I108="Anulada",0,"")))))))</f>
        <v>14.62</v>
      </c>
      <c r="K108" s="118">
        <f>IF(J108="","",2000+SUM(J$5:J108))</f>
        <v>2297.8000000000002</v>
      </c>
      <c r="L108" s="119">
        <f>IF(OR($I108="Ganada",$I108="Perdida",$I108="Medio Ganada",$I108="Medio Perdida"),IF($G108=0,"",J108/$G108),"")</f>
        <v>0.86</v>
      </c>
      <c r="M108" s="120">
        <f>IF(OR($A108="",$B108=""),"",COUNTIFS($A$5:A108,A108,$B$5:B108,B108))</f>
        <v>7</v>
      </c>
      <c r="N108" s="120">
        <f>IF($A108="","",COUNTA($A$5:$A108))</f>
        <v>104</v>
      </c>
      <c r="O108" s="120">
        <f>IF($A108="","",COUNTA($A$5:$A108))</f>
        <v>104</v>
      </c>
      <c r="P108" s="118">
        <f>IF($K108="","",MAX($K$5:K108))</f>
        <v>2366.59</v>
      </c>
      <c r="Q108" s="117">
        <f>IF($K108="","",K108-P108)</f>
        <v>-68.789999999999964</v>
      </c>
      <c r="R108" s="118"/>
      <c r="S108" s="2">
        <f>IF(OR($A108="",$F108=""),"",IF($I108="Pendiente","",ROUND($G108*($F108*0.609-1),2)))</f>
        <v>2.2599999999999998</v>
      </c>
      <c r="T108" s="2">
        <f>IF($A108="","",IFERROR(SUM($S$5:S108),0))</f>
        <v>141.94999999999999</v>
      </c>
    </row>
    <row r="109" spans="1:20" ht="24.75" customHeight="1">
      <c r="A109" s="110">
        <v>46199</v>
      </c>
      <c r="B109" s="124" t="s">
        <v>28</v>
      </c>
      <c r="C109" s="145" t="s">
        <v>259</v>
      </c>
      <c r="D109" s="113" t="s">
        <v>95</v>
      </c>
      <c r="E109" s="143" t="s">
        <v>260</v>
      </c>
      <c r="F109" s="115">
        <v>1.7</v>
      </c>
      <c r="G109" s="116">
        <v>28</v>
      </c>
      <c r="H109" s="120" t="s">
        <v>69</v>
      </c>
      <c r="I109" s="120" t="s">
        <v>75</v>
      </c>
      <c r="J109" s="117">
        <f>IF($A109="","",IF($I109="Ganada",ROUND($G109*($F109-1),2),IF($I109="Medio Ganada",ROUND($G109/2*($F109-1),2),IF($I109="Perdida",IF($H109="Free Bet",0,-$G109),IF($I109="Medio Perdida",IF($H109="Free Bet",0,-$G109/2),IF($I109="Reembolso",IF($R109="","",ROUND($R109-$G109,2)),IF($I109="Anulada",0,"")))))))</f>
        <v>-28</v>
      </c>
      <c r="K109" s="118">
        <f>IF(J109="","",2000+SUM(J$5:J109))</f>
        <v>2269.8000000000002</v>
      </c>
      <c r="L109" s="119">
        <f>IF(OR($I109="Ganada",$I109="Perdida",$I109="Medio Ganada",$I109="Medio Perdida"),IF($G109=0,"",J109/$G109),"")</f>
        <v>-1</v>
      </c>
      <c r="M109" s="120">
        <f>IF(OR($A109="",$B109=""),"",COUNTIFS($A$5:A109,A109,$B$5:B109,B109))</f>
        <v>8</v>
      </c>
      <c r="N109" s="120">
        <f>IF($A109="","",COUNTA($A$5:$A109))</f>
        <v>105</v>
      </c>
      <c r="O109" s="120">
        <f>IF($A109="","",COUNTA($A$5:$A109))</f>
        <v>105</v>
      </c>
      <c r="P109" s="118">
        <f>IF($K109="","",MAX($K$5:K109))</f>
        <v>2366.59</v>
      </c>
      <c r="Q109" s="117">
        <f>IF($K109="","",K109-P109)</f>
        <v>-96.789999999999964</v>
      </c>
      <c r="R109" s="118"/>
      <c r="S109" s="2">
        <f>IF(OR($A109="",$F109=""),"",IF($I109="Pendiente","",ROUND($G109*($F109*0.609-1),2)))</f>
        <v>0.99</v>
      </c>
      <c r="T109" s="2">
        <f>IF($A109="","",IFERROR(SUM($S$5:S109),0))</f>
        <v>142.94</v>
      </c>
    </row>
    <row r="110" spans="1:20" ht="24" customHeight="1">
      <c r="A110" s="110">
        <v>46199</v>
      </c>
      <c r="B110" s="124" t="s">
        <v>28</v>
      </c>
      <c r="C110" s="144" t="s">
        <v>261</v>
      </c>
      <c r="D110" s="113" t="s">
        <v>90</v>
      </c>
      <c r="E110" s="139">
        <v>2</v>
      </c>
      <c r="F110" s="115">
        <v>1.8</v>
      </c>
      <c r="G110" s="116">
        <v>28</v>
      </c>
      <c r="H110" s="120" t="s">
        <v>69</v>
      </c>
      <c r="I110" s="120" t="s">
        <v>70</v>
      </c>
      <c r="J110" s="117">
        <f>IF($A110="","",IF($I110="Ganada",ROUND($G110*($F110-1),2),IF($I110="Medio Ganada",ROUND($G110/2*($F110-1),2),IF($I110="Perdida",IF($H110="Free Bet",0,-$G110),IF($I110="Medio Perdida",IF($H110="Free Bet",0,-$G110/2),IF($I110="Reembolso",IF($R110="","",ROUND($R110-$G110,2)),IF($I110="Anulada",0,"")))))))</f>
        <v>22.4</v>
      </c>
      <c r="K110" s="118">
        <f>IF(J110="","",2000+SUM(J$5:J110))</f>
        <v>2292.2000000000003</v>
      </c>
      <c r="L110" s="119">
        <f>IF(OR($I110="Ganada",$I110="Perdida",$I110="Medio Ganada",$I110="Medio Perdida"),IF($G110=0,"",J110/$G110),"")</f>
        <v>0.79999999999999993</v>
      </c>
      <c r="M110" s="120">
        <f>IF(OR($A110="",$B110=""),"",COUNTIFS($A$5:A110,A110,$B$5:B110,B110))</f>
        <v>9</v>
      </c>
      <c r="N110" s="120">
        <f>IF($A110="","",COUNTA($A$5:$A110))</f>
        <v>106</v>
      </c>
      <c r="O110" s="120">
        <f>IF($A110="","",COUNTA($A$5:$A110))</f>
        <v>106</v>
      </c>
      <c r="P110" s="118">
        <f>IF($K110="","",MAX($K$5:K110))</f>
        <v>2366.59</v>
      </c>
      <c r="Q110" s="117">
        <f>IF($K110="","",K110-P110)</f>
        <v>-74.389999999999873</v>
      </c>
      <c r="R110" s="118"/>
      <c r="S110" s="2">
        <f>IF(OR($A110="",$F110=""),"",IF($I110="Pendiente","",ROUND($G110*($F110*0.609-1),2)))</f>
        <v>2.69</v>
      </c>
      <c r="T110" s="2">
        <f>IF($A110="","",IFERROR(SUM($S$5:S110),0))</f>
        <v>145.63</v>
      </c>
    </row>
    <row r="111" spans="1:20" ht="24" customHeight="1">
      <c r="A111" s="110">
        <v>46200</v>
      </c>
      <c r="B111" s="148" t="s">
        <v>36</v>
      </c>
      <c r="C111" s="144" t="s">
        <v>262</v>
      </c>
      <c r="D111" s="113" t="s">
        <v>67</v>
      </c>
      <c r="E111" s="143" t="s">
        <v>263</v>
      </c>
      <c r="F111" s="115">
        <v>1.76</v>
      </c>
      <c r="G111" s="116">
        <v>23</v>
      </c>
      <c r="H111" s="120" t="s">
        <v>69</v>
      </c>
      <c r="I111" s="120" t="s">
        <v>70</v>
      </c>
      <c r="J111" s="117">
        <f>IF($A111="","",IF($I111="Ganada",ROUND($G111*($F111-1),2),IF($I111="Medio Ganada",ROUND($G111/2*($F111-1),2),IF($I111="Perdida",IF($H111="Free Bet",0,-$G111),IF($I111="Medio Perdida",IF($H111="Free Bet",0,-$G111/2),IF($I111="Reembolso",IF($R111="","",ROUND($R111-$G111,2)),IF($I111="Anulada",0,"")))))))</f>
        <v>17.48</v>
      </c>
      <c r="K111" s="118">
        <f>IF(J111="","",2000+SUM(J$5:J111))</f>
        <v>2309.6800000000003</v>
      </c>
      <c r="L111" s="119">
        <f>IF(OR($I111="Ganada",$I111="Perdida",$I111="Medio Ganada",$I111="Medio Perdida"),IF($G111=0,"",J111/$G111),"")</f>
        <v>0.76</v>
      </c>
      <c r="M111" s="120">
        <f>IF(OR($A111="",$B111=""),"",COUNTIFS($A$5:A111,A111,$B$5:B111,B111))</f>
        <v>1</v>
      </c>
      <c r="N111" s="120">
        <f>IF($A111="","",COUNTA($A$5:$A111))</f>
        <v>107</v>
      </c>
      <c r="O111" s="120">
        <f>IF($A111="","",COUNTA($A$5:$A111))</f>
        <v>107</v>
      </c>
      <c r="P111" s="118">
        <f>IF($K111="","",MAX($K$5:K111))</f>
        <v>2366.59</v>
      </c>
      <c r="Q111" s="117">
        <f>IF($K111="","",K111-P111)</f>
        <v>-56.909999999999854</v>
      </c>
      <c r="R111" s="118"/>
      <c r="S111" s="2">
        <f>IF(OR($A111="",$F111=""),"",IF($I111="Pendiente","",ROUND($G111*($F111*0.609-1),2)))</f>
        <v>1.65</v>
      </c>
      <c r="T111" s="2">
        <f>IF($A111="","",IFERROR(SUM($S$5:S111),0))</f>
        <v>147.28</v>
      </c>
    </row>
    <row r="112" spans="1:20" ht="24" customHeight="1">
      <c r="A112" s="110">
        <v>46200</v>
      </c>
      <c r="B112" s="148" t="s">
        <v>36</v>
      </c>
      <c r="C112" s="144" t="s">
        <v>264</v>
      </c>
      <c r="D112" s="113" t="s">
        <v>67</v>
      </c>
      <c r="E112" s="143" t="s">
        <v>265</v>
      </c>
      <c r="F112" s="115">
        <v>2.0699999999999998</v>
      </c>
      <c r="G112" s="116">
        <v>17</v>
      </c>
      <c r="H112" s="120" t="s">
        <v>69</v>
      </c>
      <c r="I112" s="120" t="s">
        <v>70</v>
      </c>
      <c r="J112" s="117">
        <f>IF($A112="","",IF($I112="Ganada",ROUND($G112*($F112-1),2),IF($I112="Medio Ganada",ROUND($G112/2*($F112-1),2),IF($I112="Perdida",IF($H112="Free Bet",0,-$G112),IF($I112="Medio Perdida",IF($H112="Free Bet",0,-$G112/2),IF($I112="Reembolso",IF($R112="","",ROUND($R112-$G112,2)),IF($I112="Anulada",0,"")))))))</f>
        <v>18.190000000000001</v>
      </c>
      <c r="K112" s="118">
        <f>IF(J112="","",2000+SUM(J$5:J112))</f>
        <v>2327.87</v>
      </c>
      <c r="L112" s="119">
        <f>IF(OR($I112="Ganada",$I112="Perdida",$I112="Medio Ganada",$I112="Medio Perdida"),IF($G112=0,"",J112/$G112),"")</f>
        <v>1.07</v>
      </c>
      <c r="M112" s="120">
        <f>IF(OR($A112="",$B112=""),"",COUNTIFS($A$5:A112,A112,$B$5:B112,B112))</f>
        <v>2</v>
      </c>
      <c r="N112" s="120">
        <f>IF($A112="","",COUNTA($A$5:$A112))</f>
        <v>108</v>
      </c>
      <c r="O112" s="120">
        <f>IF($A112="","",COUNTA($A$5:$A112))</f>
        <v>108</v>
      </c>
      <c r="P112" s="118">
        <f>IF($K112="","",MAX($K$5:K112))</f>
        <v>2366.59</v>
      </c>
      <c r="Q112" s="117">
        <f>IF($K112="","",K112-P112)</f>
        <v>-38.720000000000255</v>
      </c>
      <c r="R112" s="118"/>
      <c r="S112" s="2">
        <f>IF(OR($A112="",$F112=""),"",IF($I112="Pendiente","",ROUND($G112*($F112*0.609-1),2)))</f>
        <v>4.43</v>
      </c>
      <c r="T112" s="2">
        <f>IF($A112="","",IFERROR(SUM($S$5:S112),0))</f>
        <v>151.71</v>
      </c>
    </row>
    <row r="113" spans="1:20" ht="24" customHeight="1">
      <c r="A113" s="110">
        <v>46200</v>
      </c>
      <c r="B113" s="148" t="s">
        <v>36</v>
      </c>
      <c r="C113" s="145" t="s">
        <v>266</v>
      </c>
      <c r="D113" s="113" t="s">
        <v>67</v>
      </c>
      <c r="E113" s="143" t="s">
        <v>267</v>
      </c>
      <c r="F113" s="115">
        <v>1.85</v>
      </c>
      <c r="G113" s="116">
        <v>17</v>
      </c>
      <c r="H113" s="120" t="s">
        <v>69</v>
      </c>
      <c r="I113" s="120" t="s">
        <v>75</v>
      </c>
      <c r="J113" s="117">
        <f>IF($A113="","",IF($I113="Ganada",ROUND($G113*($F113-1),2),IF($I113="Medio Ganada",ROUND($G113/2*($F113-1),2),IF($I113="Perdida",IF($H113="Free Bet",0,-$G113),IF($I113="Medio Perdida",IF($H113="Free Bet",0,-$G113/2),IF($I113="Reembolso",IF($R113="","",ROUND($R113-$G113,2)),IF($I113="Anulada",0,"")))))))</f>
        <v>-17</v>
      </c>
      <c r="K113" s="118">
        <f>IF(J113="","",2000+SUM(J$5:J113))</f>
        <v>2310.87</v>
      </c>
      <c r="L113" s="119">
        <f>IF(OR($I113="Ganada",$I113="Perdida",$I113="Medio Ganada",$I113="Medio Perdida"),IF($G113=0,"",J113/$G113),"")</f>
        <v>-1</v>
      </c>
      <c r="M113" s="120">
        <f>IF(OR($A113="",$B113=""),"",COUNTIFS($A$5:A113,A113,$B$5:B113,B113))</f>
        <v>3</v>
      </c>
      <c r="N113" s="120">
        <f>IF($A113="","",COUNTA($A$5:$A113))</f>
        <v>109</v>
      </c>
      <c r="O113" s="120">
        <f>IF($A113="","",COUNTA($A$5:$A113))</f>
        <v>109</v>
      </c>
      <c r="P113" s="118">
        <f>IF($K113="","",MAX($K$5:K113))</f>
        <v>2366.59</v>
      </c>
      <c r="Q113" s="117">
        <f>IF($K113="","",K113-P113)</f>
        <v>-55.720000000000255</v>
      </c>
      <c r="R113" s="118"/>
      <c r="S113" s="2">
        <f>IF(OR($A113="",$F113=""),"",IF($I113="Pendiente","",ROUND($G113*($F113*0.609-1),2)))</f>
        <v>2.15</v>
      </c>
      <c r="T113" s="2">
        <f>IF($A113="","",IFERROR(SUM($S$5:S113),0))</f>
        <v>153.86000000000001</v>
      </c>
    </row>
    <row r="114" spans="1:20" ht="15" customHeight="1">
      <c r="A114" s="110">
        <v>46200</v>
      </c>
      <c r="B114" s="148" t="s">
        <v>36</v>
      </c>
      <c r="C114" s="144" t="s">
        <v>268</v>
      </c>
      <c r="D114" s="113" t="s">
        <v>67</v>
      </c>
      <c r="E114" s="139" t="s">
        <v>269</v>
      </c>
      <c r="F114" s="115">
        <v>2.5499999999999998</v>
      </c>
      <c r="G114" s="116">
        <v>10</v>
      </c>
      <c r="H114" s="120" t="s">
        <v>270</v>
      </c>
      <c r="I114" s="120" t="s">
        <v>70</v>
      </c>
      <c r="J114" s="117">
        <f>IF($A114="","",IF($I114="Ganada",ROUND($G114*($F114-1),2),IF($I114="Medio Ganada",ROUND($G114/2*($F114-1),2),IF($I114="Perdida",IF($H114="Free Bet",0,-$G114),IF($I114="Medio Perdida",IF($H114="Free Bet",0,-$G114/2),IF($I114="Reembolso",IF($R114="","",ROUND($R114-$G114,2)),IF($I114="Anulada",0,"")))))))</f>
        <v>15.5</v>
      </c>
      <c r="K114" s="118">
        <f>IF(J114="","",2000+SUM(J$5:J114))</f>
        <v>2326.37</v>
      </c>
      <c r="L114" s="119">
        <f>IF(OR($I114="Ganada",$I114="Perdida",$I114="Medio Ganada",$I114="Medio Perdida"),IF($G114=0,"",J114/$G114),"")</f>
        <v>1.55</v>
      </c>
      <c r="M114" s="120">
        <f>IF(OR($A114="",$B114=""),"",COUNTIFS($A$5:A114,A114,$B$5:B114,B114))</f>
        <v>4</v>
      </c>
      <c r="N114" s="120">
        <f>IF($A114="","",COUNTA($A$5:$A114))</f>
        <v>110</v>
      </c>
      <c r="O114" s="120">
        <f>IF($A114="","",COUNTA($A$5:$A114))</f>
        <v>110</v>
      </c>
      <c r="P114" s="118">
        <f>IF($K114="","",MAX($K$5:K114))</f>
        <v>2366.59</v>
      </c>
      <c r="Q114" s="117">
        <f>IF($K114="","",K114-P114)</f>
        <v>-40.220000000000255</v>
      </c>
      <c r="R114" s="118"/>
      <c r="S114" s="2">
        <f>IF(OR($A114="",$F114=""),"",IF($I114="Pendiente","",ROUND($G114*($F114*0.609-1),2)))</f>
        <v>5.53</v>
      </c>
      <c r="T114" s="2">
        <f>IF($A114="","",IFERROR(SUM($S$5:S114),0))</f>
        <v>159.39000000000001</v>
      </c>
    </row>
    <row r="115" spans="1:20" ht="15" customHeight="1">
      <c r="A115" s="110">
        <v>46200</v>
      </c>
      <c r="B115" s="132" t="s">
        <v>29</v>
      </c>
      <c r="C115" s="136" t="s">
        <v>271</v>
      </c>
      <c r="D115" s="113" t="s">
        <v>76</v>
      </c>
      <c r="E115" s="137" t="s">
        <v>272</v>
      </c>
      <c r="F115" s="115">
        <v>1.3</v>
      </c>
      <c r="G115" s="116">
        <v>34</v>
      </c>
      <c r="H115" s="120" t="s">
        <v>69</v>
      </c>
      <c r="I115" s="120" t="s">
        <v>70</v>
      </c>
      <c r="J115" s="117">
        <f>IF($A115="","",IF($I115="Ganada",ROUND($G115*($F115-1),2),IF($I115="Medio Ganada",ROUND($G115/2*($F115-1),2),IF($I115="Perdida",IF($H115="Free Bet",0,-$G115),IF($I115="Medio Perdida",IF($H115="Free Bet",0,-$G115/2),IF($I115="Reembolso",IF($R115="","",ROUND($R115-$G115,2)),IF($I115="Anulada",0,"")))))))</f>
        <v>10.199999999999999</v>
      </c>
      <c r="K115" s="118">
        <f>IF(J115="","",2000+SUM(J$5:J115))</f>
        <v>2336.5700000000002</v>
      </c>
      <c r="L115" s="119">
        <f>IF(OR($I115="Ganada",$I115="Perdida",$I115="Medio Ganada",$I115="Medio Perdida"),IF($G115=0,"",J115/$G115),"")</f>
        <v>0.3</v>
      </c>
      <c r="M115" s="120">
        <f>IF(OR($A115="",$B115=""),"",COUNTIFS($A$5:A115,A115,$B$5:B115,B115))</f>
        <v>1</v>
      </c>
      <c r="N115" s="120">
        <f>IF($A115="","",COUNTA($A$5:$A115))</f>
        <v>111</v>
      </c>
      <c r="O115" s="120">
        <f>IF($A115="","",COUNTA($A$5:$A115))</f>
        <v>111</v>
      </c>
      <c r="P115" s="118">
        <f>IF($K115="","",MAX($K$5:K115))</f>
        <v>2366.59</v>
      </c>
      <c r="Q115" s="117">
        <f>IF($K115="","",K115-P115)</f>
        <v>-30.019999999999982</v>
      </c>
      <c r="R115" s="118"/>
      <c r="S115" s="2">
        <f>IF(OR($A115="",$F115=""),"",IF($I115="Pendiente","",ROUND($G115*($F115*0.609-1),2)))</f>
        <v>-7.08</v>
      </c>
      <c r="T115" s="2">
        <f>IF($A115="","",IFERROR(SUM($S$5:S115),0))</f>
        <v>152.31</v>
      </c>
    </row>
    <row r="116" spans="1:20" ht="15" customHeight="1">
      <c r="A116" s="110">
        <v>46200</v>
      </c>
      <c r="B116" s="132" t="s">
        <v>29</v>
      </c>
      <c r="C116" s="136" t="s">
        <v>273</v>
      </c>
      <c r="D116" s="113" t="s">
        <v>76</v>
      </c>
      <c r="E116" s="137">
        <v>1</v>
      </c>
      <c r="F116" s="115">
        <v>1.64</v>
      </c>
      <c r="G116" s="116">
        <v>15</v>
      </c>
      <c r="H116" s="120" t="s">
        <v>69</v>
      </c>
      <c r="I116" s="120" t="s">
        <v>70</v>
      </c>
      <c r="J116" s="117">
        <f>IF($A116="","",IF($I116="Ganada",ROUND($G116*($F116-1),2),IF($I116="Medio Ganada",ROUND($G116/2*($F116-1),2),IF($I116="Perdida",IF($H116="Free Bet",0,-$G116),IF($I116="Medio Perdida",IF($H116="Free Bet",0,-$G116/2),IF($I116="Reembolso",IF($R116="","",ROUND($R116-$G116,2)),IF($I116="Anulada",0,"")))))))</f>
        <v>9.6</v>
      </c>
      <c r="K116" s="118">
        <f>IF(J116="","",2000+SUM(J$5:J116))</f>
        <v>2346.17</v>
      </c>
      <c r="L116" s="119">
        <f>IF(OR($I116="Ganada",$I116="Perdida",$I116="Medio Ganada",$I116="Medio Perdida"),IF($G116=0,"",J116/$G116),"")</f>
        <v>0.64</v>
      </c>
      <c r="M116" s="120">
        <f>IF(OR($A116="",$B116=""),"",COUNTIFS($A$5:A116,A116,$B$5:B116,B116))</f>
        <v>2</v>
      </c>
      <c r="N116" s="120">
        <f>IF($A116="","",COUNTA($A$5:$A116))</f>
        <v>112</v>
      </c>
      <c r="O116" s="120">
        <f>IF($A116="","",COUNTA($A$5:$A116))</f>
        <v>112</v>
      </c>
      <c r="P116" s="118">
        <f>IF($K116="","",MAX($K$5:K116))</f>
        <v>2366.59</v>
      </c>
      <c r="Q116" s="117">
        <f>IF($K116="","",K116-P116)</f>
        <v>-20.420000000000073</v>
      </c>
      <c r="R116" s="118"/>
      <c r="S116" s="2">
        <f>IF(OR($A116="",$F116=""),"",IF($I116="Pendiente","",ROUND($G116*($F116*0.609-1),2)))</f>
        <v>-0.02</v>
      </c>
      <c r="T116" s="2">
        <f>IF($A116="","",IFERROR(SUM($S$5:S116),0))</f>
        <v>152.29</v>
      </c>
    </row>
    <row r="117" spans="1:20" ht="24.75" customHeight="1">
      <c r="A117" s="110">
        <v>46200</v>
      </c>
      <c r="B117" s="150" t="s">
        <v>33</v>
      </c>
      <c r="C117" s="133" t="s">
        <v>274</v>
      </c>
      <c r="D117" s="113" t="s">
        <v>67</v>
      </c>
      <c r="E117" s="151" t="s">
        <v>275</v>
      </c>
      <c r="F117" s="115">
        <v>1.85</v>
      </c>
      <c r="G117" s="116">
        <v>17</v>
      </c>
      <c r="H117" s="120" t="s">
        <v>69</v>
      </c>
      <c r="I117" s="120" t="s">
        <v>70</v>
      </c>
      <c r="J117" s="117">
        <f>IF($A117="","",IF($I117="Ganada",ROUND($G117*($F117-1),2),IF($I117="Medio Ganada",ROUND($G117/2*($F117-1),2),IF($I117="Perdida",IF($H117="Free Bet",0,-$G117),IF($I117="Medio Perdida",IF($H117="Free Bet",0,-$G117/2),IF($I117="Reembolso",IF($R117="","",ROUND($R117-$G117,2)),IF($I117="Anulada",0,"")))))))</f>
        <v>14.45</v>
      </c>
      <c r="K117" s="118">
        <f>IF(J117="","",2000+SUM(J$5:J117))</f>
        <v>2360.62</v>
      </c>
      <c r="L117" s="119">
        <f>IF(OR($I117="Ganada",$I117="Perdida",$I117="Medio Ganada",$I117="Medio Perdida"),IF($G117=0,"",J117/$G117),"")</f>
        <v>0.85</v>
      </c>
      <c r="M117" s="120">
        <f>IF(OR($A117="",$B117=""),"",COUNTIFS($A$5:A117,A117,$B$5:B117,B117))</f>
        <v>1</v>
      </c>
      <c r="N117" s="120">
        <f>IF($A117="","",COUNTA($A$5:$A117))</f>
        <v>113</v>
      </c>
      <c r="O117" s="120">
        <f>IF($A117="","",COUNTA($A$5:$A117))</f>
        <v>113</v>
      </c>
      <c r="P117" s="118">
        <f>IF($K117="","",MAX($K$5:K117))</f>
        <v>2366.59</v>
      </c>
      <c r="Q117" s="117">
        <f>IF($K117="","",K117-P117)</f>
        <v>-5.9700000000002547</v>
      </c>
      <c r="R117" s="118"/>
      <c r="S117" s="2">
        <f>IF(OR($A117="",$F117=""),"",IF($I117="Pendiente","",ROUND($G117*($F117*0.609-1),2)))</f>
        <v>2.15</v>
      </c>
      <c r="T117" s="2">
        <f>IF($A117="","",IFERROR(SUM($S$5:S117),0))</f>
        <v>154.44</v>
      </c>
    </row>
    <row r="118" spans="1:20" ht="22.5" customHeight="1">
      <c r="A118" s="110">
        <v>46200</v>
      </c>
      <c r="B118" s="150" t="s">
        <v>33</v>
      </c>
      <c r="C118" s="136" t="s">
        <v>276</v>
      </c>
      <c r="D118" s="113" t="s">
        <v>67</v>
      </c>
      <c r="E118" s="138" t="s">
        <v>277</v>
      </c>
      <c r="F118" s="115">
        <v>2.0699999999999998</v>
      </c>
      <c r="G118" s="116">
        <v>17</v>
      </c>
      <c r="H118" s="120" t="s">
        <v>69</v>
      </c>
      <c r="I118" s="120" t="s">
        <v>70</v>
      </c>
      <c r="J118" s="117">
        <f>IF($A118="","",IF($I118="Ganada",ROUND($G118*($F118-1),2),IF($I118="Medio Ganada",ROUND($G118/2*($F118-1),2),IF($I118="Perdida",IF($H118="Free Bet",0,-$G118),IF($I118="Medio Perdida",IF($H118="Free Bet",0,-$G118/2),IF($I118="Reembolso",IF($R118="","",ROUND($R118-$G118,2)),IF($I118="Anulada",0,"")))))))</f>
        <v>18.190000000000001</v>
      </c>
      <c r="K118" s="118">
        <f>IF(J118="","",2000+SUM(J$5:J118))</f>
        <v>2378.81</v>
      </c>
      <c r="L118" s="119">
        <f>IF(OR($I118="Ganada",$I118="Perdida",$I118="Medio Ganada",$I118="Medio Perdida"),IF($G118=0,"",J118/$G118),"")</f>
        <v>1.07</v>
      </c>
      <c r="M118" s="120">
        <f>IF(OR($A118="",$B118=""),"",COUNTIFS($A$5:A118,A118,$B$5:B118,B118))</f>
        <v>2</v>
      </c>
      <c r="N118" s="120">
        <f>IF($A118="","",COUNTA($A$5:$A118))</f>
        <v>114</v>
      </c>
      <c r="O118" s="120">
        <f>IF($A118="","",COUNTA($A$5:$A118))</f>
        <v>114</v>
      </c>
      <c r="P118" s="118">
        <f>IF($K118="","",MAX($K$5:K118))</f>
        <v>2378.81</v>
      </c>
      <c r="Q118" s="117">
        <f>IF($K118="","",K118-P118)</f>
        <v>0</v>
      </c>
      <c r="R118" s="118"/>
      <c r="S118" s="2">
        <f>IF(OR($A118="",$F118=""),"",IF($I118="Pendiente","",ROUND($G118*($F118*0.609-1),2)))</f>
        <v>4.43</v>
      </c>
      <c r="T118" s="2">
        <f>IF($A118="","",IFERROR(SUM($S$5:S118),0))</f>
        <v>158.87</v>
      </c>
    </row>
    <row r="119" spans="1:20" ht="15" customHeight="1">
      <c r="A119" s="110">
        <v>46200</v>
      </c>
      <c r="B119" s="111" t="s">
        <v>30</v>
      </c>
      <c r="C119" s="133" t="s">
        <v>278</v>
      </c>
      <c r="D119" s="113" t="s">
        <v>95</v>
      </c>
      <c r="E119" s="151" t="s">
        <v>279</v>
      </c>
      <c r="F119" s="115">
        <v>1.75</v>
      </c>
      <c r="G119" s="116">
        <v>5</v>
      </c>
      <c r="H119" s="120" t="s">
        <v>270</v>
      </c>
      <c r="I119" s="120" t="s">
        <v>70</v>
      </c>
      <c r="J119" s="117">
        <f>IF($A119="","",IF($I119="Ganada",ROUND($G119*($F119-1),2),IF($I119="Medio Ganada",ROUND($G119/2*($F119-1),2),IF($I119="Perdida",IF($H119="Free Bet",0,-$G119),IF($I119="Medio Perdida",IF($H119="Free Bet",0,-$G119/2),IF($I119="Reembolso",IF($R119="","",ROUND($R119-$G119,2)),IF($I119="Anulada",0,"")))))))</f>
        <v>3.75</v>
      </c>
      <c r="K119" s="118">
        <f>IF(J119="","",2000+SUM(J$5:J119))</f>
        <v>2382.56</v>
      </c>
      <c r="L119" s="119">
        <f>IF(OR($I119="Ganada",$I119="Perdida",$I119="Medio Ganada",$I119="Medio Perdida"),IF($G119=0,"",J119/$G119),"")</f>
        <v>0.75</v>
      </c>
      <c r="M119" s="120">
        <f>IF(OR($A119="",$B119=""),"",COUNTIFS($A$5:A119,A119,$B$5:B119,B119))</f>
        <v>1</v>
      </c>
      <c r="N119" s="120">
        <f>IF($A119="","",COUNTA($A$5:$A119))</f>
        <v>115</v>
      </c>
      <c r="O119" s="120">
        <f>IF($A119="","",COUNTA($A$5:$A119))</f>
        <v>115</v>
      </c>
      <c r="P119" s="118">
        <f>IF($K119="","",MAX($K$5:K119))</f>
        <v>2382.56</v>
      </c>
      <c r="Q119" s="117">
        <f>IF($K119="","",K119-P119)</f>
        <v>0</v>
      </c>
      <c r="R119" s="118"/>
      <c r="S119" s="2">
        <f>IF(OR($A119="",$F119=""),"",IF($I119="Pendiente","",ROUND($G119*($F119*0.609-1),2)))</f>
        <v>0.33</v>
      </c>
      <c r="T119" s="2">
        <f>IF($A119="","",IFERROR(SUM($S$5:S119),0))</f>
        <v>159.20000000000002</v>
      </c>
    </row>
    <row r="120" spans="1:20" ht="22.5" customHeight="1">
      <c r="A120" s="110">
        <v>46200</v>
      </c>
      <c r="B120" s="111" t="s">
        <v>30</v>
      </c>
      <c r="C120" s="136" t="s">
        <v>280</v>
      </c>
      <c r="D120" s="113" t="s">
        <v>67</v>
      </c>
      <c r="E120" s="138" t="s">
        <v>232</v>
      </c>
      <c r="F120" s="115">
        <v>1.64</v>
      </c>
      <c r="G120" s="116">
        <v>23</v>
      </c>
      <c r="H120" s="120" t="s">
        <v>69</v>
      </c>
      <c r="I120" s="120" t="s">
        <v>75</v>
      </c>
      <c r="J120" s="117">
        <f>IF($A120="","",IF($I120="Ganada",ROUND($G120*($F120-1),2),IF($I120="Medio Ganada",ROUND($G120/2*($F120-1),2),IF($I120="Perdida",IF($H120="Free Bet",0,-$G120),IF($I120="Medio Perdida",IF($H120="Free Bet",0,-$G120/2),IF($I120="Reembolso",IF($R120="","",ROUND($R120-$G120,2)),IF($I120="Anulada",0,"")))))))</f>
        <v>-23</v>
      </c>
      <c r="K120" s="118">
        <f>IF(J120="","",2000+SUM(J$5:J120))</f>
        <v>2359.56</v>
      </c>
      <c r="L120" s="119">
        <f>IF(OR($I120="Ganada",$I120="Perdida",$I120="Medio Ganada",$I120="Medio Perdida"),IF($G120=0,"",J120/$G120),"")</f>
        <v>-1</v>
      </c>
      <c r="M120" s="120">
        <f>IF(OR($A120="",$B120=""),"",COUNTIFS($A$5:A120,A120,$B$5:B120,B120))</f>
        <v>2</v>
      </c>
      <c r="N120" s="120">
        <f>IF($A120="","",COUNTA($A$5:$A120))</f>
        <v>116</v>
      </c>
      <c r="O120" s="120">
        <f>IF($A120="","",COUNTA($A$5:$A120))</f>
        <v>116</v>
      </c>
      <c r="P120" s="118">
        <f>IF($K120="","",MAX($K$5:K120))</f>
        <v>2382.56</v>
      </c>
      <c r="Q120" s="117">
        <f>IF($K120="","",K120-P120)</f>
        <v>-23</v>
      </c>
      <c r="R120" s="118"/>
      <c r="S120" s="2">
        <f>IF(OR($A120="",$F120=""),"",IF($I120="Pendiente","",ROUND($G120*($F120*0.609-1),2)))</f>
        <v>-0.03</v>
      </c>
      <c r="T120" s="2">
        <f>IF($A120="","",IFERROR(SUM($S$5:S120),0))</f>
        <v>159.17000000000002</v>
      </c>
    </row>
    <row r="121" spans="1:20" ht="15" customHeight="1">
      <c r="A121" s="110">
        <v>46200</v>
      </c>
      <c r="B121" s="150" t="s">
        <v>33</v>
      </c>
      <c r="C121" s="133" t="s">
        <v>281</v>
      </c>
      <c r="D121" s="113" t="s">
        <v>76</v>
      </c>
      <c r="E121" s="137">
        <v>2</v>
      </c>
      <c r="F121" s="115">
        <v>1.83</v>
      </c>
      <c r="G121" s="116">
        <v>17</v>
      </c>
      <c r="H121" s="120" t="s">
        <v>69</v>
      </c>
      <c r="I121" s="120" t="s">
        <v>75</v>
      </c>
      <c r="J121" s="117">
        <f>IF($A121="","",IF($I121="Ganada",ROUND($G121*($F121-1),2),IF($I121="Medio Ganada",ROUND($G121/2*($F121-1),2),IF($I121="Perdida",IF($H121="Free Bet",0,-$G121),IF($I121="Medio Perdida",IF($H121="Free Bet",0,-$G121/2),IF($I121="Reembolso",IF($R121="","",ROUND($R121-$G121,2)),IF($I121="Anulada",0,"")))))))</f>
        <v>-17</v>
      </c>
      <c r="K121" s="118">
        <f>IF(J121="","",2000+SUM(J$5:J121))</f>
        <v>2342.56</v>
      </c>
      <c r="L121" s="119">
        <f>IF(OR($I121="Ganada",$I121="Perdida",$I121="Medio Ganada",$I121="Medio Perdida"),IF($G121=0,"",J121/$G121),"")</f>
        <v>-1</v>
      </c>
      <c r="M121" s="120">
        <f>IF(OR($A121="",$B121=""),"",COUNTIFS($A$5:A121,A121,$B$5:B121,B121))</f>
        <v>3</v>
      </c>
      <c r="N121" s="120">
        <f>IF($A121="","",COUNTA($A$5:$A121))</f>
        <v>117</v>
      </c>
      <c r="O121" s="120">
        <f>IF($A121="","",COUNTA($A$5:$A121))</f>
        <v>117</v>
      </c>
      <c r="P121" s="118">
        <f>IF($K121="","",MAX($K$5:K121))</f>
        <v>2382.56</v>
      </c>
      <c r="Q121" s="117">
        <f>IF($K121="","",K121-P121)</f>
        <v>-40</v>
      </c>
      <c r="R121" s="118"/>
      <c r="S121" s="2">
        <f>IF(OR($A121="",$F121=""),"",IF($I121="Pendiente","",ROUND($G121*($F121*0.609-1),2)))</f>
        <v>1.95</v>
      </c>
      <c r="T121" s="2">
        <f>IF($A121="","",IFERROR(SUM($S$5:S121),0))</f>
        <v>161.12</v>
      </c>
    </row>
    <row r="122" spans="1:20" ht="15" customHeight="1">
      <c r="A122" s="110">
        <v>46200</v>
      </c>
      <c r="B122" s="111" t="s">
        <v>30</v>
      </c>
      <c r="C122" s="133" t="s">
        <v>282</v>
      </c>
      <c r="D122" s="113" t="s">
        <v>67</v>
      </c>
      <c r="E122" s="137" t="s">
        <v>282</v>
      </c>
      <c r="F122" s="115">
        <v>1.7</v>
      </c>
      <c r="G122" s="116">
        <v>22</v>
      </c>
      <c r="H122" s="120" t="s">
        <v>69</v>
      </c>
      <c r="I122" s="120" t="s">
        <v>75</v>
      </c>
      <c r="J122" s="117">
        <f>IF($A122="","",IF($I122="Ganada",ROUND($G122*($F122-1),2),IF($I122="Medio Ganada",ROUND($G122/2*($F122-1),2),IF($I122="Perdida",IF($H122="Free Bet",0,-$G122),IF($I122="Medio Perdida",IF($H122="Free Bet",0,-$G122/2),IF($I122="Reembolso",IF($R122="","",ROUND($R122-$G122,2)),IF($I122="Anulada",0,"")))))))</f>
        <v>-22</v>
      </c>
      <c r="K122" s="118">
        <f>IF(J122="","",2000+SUM(J$5:J122))</f>
        <v>2320.56</v>
      </c>
      <c r="L122" s="119">
        <f>IF(OR($I122="Ganada",$I122="Perdida",$I122="Medio Ganada",$I122="Medio Perdida"),IF($G122=0,"",J122/$G122),"")</f>
        <v>-1</v>
      </c>
      <c r="M122" s="120">
        <f>IF(OR($A122="",$B122=""),"",COUNTIFS($A$5:A122,A122,$B$5:B122,B122))</f>
        <v>3</v>
      </c>
      <c r="N122" s="120">
        <f>IF($A122="","",COUNTA($A$5:$A122))</f>
        <v>118</v>
      </c>
      <c r="O122" s="120">
        <f>IF($A122="","",COUNTA($A$5:$A122))</f>
        <v>118</v>
      </c>
      <c r="P122" s="118">
        <f>IF($K122="","",MAX($K$5:K122))</f>
        <v>2382.56</v>
      </c>
      <c r="Q122" s="117">
        <f>IF($K122="","",K122-P122)</f>
        <v>-62</v>
      </c>
      <c r="R122" s="118"/>
      <c r="S122" s="2">
        <f>IF(OR($A122="",$F122=""),"",IF($I122="Pendiente","",ROUND($G122*($F122*0.609-1),2)))</f>
        <v>0.78</v>
      </c>
      <c r="T122" s="2">
        <f>IF($A122="","",IFERROR(SUM($S$5:S122),0))</f>
        <v>161.9</v>
      </c>
    </row>
    <row r="123" spans="1:20" ht="22.5" customHeight="1">
      <c r="A123" s="110">
        <v>46200</v>
      </c>
      <c r="B123" s="129" t="s">
        <v>31</v>
      </c>
      <c r="C123" s="133" t="s">
        <v>283</v>
      </c>
      <c r="D123" s="113" t="s">
        <v>67</v>
      </c>
      <c r="E123" s="138" t="s">
        <v>284</v>
      </c>
      <c r="F123" s="115">
        <v>1.44</v>
      </c>
      <c r="G123" s="116">
        <v>23</v>
      </c>
      <c r="H123" s="120" t="s">
        <v>69</v>
      </c>
      <c r="I123" s="120" t="s">
        <v>70</v>
      </c>
      <c r="J123" s="117">
        <f>IF($A123="","",IF($I123="Ganada",ROUND($G123*($F123-1),2),IF($I123="Medio Ganada",ROUND($G123/2*($F123-1),2),IF($I123="Perdida",IF($H123="Free Bet",0,-$G123),IF($I123="Medio Perdida",IF($H123="Free Bet",0,-$G123/2),IF($I123="Reembolso",IF($R123="","",ROUND($R123-$G123,2)),IF($I123="Anulada",0,"")))))))</f>
        <v>10.119999999999999</v>
      </c>
      <c r="K123" s="118">
        <f>IF(J123="","",2000+SUM(J$5:J123))</f>
        <v>2330.6800000000003</v>
      </c>
      <c r="L123" s="119">
        <f>IF(OR($I123="Ganada",$I123="Perdida",$I123="Medio Ganada",$I123="Medio Perdida"),IF($G123=0,"",J123/$G123),"")</f>
        <v>0.43999999999999995</v>
      </c>
      <c r="M123" s="120">
        <f>IF(OR($A123="",$B123=""),"",COUNTIFS($A$5:A123,A123,$B$5:B123,B123))</f>
        <v>1</v>
      </c>
      <c r="N123" s="120">
        <f>IF($A123="","",COUNTA($A$5:$A123))</f>
        <v>119</v>
      </c>
      <c r="O123" s="120">
        <f>IF($A123="","",COUNTA($A$5:$A123))</f>
        <v>119</v>
      </c>
      <c r="P123" s="118">
        <f>IF($K123="","",MAX($K$5:K123))</f>
        <v>2382.56</v>
      </c>
      <c r="Q123" s="117">
        <f>IF($K123="","",K123-P123)</f>
        <v>-51.879999999999654</v>
      </c>
      <c r="R123" s="118"/>
      <c r="S123" s="2">
        <f>IF(OR($A123="",$F123=""),"",IF($I123="Pendiente","",ROUND($G123*($F123*0.609-1),2)))</f>
        <v>-2.83</v>
      </c>
      <c r="T123" s="2">
        <f>IF($A123="","",IFERROR(SUM($S$5:S123),0))</f>
        <v>159.07</v>
      </c>
    </row>
    <row r="124" spans="1:20" ht="22.5" customHeight="1">
      <c r="A124" s="110">
        <v>46200</v>
      </c>
      <c r="B124" s="129" t="s">
        <v>31</v>
      </c>
      <c r="C124" s="133" t="s">
        <v>285</v>
      </c>
      <c r="D124" s="113" t="s">
        <v>67</v>
      </c>
      <c r="E124" s="138" t="s">
        <v>286</v>
      </c>
      <c r="F124" s="115">
        <v>1.5</v>
      </c>
      <c r="G124" s="116">
        <v>23</v>
      </c>
      <c r="H124" s="120" t="s">
        <v>69</v>
      </c>
      <c r="I124" s="120" t="s">
        <v>70</v>
      </c>
      <c r="J124" s="117">
        <f>IF($A124="","",IF($I124="Ganada",ROUND($G124*($F124-1),2),IF($I124="Medio Ganada",ROUND($G124/2*($F124-1),2),IF($I124="Perdida",IF($H124="Free Bet",0,-$G124),IF($I124="Medio Perdida",IF($H124="Free Bet",0,-$G124/2),IF($I124="Reembolso",IF($R124="","",ROUND($R124-$G124,2)),IF($I124="Anulada",0,"")))))))</f>
        <v>11.5</v>
      </c>
      <c r="K124" s="118">
        <f>IF(J124="","",2000+SUM(J$5:J124))</f>
        <v>2342.1800000000003</v>
      </c>
      <c r="L124" s="119">
        <f>IF(OR($I124="Ganada",$I124="Perdida",$I124="Medio Ganada",$I124="Medio Perdida"),IF($G124=0,"",J124/$G124),"")</f>
        <v>0.5</v>
      </c>
      <c r="M124" s="120">
        <f>IF(OR($A124="",$B124=""),"",COUNTIFS($A$5:A124,A124,$B$5:B124,B124))</f>
        <v>2</v>
      </c>
      <c r="N124" s="120">
        <f>IF($A124="","",COUNTA($A$5:$A124))</f>
        <v>120</v>
      </c>
      <c r="O124" s="120">
        <f>IF($A124="","",COUNTA($A$5:$A124))</f>
        <v>120</v>
      </c>
      <c r="P124" s="118">
        <f>IF($K124="","",MAX($K$5:K124))</f>
        <v>2382.56</v>
      </c>
      <c r="Q124" s="117">
        <f>IF($K124="","",K124-P124)</f>
        <v>-40.379999999999654</v>
      </c>
      <c r="R124" s="118"/>
      <c r="S124" s="2">
        <f>IF(OR($A124="",$F124=""),"",IF($I124="Pendiente","",ROUND($G124*($F124*0.609-1),2)))</f>
        <v>-1.99</v>
      </c>
      <c r="T124" s="2">
        <f>IF($A124="","",IFERROR(SUM($S$5:S124),0))</f>
        <v>157.07999999999998</v>
      </c>
    </row>
    <row r="125" spans="1:20" ht="22.5" customHeight="1">
      <c r="A125" s="110">
        <v>46200</v>
      </c>
      <c r="B125" s="150" t="s">
        <v>33</v>
      </c>
      <c r="C125" s="133" t="s">
        <v>287</v>
      </c>
      <c r="D125" s="113" t="s">
        <v>67</v>
      </c>
      <c r="E125" s="138" t="s">
        <v>288</v>
      </c>
      <c r="F125" s="115">
        <v>1.6</v>
      </c>
      <c r="G125" s="116">
        <v>23</v>
      </c>
      <c r="H125" s="120" t="s">
        <v>69</v>
      </c>
      <c r="I125" s="120" t="s">
        <v>70</v>
      </c>
      <c r="J125" s="117">
        <f>IF($A125="","",IF($I125="Ganada",ROUND($G125*($F125-1),2),IF($I125="Medio Ganada",ROUND($G125/2*($F125-1),2),IF($I125="Perdida",IF($H125="Free Bet",0,-$G125),IF($I125="Medio Perdida",IF($H125="Free Bet",0,-$G125/2),IF($I125="Reembolso",IF($R125="","",ROUND($R125-$G125,2)),IF($I125="Anulada",0,"")))))))</f>
        <v>13.8</v>
      </c>
      <c r="K125" s="118">
        <f>IF(J125="","",2000+SUM(J$5:J125))</f>
        <v>2355.98</v>
      </c>
      <c r="L125" s="119">
        <f>IF(OR($I125="Ganada",$I125="Perdida",$I125="Medio Ganada",$I125="Medio Perdida"),IF($G125=0,"",J125/$G125),"")</f>
        <v>0.6</v>
      </c>
      <c r="M125" s="120">
        <f>IF(OR($A125="",$B125=""),"",COUNTIFS($A$5:A125,A125,$B$5:B125,B125))</f>
        <v>4</v>
      </c>
      <c r="N125" s="120">
        <f>IF($A125="","",COUNTA($A$5:$A125))</f>
        <v>121</v>
      </c>
      <c r="O125" s="120">
        <f>IF($A125="","",COUNTA($A$5:$A125))</f>
        <v>121</v>
      </c>
      <c r="P125" s="118">
        <f>IF($K125="","",MAX($K$5:K125))</f>
        <v>2382.56</v>
      </c>
      <c r="Q125" s="117">
        <f>IF($K125="","",K125-P125)</f>
        <v>-26.579999999999927</v>
      </c>
      <c r="R125" s="118"/>
      <c r="S125" s="2">
        <f>IF(OR($A125="",$F125=""),"",IF($I125="Pendiente","",ROUND($G125*($F125*0.609-1),2)))</f>
        <v>-0.59</v>
      </c>
      <c r="T125" s="2">
        <f>IF($A125="","",IFERROR(SUM($S$5:S125),0))</f>
        <v>156.48999999999998</v>
      </c>
    </row>
    <row r="126" spans="1:20" ht="22.5" customHeight="1">
      <c r="A126" s="110">
        <v>46200</v>
      </c>
      <c r="B126" s="111" t="s">
        <v>30</v>
      </c>
      <c r="C126" s="136" t="s">
        <v>287</v>
      </c>
      <c r="D126" s="113" t="s">
        <v>67</v>
      </c>
      <c r="E126" s="138" t="s">
        <v>289</v>
      </c>
      <c r="F126" s="115">
        <v>1.92</v>
      </c>
      <c r="G126" s="116">
        <v>17</v>
      </c>
      <c r="H126" s="120" t="s">
        <v>69</v>
      </c>
      <c r="I126" s="120" t="s">
        <v>70</v>
      </c>
      <c r="J126" s="117">
        <f>IF($A126="","",IF($I126="Ganada",ROUND($G126*($F126-1),2),IF($I126="Medio Ganada",ROUND($G126/2*($F126-1),2),IF($I126="Perdida",IF($H126="Free Bet",0,-$G126),IF($I126="Medio Perdida",IF($H126="Free Bet",0,-$G126/2),IF($I126="Reembolso",IF($R126="","",ROUND($R126-$G126,2)),IF($I126="Anulada",0,"")))))))</f>
        <v>15.64</v>
      </c>
      <c r="K126" s="118">
        <f>IF(J126="","",2000+SUM(J$5:J126))</f>
        <v>2371.62</v>
      </c>
      <c r="L126" s="119">
        <f>IF(OR($I126="Ganada",$I126="Perdida",$I126="Medio Ganada",$I126="Medio Perdida"),IF($G126=0,"",J126/$G126),"")</f>
        <v>0.92</v>
      </c>
      <c r="M126" s="120">
        <f>IF(OR($A126="",$B126=""),"",COUNTIFS($A$5:A126,A126,$B$5:B126,B126))</f>
        <v>4</v>
      </c>
      <c r="N126" s="120">
        <f>IF($A126="","",COUNTA($A$5:$A126))</f>
        <v>122</v>
      </c>
      <c r="O126" s="120">
        <f>IF($A126="","",COUNTA($A$5:$A126))</f>
        <v>122</v>
      </c>
      <c r="P126" s="118">
        <f>IF($K126="","",MAX($K$5:K126))</f>
        <v>2382.56</v>
      </c>
      <c r="Q126" s="117">
        <f>IF($K126="","",K126-P126)</f>
        <v>-10.940000000000055</v>
      </c>
      <c r="R126" s="118"/>
      <c r="S126" s="2">
        <f>IF(OR($A126="",$F126=""),"",IF($I126="Pendiente","",ROUND($G126*($F126*0.609-1),2)))</f>
        <v>2.88</v>
      </c>
      <c r="T126" s="2">
        <f>IF($A126="","",IFERROR(SUM($S$5:S126),0))</f>
        <v>159.36999999999998</v>
      </c>
    </row>
    <row r="127" spans="1:20" ht="15" customHeight="1">
      <c r="A127" s="110">
        <v>46200</v>
      </c>
      <c r="B127" s="150" t="s">
        <v>33</v>
      </c>
      <c r="C127" s="133" t="s">
        <v>290</v>
      </c>
      <c r="D127" s="113" t="s">
        <v>67</v>
      </c>
      <c r="E127" s="128" t="s">
        <v>104</v>
      </c>
      <c r="F127" s="115">
        <v>3</v>
      </c>
      <c r="G127" s="116">
        <v>5</v>
      </c>
      <c r="H127" s="120" t="s">
        <v>270</v>
      </c>
      <c r="I127" s="120" t="s">
        <v>75</v>
      </c>
      <c r="J127" s="117">
        <f>IF($A127="","",IF($I127="Ganada",ROUND($G127*($F127-1),2),IF($I127="Medio Ganada",ROUND($G127/2*($F127-1),2),IF($I127="Perdida",IF($H127="Free Bet",0,-$G127),IF($I127="Medio Perdida",IF($H127="Free Bet",0,-$G127/2),IF($I127="Reembolso",IF($R127="","",ROUND($R127-$G127,2)),IF($I127="Anulada",0,"")))))))</f>
        <v>0</v>
      </c>
      <c r="K127" s="118">
        <f>IF(J127="","",2000+SUM(J$5:J127))</f>
        <v>2371.62</v>
      </c>
      <c r="L127" s="119">
        <f>IF(OR($I127="Ganada",$I127="Perdida",$I127="Medio Ganada",$I127="Medio Perdida"),IF($G127=0,"",J127/$G127),"")</f>
        <v>0</v>
      </c>
      <c r="M127" s="120">
        <f>IF(OR($A127="",$B127=""),"",COUNTIFS($A$5:A127,A127,$B$5:B127,B127))</f>
        <v>5</v>
      </c>
      <c r="N127" s="120">
        <f>IF($A127="","",COUNTA($A$5:$A127))</f>
        <v>123</v>
      </c>
      <c r="O127" s="120">
        <f>IF($A127="","",COUNTA($A$5:$A127))</f>
        <v>123</v>
      </c>
      <c r="P127" s="118">
        <f>IF($K127="","",MAX($K$5:K127))</f>
        <v>2382.56</v>
      </c>
      <c r="Q127" s="117">
        <f>IF($K127="","",K127-P127)</f>
        <v>-10.940000000000055</v>
      </c>
      <c r="R127" s="118"/>
      <c r="S127" s="2">
        <f>IF(OR($A127="",$F127=""),"",IF($I127="Pendiente","",ROUND($G127*($F127*0.609-1),2)))</f>
        <v>4.1399999999999997</v>
      </c>
      <c r="T127" s="2">
        <f>IF($A127="","",IFERROR(SUM($S$5:S127),0))</f>
        <v>163.50999999999996</v>
      </c>
    </row>
    <row r="128" spans="1:20" ht="21.75" customHeight="1">
      <c r="A128" s="110">
        <v>46200</v>
      </c>
      <c r="B128" s="111" t="s">
        <v>30</v>
      </c>
      <c r="C128" s="140" t="s">
        <v>291</v>
      </c>
      <c r="D128" s="113" t="s">
        <v>95</v>
      </c>
      <c r="E128" s="137" t="s">
        <v>292</v>
      </c>
      <c r="F128" s="115">
        <v>1.82</v>
      </c>
      <c r="G128" s="116">
        <v>23</v>
      </c>
      <c r="H128" s="120" t="s">
        <v>69</v>
      </c>
      <c r="I128" s="120" t="s">
        <v>70</v>
      </c>
      <c r="J128" s="117">
        <f>IF($A128="","",IF($I128="Ganada",ROUND($G128*($F128-1),2),IF($I128="Medio Ganada",ROUND($G128/2*($F128-1),2),IF($I128="Perdida",IF($H128="Free Bet",0,-$G128),IF($I128="Medio Perdida",IF($H128="Free Bet",0,-$G128/2),IF($I128="Reembolso",IF($R128="","",ROUND($R128-$G128,2)),IF($I128="Anulada",0,"")))))))</f>
        <v>18.86</v>
      </c>
      <c r="K128" s="118">
        <f>IF(J128="","",2000+SUM(J$5:J128))</f>
        <v>2390.48</v>
      </c>
      <c r="L128" s="119">
        <f>IF(OR($I128="Ganada",$I128="Perdida",$I128="Medio Ganada",$I128="Medio Perdida"),IF($G128=0,"",J128/$G128),"")</f>
        <v>0.82</v>
      </c>
      <c r="M128" s="120">
        <f>IF(OR($A128="",$B128=""),"",COUNTIFS($A$5:A128,A128,$B$5:B128,B128))</f>
        <v>5</v>
      </c>
      <c r="N128" s="120">
        <f>IF($A128="","",COUNTA($A$5:$A128))</f>
        <v>124</v>
      </c>
      <c r="O128" s="120">
        <f>IF($A128="","",COUNTA($A$5:$A128))</f>
        <v>124</v>
      </c>
      <c r="P128" s="118">
        <f>IF($K128="","",MAX($K$5:K128))</f>
        <v>2390.48</v>
      </c>
      <c r="Q128" s="117">
        <f>IF($K128="","",K128-P128)</f>
        <v>0</v>
      </c>
      <c r="R128" s="118"/>
      <c r="S128" s="2">
        <f>IF(OR($A128="",$F128=""),"",IF($I128="Pendiente","",ROUND($G128*($F128*0.609-1),2)))</f>
        <v>2.4900000000000002</v>
      </c>
      <c r="T128" s="2">
        <f>IF($A128="","",IFERROR(SUM($S$5:S128),0))</f>
        <v>165.99999999999997</v>
      </c>
    </row>
    <row r="129" spans="1:20" ht="15" customHeight="1">
      <c r="A129" s="110">
        <v>46200</v>
      </c>
      <c r="B129" s="111" t="s">
        <v>30</v>
      </c>
      <c r="C129" s="133" t="s">
        <v>293</v>
      </c>
      <c r="D129" s="113" t="s">
        <v>67</v>
      </c>
      <c r="E129" s="138" t="s">
        <v>244</v>
      </c>
      <c r="F129" s="115">
        <v>1.73</v>
      </c>
      <c r="G129" s="116">
        <v>21</v>
      </c>
      <c r="H129" s="120" t="s">
        <v>69</v>
      </c>
      <c r="I129" s="120" t="s">
        <v>75</v>
      </c>
      <c r="J129" s="117">
        <f>IF($A129="","",IF($I129="Ganada",ROUND($G129*($F129-1),2),IF($I129="Medio Ganada",ROUND($G129/2*($F129-1),2),IF($I129="Perdida",IF($H129="Free Bet",0,-$G129),IF($I129="Medio Perdida",IF($H129="Free Bet",0,-$G129/2),IF($I129="Reembolso",IF($R129="","",ROUND($R129-$G129,2)),IF($I129="Anulada",0,"")))))))</f>
        <v>-21</v>
      </c>
      <c r="K129" s="118">
        <f>IF(J129="","",2000+SUM(J$5:J129))</f>
        <v>2369.48</v>
      </c>
      <c r="L129" s="119">
        <f>IF(OR($I129="Ganada",$I129="Perdida",$I129="Medio Ganada",$I129="Medio Perdida"),IF($G129=0,"",J129/$G129),"")</f>
        <v>-1</v>
      </c>
      <c r="M129" s="120">
        <f>IF(OR($A129="",$B129=""),"",COUNTIFS($A$5:A129,A129,$B$5:B129,B129))</f>
        <v>6</v>
      </c>
      <c r="N129" s="120">
        <f>IF($A129="","",COUNTA($A$5:$A129))</f>
        <v>125</v>
      </c>
      <c r="O129" s="120">
        <f>IF($A129="","",COUNTA($A$5:$A129))</f>
        <v>125</v>
      </c>
      <c r="P129" s="118">
        <f>IF($K129="","",MAX($K$5:K129))</f>
        <v>2390.48</v>
      </c>
      <c r="Q129" s="117">
        <f>IF($K129="","",K129-P129)</f>
        <v>-21</v>
      </c>
      <c r="R129" s="118"/>
      <c r="S129" s="2">
        <f>IF(OR($A129="",$F129=""),"",IF($I129="Pendiente","",ROUND($G129*($F129*0.609-1),2)))</f>
        <v>1.1200000000000001</v>
      </c>
      <c r="T129" s="2">
        <f>IF($A129="","",IFERROR(SUM($S$5:S129),0))</f>
        <v>167.11999999999998</v>
      </c>
    </row>
    <row r="130" spans="1:20" ht="15" customHeight="1">
      <c r="A130" s="110">
        <v>46200</v>
      </c>
      <c r="B130" s="111" t="s">
        <v>30</v>
      </c>
      <c r="C130" s="133" t="s">
        <v>294</v>
      </c>
      <c r="D130" s="113" t="s">
        <v>76</v>
      </c>
      <c r="E130" s="137" t="s">
        <v>186</v>
      </c>
      <c r="F130" s="115">
        <v>1.49</v>
      </c>
      <c r="G130" s="116">
        <v>23</v>
      </c>
      <c r="H130" s="120" t="s">
        <v>69</v>
      </c>
      <c r="I130" s="120" t="s">
        <v>70</v>
      </c>
      <c r="J130" s="117">
        <f>IF($A130="","",IF($I130="Ganada",ROUND($G130*($F130-1),2),IF($I130="Medio Ganada",ROUND($G130/2*($F130-1),2),IF($I130="Perdida",IF($H130="Free Bet",0,-$G130),IF($I130="Medio Perdida",IF($H130="Free Bet",0,-$G130/2),IF($I130="Reembolso",IF($R130="","",ROUND($R130-$G130,2)),IF($I130="Anulada",0,"")))))))</f>
        <v>11.27</v>
      </c>
      <c r="K130" s="118">
        <f>IF(J130="","",2000+SUM(J$5:J130))</f>
        <v>2380.75</v>
      </c>
      <c r="L130" s="119">
        <f>IF(OR($I130="Ganada",$I130="Perdida",$I130="Medio Ganada",$I130="Medio Perdida"),IF($G130=0,"",J130/$G130),"")</f>
        <v>0.49</v>
      </c>
      <c r="M130" s="120">
        <f>IF(OR($A130="",$B130=""),"",COUNTIFS($A$5:A130,A130,$B$5:B130,B130))</f>
        <v>7</v>
      </c>
      <c r="N130" s="120">
        <f>IF($A130="","",COUNTA($A$5:$A130))</f>
        <v>126</v>
      </c>
      <c r="O130" s="120">
        <f>IF($A130="","",COUNTA($A$5:$A130))</f>
        <v>126</v>
      </c>
      <c r="P130" s="118">
        <f>IF($K130="","",MAX($K$5:K130))</f>
        <v>2390.48</v>
      </c>
      <c r="Q130" s="117">
        <f>IF($K130="","",K130-P130)</f>
        <v>-9.7300000000000182</v>
      </c>
      <c r="R130" s="118"/>
      <c r="S130" s="2">
        <f>IF(OR($A130="",$F130=""),"",IF($I130="Pendiente","",ROUND($G130*($F130*0.609-1),2)))</f>
        <v>-2.13</v>
      </c>
      <c r="T130" s="2">
        <f>IF($A130="","",IFERROR(SUM($S$5:S130),0))</f>
        <v>164.98999999999998</v>
      </c>
    </row>
    <row r="131" spans="1:20" ht="22.5" customHeight="1">
      <c r="A131" s="110">
        <v>46200</v>
      </c>
      <c r="B131" s="111" t="s">
        <v>30</v>
      </c>
      <c r="C131" s="136" t="s">
        <v>295</v>
      </c>
      <c r="D131" s="113" t="s">
        <v>76</v>
      </c>
      <c r="E131" s="137">
        <v>1</v>
      </c>
      <c r="F131" s="115">
        <v>1.84</v>
      </c>
      <c r="G131" s="116">
        <v>19</v>
      </c>
      <c r="H131" s="120" t="s">
        <v>69</v>
      </c>
      <c r="I131" s="120" t="s">
        <v>70</v>
      </c>
      <c r="J131" s="117">
        <f>IF($A131="","",IF($I131="Ganada",ROUND($G131*($F131-1),2),IF($I131="Medio Ganada",ROUND($G131/2*($F131-1),2),IF($I131="Perdida",IF($H131="Free Bet",0,-$G131),IF($I131="Medio Perdida",IF($H131="Free Bet",0,-$G131/2),IF($I131="Reembolso",IF($R131="","",ROUND($R131-$G131,2)),IF($I131="Anulada",0,"")))))))</f>
        <v>15.96</v>
      </c>
      <c r="K131" s="118">
        <f>IF(J131="","",2000+SUM(J$5:J131))</f>
        <v>2396.71</v>
      </c>
      <c r="L131" s="119">
        <f>IF(OR($I131="Ganada",$I131="Perdida",$I131="Medio Ganada",$I131="Medio Perdida"),IF($G131=0,"",J131/$G131),"")</f>
        <v>0.84000000000000008</v>
      </c>
      <c r="M131" s="120">
        <f>IF(OR($A131="",$B131=""),"",COUNTIFS($A$5:A131,A131,$B$5:B131,B131))</f>
        <v>8</v>
      </c>
      <c r="N131" s="120">
        <f>IF($A131="","",COUNTA($A$5:$A131))</f>
        <v>127</v>
      </c>
      <c r="O131" s="120">
        <f>IF($A131="","",COUNTA($A$5:$A131))</f>
        <v>127</v>
      </c>
      <c r="P131" s="118">
        <f>IF($K131="","",MAX($K$5:K131))</f>
        <v>2396.71</v>
      </c>
      <c r="Q131" s="117">
        <f>IF($K131="","",K131-P131)</f>
        <v>0</v>
      </c>
      <c r="R131" s="118"/>
      <c r="S131" s="2">
        <f>IF(OR($A131="",$F131=""),"",IF($I131="Pendiente","",ROUND($G131*($F131*0.609-1),2)))</f>
        <v>2.29</v>
      </c>
      <c r="T131" s="2">
        <f>IF($A131="","",IFERROR(SUM($S$5:S131),0))</f>
        <v>167.27999999999997</v>
      </c>
    </row>
    <row r="132" spans="1:20" ht="15" customHeight="1">
      <c r="A132" s="110">
        <v>46200</v>
      </c>
      <c r="B132" s="111" t="s">
        <v>30</v>
      </c>
      <c r="C132" s="133" t="s">
        <v>293</v>
      </c>
      <c r="D132" s="113" t="s">
        <v>76</v>
      </c>
      <c r="E132" s="137">
        <v>1</v>
      </c>
      <c r="F132" s="115">
        <v>1.4</v>
      </c>
      <c r="G132" s="116">
        <v>28</v>
      </c>
      <c r="H132" s="120" t="s">
        <v>69</v>
      </c>
      <c r="I132" s="120" t="s">
        <v>75</v>
      </c>
      <c r="J132" s="117">
        <f>IF($A132="","",IF($I132="Ganada",ROUND($G132*($F132-1),2),IF($I132="Medio Ganada",ROUND($G132/2*($F132-1),2),IF($I132="Perdida",IF($H132="Free Bet",0,-$G132),IF($I132="Medio Perdida",IF($H132="Free Bet",0,-$G132/2),IF($I132="Reembolso",IF($R132="","",ROUND($R132-$G132,2)),IF($I132="Anulada",0,"")))))))</f>
        <v>-28</v>
      </c>
      <c r="K132" s="118">
        <f>IF(J132="","",2000+SUM(J$5:J132))</f>
        <v>2368.71</v>
      </c>
      <c r="L132" s="119">
        <f>IF(OR($I132="Ganada",$I132="Perdida",$I132="Medio Ganada",$I132="Medio Perdida"),IF($G132=0,"",J132/$G132),"")</f>
        <v>-1</v>
      </c>
      <c r="M132" s="120">
        <f>IF(OR($A132="",$B132=""),"",COUNTIFS($A$5:A132,A132,$B$5:B132,B132))</f>
        <v>9</v>
      </c>
      <c r="N132" s="120">
        <f>IF($A132="","",COUNTA($A$5:$A132))</f>
        <v>128</v>
      </c>
      <c r="O132" s="120">
        <f>IF($A132="","",COUNTA($A$5:$A132))</f>
        <v>128</v>
      </c>
      <c r="P132" s="118">
        <f>IF($K132="","",MAX($K$5:K132))</f>
        <v>2396.71</v>
      </c>
      <c r="Q132" s="117">
        <f>IF($K132="","",K132-P132)</f>
        <v>-28</v>
      </c>
      <c r="R132" s="118"/>
      <c r="S132" s="2">
        <f>IF(OR($A132="",$F132=""),"",IF($I132="Pendiente","",ROUND($G132*($F132*0.609-1),2)))</f>
        <v>-4.13</v>
      </c>
      <c r="T132" s="2">
        <f>IF($A132="","",IFERROR(SUM($S$5:S132),0))</f>
        <v>163.14999999999998</v>
      </c>
    </row>
    <row r="133" spans="1:20" ht="32.25" customHeight="1">
      <c r="A133" s="110">
        <v>46200</v>
      </c>
      <c r="B133" s="111" t="s">
        <v>30</v>
      </c>
      <c r="C133" s="133" t="s">
        <v>296</v>
      </c>
      <c r="D133" s="113" t="s">
        <v>67</v>
      </c>
      <c r="E133" s="138" t="s">
        <v>297</v>
      </c>
      <c r="F133" s="115">
        <v>1.58</v>
      </c>
      <c r="G133" s="116">
        <v>23</v>
      </c>
      <c r="H133" s="120" t="s">
        <v>69</v>
      </c>
      <c r="I133" s="120" t="s">
        <v>70</v>
      </c>
      <c r="J133" s="117">
        <f>IF($A133="","",IF($I133="Ganada",ROUND($G133*($F133-1),2),IF($I133="Medio Ganada",ROUND($G133/2*($F133-1),2),IF($I133="Perdida",IF($H133="Free Bet",0,-$G133),IF($I133="Medio Perdida",IF($H133="Free Bet",0,-$G133/2),IF($I133="Reembolso",IF($R133="","",ROUND($R133-$G133,2)),IF($I133="Anulada",0,"")))))))</f>
        <v>13.34</v>
      </c>
      <c r="K133" s="118">
        <f>IF(J133="","",2000+SUM(J$5:J133))</f>
        <v>2382.0500000000002</v>
      </c>
      <c r="L133" s="119">
        <f>IF(OR($I133="Ganada",$I133="Perdida",$I133="Medio Ganada",$I133="Medio Perdida"),IF($G133=0,"",J133/$G133),"")</f>
        <v>0.57999999999999996</v>
      </c>
      <c r="M133" s="120">
        <f>IF(OR($A133="",$B133=""),"",COUNTIFS($A$5:A133,A133,$B$5:B133,B133))</f>
        <v>10</v>
      </c>
      <c r="N133" s="120">
        <f>IF($A133="","",COUNTA($A$5:$A133))</f>
        <v>129</v>
      </c>
      <c r="O133" s="120">
        <f>IF($A133="","",COUNTA($A$5:$A133))</f>
        <v>129</v>
      </c>
      <c r="P133" s="118">
        <f>IF($K133="","",MAX($K$5:K133))</f>
        <v>2396.71</v>
      </c>
      <c r="Q133" s="117">
        <f>IF($K133="","",K133-P133)</f>
        <v>-14.659999999999854</v>
      </c>
      <c r="R133" s="118"/>
      <c r="S133" s="2">
        <f>IF(OR($A133="",$F133=""),"",IF($I133="Pendiente","",ROUND($G133*($F133*0.609-1),2)))</f>
        <v>-0.87</v>
      </c>
      <c r="T133" s="2">
        <f>IF($A133="","",IFERROR(SUM($S$5:S133),0))</f>
        <v>162.27999999999997</v>
      </c>
    </row>
    <row r="134" spans="1:20" ht="15" customHeight="1">
      <c r="A134" s="110">
        <v>46200</v>
      </c>
      <c r="B134" s="124" t="s">
        <v>28</v>
      </c>
      <c r="C134" s="133" t="s">
        <v>298</v>
      </c>
      <c r="D134" s="113" t="s">
        <v>76</v>
      </c>
      <c r="E134" s="137">
        <v>2</v>
      </c>
      <c r="F134" s="115">
        <v>1.17</v>
      </c>
      <c r="G134" s="116">
        <v>34</v>
      </c>
      <c r="H134" s="120" t="s">
        <v>69</v>
      </c>
      <c r="I134" s="120" t="s">
        <v>70</v>
      </c>
      <c r="J134" s="117">
        <f>IF($A134="","",IF($I134="Ganada",ROUND($G134*($F134-1),2),IF($I134="Medio Ganada",ROUND($G134/2*($F134-1),2),IF($I134="Perdida",IF($H134="Free Bet",0,-$G134),IF($I134="Medio Perdida",IF($H134="Free Bet",0,-$G134/2),IF($I134="Reembolso",IF($R134="","",ROUND($R134-$G134,2)),IF($I134="Anulada",0,"")))))))</f>
        <v>5.78</v>
      </c>
      <c r="K134" s="118">
        <f>IF(J134="","",2000+SUM(J$5:J134))</f>
        <v>2387.83</v>
      </c>
      <c r="L134" s="119">
        <f>IF(OR($I134="Ganada",$I134="Perdida",$I134="Medio Ganada",$I134="Medio Perdida"),IF($G134=0,"",J134/$G134),"")</f>
        <v>0.17</v>
      </c>
      <c r="M134" s="120">
        <f>IF(OR($A134="",$B134=""),"",COUNTIFS($A$5:A134,A134,$B$5:B134,B134))</f>
        <v>1</v>
      </c>
      <c r="N134" s="120">
        <f>IF($A134="","",COUNTA($A$5:$A134))</f>
        <v>130</v>
      </c>
      <c r="O134" s="120">
        <f>IF($A134="","",COUNTA($A$5:$A134))</f>
        <v>130</v>
      </c>
      <c r="P134" s="118">
        <f>IF($K134="","",MAX($K$5:K134))</f>
        <v>2396.71</v>
      </c>
      <c r="Q134" s="117">
        <f>IF($K134="","",K134-P134)</f>
        <v>-8.8800000000001091</v>
      </c>
      <c r="R134" s="118"/>
      <c r="S134" s="2">
        <f>IF(OR($A134="",$F134=""),"",IF($I134="Pendiente","",ROUND($G134*($F134*0.609-1),2)))</f>
        <v>-9.77</v>
      </c>
      <c r="T134" s="2">
        <f>IF($A134="","",IFERROR(SUM($S$5:S134),0))</f>
        <v>152.50999999999996</v>
      </c>
    </row>
    <row r="135" spans="1:20" ht="15" customHeight="1">
      <c r="A135" s="110">
        <v>46201</v>
      </c>
      <c r="B135" s="129" t="s">
        <v>31</v>
      </c>
      <c r="C135" s="133" t="s">
        <v>299</v>
      </c>
      <c r="D135" s="113" t="s">
        <v>95</v>
      </c>
      <c r="E135" s="138" t="s">
        <v>300</v>
      </c>
      <c r="F135" s="115">
        <v>1.91</v>
      </c>
      <c r="G135" s="116">
        <v>17</v>
      </c>
      <c r="H135" s="120" t="s">
        <v>69</v>
      </c>
      <c r="I135" s="120" t="s">
        <v>70</v>
      </c>
      <c r="J135" s="117">
        <f>IF($A135="","",IF($I135="Ganada",ROUND($G135*($F135-1),2),IF($I135="Medio Ganada",ROUND($G135/2*($F135-1),2),IF($I135="Perdida",IF($H135="Free Bet",0,-$G135),IF($I135="Medio Perdida",IF($H135="Free Bet",0,-$G135/2),IF($I135="Reembolso",IF($R135="","",ROUND($R135-$G135,2)),IF($I135="Anulada",0,"")))))))</f>
        <v>15.47</v>
      </c>
      <c r="K135" s="118">
        <f>IF(J135="","",2000+SUM(J$5:J135))</f>
        <v>2403.3000000000002</v>
      </c>
      <c r="L135" s="119">
        <f>IF(OR($I135="Ganada",$I135="Perdida",$I135="Medio Ganada",$I135="Medio Perdida"),IF($G135=0,"",J135/$G135),"")</f>
        <v>0.91</v>
      </c>
      <c r="M135" s="120">
        <f>IF(OR($A135="",$B135=""),"",COUNTIFS($A$5:A135,A135,$B$5:B135,B135))</f>
        <v>1</v>
      </c>
      <c r="N135" s="120">
        <f>IF($A135="","",COUNTA($A$5:$A135))</f>
        <v>131</v>
      </c>
      <c r="O135" s="120">
        <f>IF($A135="","",COUNTA($A$5:$A135))</f>
        <v>131</v>
      </c>
      <c r="P135" s="118">
        <f>IF($K135="","",MAX($K$5:K135))</f>
        <v>2403.3000000000002</v>
      </c>
      <c r="Q135" s="117">
        <f>IF($K135="","",K135-P135)</f>
        <v>0</v>
      </c>
      <c r="R135" s="118"/>
      <c r="S135" s="2">
        <f>IF(OR($A135="",$F135=""),"",IF($I135="Pendiente","",ROUND($G135*($F135*0.609-1),2)))</f>
        <v>2.77</v>
      </c>
      <c r="T135" s="2">
        <f>IF($A135="","",IFERROR(SUM($S$5:S135),0))</f>
        <v>155.27999999999997</v>
      </c>
    </row>
    <row r="136" spans="1:20" ht="24.75" customHeight="1">
      <c r="A136" s="110">
        <v>46201</v>
      </c>
      <c r="B136" s="124" t="s">
        <v>28</v>
      </c>
      <c r="C136" s="133" t="s">
        <v>301</v>
      </c>
      <c r="D136" s="113" t="s">
        <v>67</v>
      </c>
      <c r="E136" s="151" t="s">
        <v>302</v>
      </c>
      <c r="F136" s="115">
        <v>1.82</v>
      </c>
      <c r="G136" s="116">
        <v>17</v>
      </c>
      <c r="H136" s="120" t="s">
        <v>69</v>
      </c>
      <c r="I136" s="120" t="s">
        <v>75</v>
      </c>
      <c r="J136" s="117">
        <f>IF($A136="","",IF($I136="Ganada",ROUND($G136*($F136-1),2),IF($I136="Medio Ganada",ROUND($G136/2*($F136-1),2),IF($I136="Perdida",IF($H136="Free Bet",0,-$G136),IF($I136="Medio Perdida",IF($H136="Free Bet",0,-$G136/2),IF($I136="Reembolso",IF($R136="","",ROUND($R136-$G136,2)),IF($I136="Anulada",0,"")))))))</f>
        <v>-17</v>
      </c>
      <c r="K136" s="118">
        <f>IF(J136="","",2000+SUM(J$5:J136))</f>
        <v>2386.3000000000002</v>
      </c>
      <c r="L136" s="119">
        <f>IF(OR($I136="Ganada",$I136="Perdida",$I136="Medio Ganada",$I136="Medio Perdida"),IF($G136=0,"",J136/$G136),"")</f>
        <v>-1</v>
      </c>
      <c r="M136" s="120">
        <f>IF(OR($A136="",$B136=""),"",COUNTIFS($A$5:A136,A136,$B$5:B136,B136))</f>
        <v>1</v>
      </c>
      <c r="N136" s="120">
        <f>IF($A136="","",COUNTA($A$5:$A136))</f>
        <v>132</v>
      </c>
      <c r="O136" s="120">
        <f>IF($A136="","",COUNTA($A$5:$A136))</f>
        <v>132</v>
      </c>
      <c r="P136" s="118">
        <f>IF($K136="","",MAX($K$5:K136))</f>
        <v>2403.3000000000002</v>
      </c>
      <c r="Q136" s="117">
        <f>IF($K136="","",K136-P136)</f>
        <v>-17</v>
      </c>
      <c r="R136" s="118"/>
      <c r="S136" s="2">
        <f>IF(OR($A136="",$F136=""),"",IF($I136="Pendiente","",ROUND($G136*($F136*0.609-1),2)))</f>
        <v>1.84</v>
      </c>
      <c r="T136" s="2">
        <f>IF($A136="","",IFERROR(SUM($S$5:S136),0))</f>
        <v>157.11999999999998</v>
      </c>
    </row>
    <row r="137" spans="1:20" ht="24.75" customHeight="1">
      <c r="A137" s="110">
        <v>46201</v>
      </c>
      <c r="B137" s="129" t="s">
        <v>31</v>
      </c>
      <c r="C137" s="140" t="s">
        <v>303</v>
      </c>
      <c r="D137" s="113" t="s">
        <v>95</v>
      </c>
      <c r="E137" s="138" t="s">
        <v>304</v>
      </c>
      <c r="F137" s="115">
        <v>1.83</v>
      </c>
      <c r="G137" s="116">
        <v>17</v>
      </c>
      <c r="H137" s="120" t="s">
        <v>69</v>
      </c>
      <c r="I137" s="120" t="s">
        <v>70</v>
      </c>
      <c r="J137" s="117">
        <f>IF($A137="","",IF($I137="Ganada",ROUND($G137*($F137-1),2),IF($I137="Medio Ganada",ROUND($G137/2*($F137-1),2),IF($I137="Perdida",IF($H137="Free Bet",0,-$G137),IF($I137="Medio Perdida",IF($H137="Free Bet",0,-$G137/2),IF($I137="Reembolso",IF($R137="","",ROUND($R137-$G137,2)),IF($I137="Anulada",0,"")))))))</f>
        <v>14.11</v>
      </c>
      <c r="K137" s="118">
        <f>IF(J137="","",2000+SUM(J$5:J137))</f>
        <v>2400.41</v>
      </c>
      <c r="L137" s="119">
        <f>IF(OR($I137="Ganada",$I137="Perdida",$I137="Medio Ganada",$I137="Medio Perdida"),IF($G137=0,"",J137/$G137),"")</f>
        <v>0.83</v>
      </c>
      <c r="M137" s="120">
        <f>IF(OR($A137="",$B137=""),"",COUNTIFS($A$5:A137,A137,$B$5:B137,B137))</f>
        <v>2</v>
      </c>
      <c r="N137" s="120">
        <f>IF($A137="","",COUNTA($A$5:$A137))</f>
        <v>133</v>
      </c>
      <c r="O137" s="120">
        <f>IF($A137="","",COUNTA($A$5:$A137))</f>
        <v>133</v>
      </c>
      <c r="P137" s="118">
        <f>IF($K137="","",MAX($K$5:K137))</f>
        <v>2403.3000000000002</v>
      </c>
      <c r="Q137" s="117">
        <f>IF($K137="","",K137-P137)</f>
        <v>-2.8900000000003274</v>
      </c>
      <c r="R137" s="118"/>
      <c r="S137" s="2">
        <f>IF(OR($A137="",$F137=""),"",IF($I137="Pendiente","",ROUND($G137*($F137*0.609-1),2)))</f>
        <v>1.95</v>
      </c>
      <c r="T137" s="2">
        <f>IF($A137="","",IFERROR(SUM($S$5:S137),0))</f>
        <v>159.06999999999996</v>
      </c>
    </row>
    <row r="138" spans="1:20" ht="22.5" customHeight="1">
      <c r="A138" s="110">
        <v>46201</v>
      </c>
      <c r="B138" s="148" t="s">
        <v>36</v>
      </c>
      <c r="C138" s="136" t="s">
        <v>305</v>
      </c>
      <c r="D138" s="113" t="s">
        <v>67</v>
      </c>
      <c r="E138" s="138" t="s">
        <v>306</v>
      </c>
      <c r="F138" s="115">
        <v>1.95</v>
      </c>
      <c r="G138" s="116">
        <v>17</v>
      </c>
      <c r="H138" s="120" t="s">
        <v>69</v>
      </c>
      <c r="I138" s="120" t="s">
        <v>75</v>
      </c>
      <c r="J138" s="117">
        <f>IF($A138="","",IF($I138="Ganada",ROUND($G138*($F138-1),2),IF($I138="Medio Ganada",ROUND($G138/2*($F138-1),2),IF($I138="Perdida",IF($H138="Free Bet",0,-$G138),IF($I138="Medio Perdida",IF($H138="Free Bet",0,-$G138/2),IF($I138="Reembolso",IF($R138="","",ROUND($R138-$G138,2)),IF($I138="Anulada",0,"")))))))</f>
        <v>-17</v>
      </c>
      <c r="K138" s="118">
        <f>IF(J138="","",2000+SUM(J$5:J138))</f>
        <v>2383.41</v>
      </c>
      <c r="L138" s="119">
        <f>IF(OR($I138="Ganada",$I138="Perdida",$I138="Medio Ganada",$I138="Medio Perdida"),IF($G138=0,"",J138/$G138),"")</f>
        <v>-1</v>
      </c>
      <c r="M138" s="120">
        <f>IF(OR($A138="",$B138=""),"",COUNTIFS($A$5:A138,A138,$B$5:B138,B138))</f>
        <v>1</v>
      </c>
      <c r="N138" s="120">
        <f>IF($A138="","",COUNTA($A$5:$A138))</f>
        <v>134</v>
      </c>
      <c r="O138" s="120">
        <f>IF($A138="","",COUNTA($A$5:$A138))</f>
        <v>134</v>
      </c>
      <c r="P138" s="118">
        <f>IF($K138="","",MAX($K$5:K138))</f>
        <v>2403.3000000000002</v>
      </c>
      <c r="Q138" s="117">
        <f>IF($K138="","",K138-P138)</f>
        <v>-19.890000000000327</v>
      </c>
      <c r="R138" s="118"/>
      <c r="S138" s="2">
        <f>IF(OR($A138="",$F138=""),"",IF($I138="Pendiente","",ROUND($G138*($F138*0.609-1),2)))</f>
        <v>3.19</v>
      </c>
      <c r="T138" s="2">
        <f>IF($A138="","",IFERROR(SUM($S$5:S138),0))</f>
        <v>162.25999999999996</v>
      </c>
    </row>
    <row r="139" spans="1:20" ht="15" customHeight="1">
      <c r="A139" s="110">
        <v>46201</v>
      </c>
      <c r="B139" s="148" t="s">
        <v>36</v>
      </c>
      <c r="C139" s="133" t="s">
        <v>307</v>
      </c>
      <c r="D139" s="113" t="s">
        <v>250</v>
      </c>
      <c r="E139" s="137" t="s">
        <v>308</v>
      </c>
      <c r="F139" s="115">
        <v>1.6</v>
      </c>
      <c r="G139" s="116">
        <v>24</v>
      </c>
      <c r="H139" s="120" t="s">
        <v>69</v>
      </c>
      <c r="I139" s="120" t="s">
        <v>75</v>
      </c>
      <c r="J139" s="117">
        <f>IF($A139="","",IF($I139="Ganada",ROUND($G139*($F139-1),2),IF($I139="Medio Ganada",ROUND($G139/2*($F139-1),2),IF($I139="Perdida",IF($H139="Free Bet",0,-$G139),IF($I139="Medio Perdida",IF($H139="Free Bet",0,-$G139/2),IF($I139="Reembolso",IF($R139="","",ROUND($R139-$G139,2)),IF($I139="Anulada",0,"")))))))</f>
        <v>-24</v>
      </c>
      <c r="K139" s="118">
        <f>IF(J139="","",2000+SUM(J$5:J139))</f>
        <v>2359.41</v>
      </c>
      <c r="L139" s="119">
        <f>IF(OR($I139="Ganada",$I139="Perdida",$I139="Medio Ganada",$I139="Medio Perdida"),IF($G139=0,"",J139/$G139),"")</f>
        <v>-1</v>
      </c>
      <c r="M139" s="120">
        <f>IF(OR($A139="",$B139=""),"",COUNTIFS($A$5:A139,A139,$B$5:B139,B139))</f>
        <v>2</v>
      </c>
      <c r="N139" s="120">
        <f>IF($A139="","",COUNTA($A$5:$A139))</f>
        <v>135</v>
      </c>
      <c r="O139" s="120">
        <f>IF($A139="","",COUNTA($A$5:$A139))</f>
        <v>135</v>
      </c>
      <c r="P139" s="118">
        <f>IF($K139="","",MAX($K$5:K139))</f>
        <v>2403.3000000000002</v>
      </c>
      <c r="Q139" s="117">
        <f>IF($K139="","",K139-P139)</f>
        <v>-43.890000000000327</v>
      </c>
      <c r="R139" s="118"/>
      <c r="S139" s="2">
        <f>IF(OR($A139="",$F139=""),"",IF($I139="Pendiente","",ROUND($G139*($F139*0.609-1),2)))</f>
        <v>-0.61</v>
      </c>
      <c r="T139" s="2">
        <f>IF($A139="","",IFERROR(SUM($S$5:S139),0))</f>
        <v>161.64999999999995</v>
      </c>
    </row>
    <row r="140" spans="1:20" ht="22.5" customHeight="1">
      <c r="A140" s="110">
        <v>46201</v>
      </c>
      <c r="B140" s="148" t="s">
        <v>36</v>
      </c>
      <c r="C140" s="136" t="s">
        <v>309</v>
      </c>
      <c r="D140" s="113" t="s">
        <v>67</v>
      </c>
      <c r="E140" s="138" t="s">
        <v>310</v>
      </c>
      <c r="F140" s="115">
        <v>1.61</v>
      </c>
      <c r="G140" s="116">
        <v>24</v>
      </c>
      <c r="H140" s="120" t="s">
        <v>69</v>
      </c>
      <c r="I140" s="120" t="s">
        <v>70</v>
      </c>
      <c r="J140" s="117">
        <f>IF($A140="","",IF($I140="Ganada",ROUND($G140*($F140-1),2),IF($I140="Medio Ganada",ROUND($G140/2*($F140-1),2),IF($I140="Perdida",IF($H140="Free Bet",0,-$G140),IF($I140="Medio Perdida",IF($H140="Free Bet",0,-$G140/2),IF($I140="Reembolso",IF($R140="","",ROUND($R140-$G140,2)),IF($I140="Anulada",0,"")))))))</f>
        <v>14.64</v>
      </c>
      <c r="K140" s="118">
        <f>IF(J140="","",2000+SUM(J$5:J140))</f>
        <v>2374.0500000000002</v>
      </c>
      <c r="L140" s="119">
        <f>IF(OR($I140="Ganada",$I140="Perdida",$I140="Medio Ganada",$I140="Medio Perdida"),IF($G140=0,"",J140/$G140),"")</f>
        <v>0.61</v>
      </c>
      <c r="M140" s="120">
        <f>IF(OR($A140="",$B140=""),"",COUNTIFS($A$5:A140,A140,$B$5:B140,B140))</f>
        <v>3</v>
      </c>
      <c r="N140" s="120">
        <f>IF($A140="","",COUNTA($A$5:$A140))</f>
        <v>136</v>
      </c>
      <c r="O140" s="120">
        <f>IF($A140="","",COUNTA($A$5:$A140))</f>
        <v>136</v>
      </c>
      <c r="P140" s="118">
        <f>IF($K140="","",MAX($K$5:K140))</f>
        <v>2403.3000000000002</v>
      </c>
      <c r="Q140" s="117">
        <f>IF($K140="","",K140-P140)</f>
        <v>-29.25</v>
      </c>
      <c r="R140" s="118"/>
      <c r="S140" s="2">
        <f>IF(OR($A140="",$F140=""),"",IF($I140="Pendiente","",ROUND($G140*($F140*0.609-1),2)))</f>
        <v>-0.47</v>
      </c>
      <c r="T140" s="2">
        <f>IF($A140="","",IFERROR(SUM($S$5:S140),0))</f>
        <v>161.17999999999995</v>
      </c>
    </row>
    <row r="141" spans="1:20" ht="15" customHeight="1">
      <c r="A141" s="110">
        <v>46201</v>
      </c>
      <c r="B141" s="124" t="s">
        <v>28</v>
      </c>
      <c r="C141" s="133" t="s">
        <v>311</v>
      </c>
      <c r="D141" s="113" t="s">
        <v>95</v>
      </c>
      <c r="E141" s="137" t="s">
        <v>312</v>
      </c>
      <c r="F141" s="115">
        <v>1.8</v>
      </c>
      <c r="G141" s="116">
        <v>18</v>
      </c>
      <c r="H141" s="120" t="s">
        <v>69</v>
      </c>
      <c r="I141" s="120" t="s">
        <v>75</v>
      </c>
      <c r="J141" s="117">
        <f>IF($A141="","",IF($I141="Ganada",ROUND($G141*($F141-1),2),IF($I141="Medio Ganada",ROUND($G141/2*($F141-1),2),IF($I141="Perdida",IF($H141="Free Bet",0,-$G141),IF($I141="Medio Perdida",IF($H141="Free Bet",0,-$G141/2),IF($I141="Reembolso",IF($R141="","",ROUND($R141-$G141,2)),IF($I141="Anulada",0,"")))))))</f>
        <v>-18</v>
      </c>
      <c r="K141" s="118">
        <f>IF(J141="","",2000+SUM(J$5:J141))</f>
        <v>2356.0500000000002</v>
      </c>
      <c r="L141" s="119">
        <f>IF(OR($I141="Ganada",$I141="Perdida",$I141="Medio Ganada",$I141="Medio Perdida"),IF($G141=0,"",J141/$G141),"")</f>
        <v>-1</v>
      </c>
      <c r="M141" s="120">
        <f>IF(OR($A141="",$B141=""),"",COUNTIFS($A$5:A141,A141,$B$5:B141,B141))</f>
        <v>2</v>
      </c>
      <c r="N141" s="120">
        <f>IF($A141="","",COUNTA($A$5:$A141))</f>
        <v>137</v>
      </c>
      <c r="O141" s="120">
        <f>IF($A141="","",COUNTA($A$5:$A141))</f>
        <v>137</v>
      </c>
      <c r="P141" s="118">
        <f>IF($K141="","",MAX($K$5:K141))</f>
        <v>2403.3000000000002</v>
      </c>
      <c r="Q141" s="117">
        <f>IF($K141="","",K141-P141)</f>
        <v>-47.25</v>
      </c>
      <c r="R141" s="118"/>
      <c r="S141" s="2">
        <f>IF(OR($A141="",$F141=""),"",IF($I141="Pendiente","",ROUND($G141*($F141*0.609-1),2)))</f>
        <v>1.73</v>
      </c>
      <c r="T141" s="2">
        <f>IF($A141="","",IFERROR(SUM($S$5:S141),0))</f>
        <v>162.90999999999994</v>
      </c>
    </row>
    <row r="142" spans="1:20" ht="22.5" customHeight="1">
      <c r="A142" s="110">
        <v>46201</v>
      </c>
      <c r="B142" s="129" t="s">
        <v>31</v>
      </c>
      <c r="C142" s="136" t="s">
        <v>313</v>
      </c>
      <c r="D142" s="113" t="s">
        <v>76</v>
      </c>
      <c r="E142" s="137">
        <v>2</v>
      </c>
      <c r="F142" s="115">
        <v>2.15</v>
      </c>
      <c r="G142" s="116">
        <v>18</v>
      </c>
      <c r="H142" s="120" t="s">
        <v>69</v>
      </c>
      <c r="I142" s="120" t="s">
        <v>70</v>
      </c>
      <c r="J142" s="117">
        <f>IF($A142="","",IF($I142="Ganada",ROUND($G142*($F142-1),2),IF($I142="Medio Ganada",ROUND($G142/2*($F142-1),2),IF($I142="Perdida",IF($H142="Free Bet",0,-$G142),IF($I142="Medio Perdida",IF($H142="Free Bet",0,-$G142/2),IF($I142="Reembolso",IF($R142="","",ROUND($R142-$G142,2)),IF($I142="Anulada",0,"")))))))</f>
        <v>20.7</v>
      </c>
      <c r="K142" s="118">
        <f>IF(J142="","",2000+SUM(J$5:J142))</f>
        <v>2376.75</v>
      </c>
      <c r="L142" s="119">
        <f>IF(OR($I142="Ganada",$I142="Perdida",$I142="Medio Ganada",$I142="Medio Perdida"),IF($G142=0,"",J142/$G142),"")</f>
        <v>1.1499999999999999</v>
      </c>
      <c r="M142" s="120">
        <f>IF(OR($A142="",$B142=""),"",COUNTIFS($A$5:A142,A142,$B$5:B142,B142))</f>
        <v>3</v>
      </c>
      <c r="N142" s="120">
        <f>IF($A142="","",COUNTA($A$5:$A142))</f>
        <v>138</v>
      </c>
      <c r="O142" s="120">
        <f>IF($A142="","",COUNTA($A$5:$A142))</f>
        <v>138</v>
      </c>
      <c r="P142" s="118">
        <f>IF($K142="","",MAX($K$5:K142))</f>
        <v>2403.3000000000002</v>
      </c>
      <c r="Q142" s="117">
        <f>IF($K142="","",K142-P142)</f>
        <v>-26.550000000000182</v>
      </c>
      <c r="R142" s="118"/>
      <c r="S142" s="2">
        <f>IF(OR($A142="",$F142=""),"",IF($I142="Pendiente","",ROUND($G142*($F142*0.609-1),2)))</f>
        <v>5.57</v>
      </c>
      <c r="T142" s="2">
        <f>IF($A142="","",IFERROR(SUM($S$5:S142),0))</f>
        <v>168.47999999999993</v>
      </c>
    </row>
    <row r="143" spans="1:20" ht="22.5" customHeight="1">
      <c r="A143" s="110">
        <v>46201</v>
      </c>
      <c r="B143" s="124" t="s">
        <v>28</v>
      </c>
      <c r="C143" s="136" t="s">
        <v>314</v>
      </c>
      <c r="D143" s="113" t="s">
        <v>76</v>
      </c>
      <c r="E143" s="137">
        <v>1</v>
      </c>
      <c r="F143" s="115">
        <v>1.94</v>
      </c>
      <c r="G143" s="116">
        <v>18</v>
      </c>
      <c r="H143" s="120" t="s">
        <v>69</v>
      </c>
      <c r="I143" s="120" t="s">
        <v>75</v>
      </c>
      <c r="J143" s="117">
        <f>IF($A143="","",IF($I143="Ganada",ROUND($G143*($F143-1),2),IF($I143="Medio Ganada",ROUND($G143/2*($F143-1),2),IF($I143="Perdida",IF($H143="Free Bet",0,-$G143),IF($I143="Medio Perdida",IF($H143="Free Bet",0,-$G143/2),IF($I143="Reembolso",IF($R143="","",ROUND($R143-$G143,2)),IF($I143="Anulada",0,"")))))))</f>
        <v>-18</v>
      </c>
      <c r="K143" s="118">
        <f>IF(J143="","",2000+SUM(J$5:J143))</f>
        <v>2358.75</v>
      </c>
      <c r="L143" s="119">
        <f>IF(OR($I143="Ganada",$I143="Perdida",$I143="Medio Ganada",$I143="Medio Perdida"),IF($G143=0,"",J143/$G143),"")</f>
        <v>-1</v>
      </c>
      <c r="M143" s="120">
        <f>IF(OR($A143="",$B143=""),"",COUNTIFS($A$5:A143,A143,$B$5:B143,B143))</f>
        <v>3</v>
      </c>
      <c r="N143" s="120">
        <f>IF($A143="","",COUNTA($A$5:$A143))</f>
        <v>139</v>
      </c>
      <c r="O143" s="120">
        <f>IF($A143="","",COUNTA($A$5:$A143))</f>
        <v>139</v>
      </c>
      <c r="P143" s="118">
        <f>IF($K143="","",MAX($K$5:K143))</f>
        <v>2403.3000000000002</v>
      </c>
      <c r="Q143" s="117">
        <f>IF($K143="","",K143-P143)</f>
        <v>-44.550000000000182</v>
      </c>
      <c r="R143" s="118"/>
      <c r="S143" s="2">
        <f>IF(OR($A143="",$F143=""),"",IF($I143="Pendiente","",ROUND($G143*($F143*0.609-1),2)))</f>
        <v>3.27</v>
      </c>
      <c r="T143" s="2">
        <f>IF($A143="","",IFERROR(SUM($S$5:S143),0))</f>
        <v>171.74999999999994</v>
      </c>
    </row>
    <row r="144" spans="1:20" ht="15" customHeight="1">
      <c r="A144" s="110">
        <v>46201</v>
      </c>
      <c r="B144" s="124" t="s">
        <v>28</v>
      </c>
      <c r="C144" s="133" t="s">
        <v>315</v>
      </c>
      <c r="D144" s="113" t="s">
        <v>95</v>
      </c>
      <c r="E144" s="137" t="s">
        <v>316</v>
      </c>
      <c r="F144" s="115">
        <v>1.86</v>
      </c>
      <c r="G144" s="116">
        <v>24</v>
      </c>
      <c r="H144" s="120" t="s">
        <v>69</v>
      </c>
      <c r="I144" s="120" t="s">
        <v>75</v>
      </c>
      <c r="J144" s="117">
        <f>IF($A144="","",IF($I144="Ganada",ROUND($G144*($F144-1),2),IF($I144="Medio Ganada",ROUND($G144/2*($F144-1),2),IF($I144="Perdida",IF($H144="Free Bet",0,-$G144),IF($I144="Medio Perdida",IF($H144="Free Bet",0,-$G144/2),IF($I144="Reembolso",IF($R144="","",ROUND($R144-$G144,2)),IF($I144="Anulada",0,"")))))))</f>
        <v>-24</v>
      </c>
      <c r="K144" s="118">
        <f>IF(J144="","",2000+SUM(J$5:J144))</f>
        <v>2334.75</v>
      </c>
      <c r="L144" s="119">
        <f>IF(OR($I144="Ganada",$I144="Perdida",$I144="Medio Ganada",$I144="Medio Perdida"),IF($G144=0,"",J144/$G144),"")</f>
        <v>-1</v>
      </c>
      <c r="M144" s="120">
        <f>IF(OR($A144="",$B144=""),"",COUNTIFS($A$5:A144,A144,$B$5:B144,B144))</f>
        <v>4</v>
      </c>
      <c r="N144" s="120">
        <f>IF($A144="","",COUNTA($A$5:$A144))</f>
        <v>140</v>
      </c>
      <c r="O144" s="120">
        <f>IF($A144="","",COUNTA($A$5:$A144))</f>
        <v>140</v>
      </c>
      <c r="P144" s="118">
        <f>IF($K144="","",MAX($K$5:K144))</f>
        <v>2403.3000000000002</v>
      </c>
      <c r="Q144" s="117">
        <f>IF($K144="","",K144-P144)</f>
        <v>-68.550000000000182</v>
      </c>
      <c r="R144" s="118"/>
      <c r="S144" s="2">
        <f>IF(OR($A144="",$F144=""),"",IF($I144="Pendiente","",ROUND($G144*($F144*0.609-1),2)))</f>
        <v>3.19</v>
      </c>
      <c r="T144" s="2">
        <f>IF($A144="","",IFERROR(SUM($S$5:S144),0))</f>
        <v>174.93999999999994</v>
      </c>
    </row>
    <row r="145" spans="1:20" ht="22.5" customHeight="1">
      <c r="A145" s="110">
        <v>46201</v>
      </c>
      <c r="B145" s="148" t="s">
        <v>36</v>
      </c>
      <c r="C145" s="133" t="s">
        <v>317</v>
      </c>
      <c r="D145" s="113" t="s">
        <v>67</v>
      </c>
      <c r="E145" s="138" t="s">
        <v>263</v>
      </c>
      <c r="F145" s="115">
        <v>1.88</v>
      </c>
      <c r="G145" s="116">
        <v>18</v>
      </c>
      <c r="H145" s="120" t="s">
        <v>69</v>
      </c>
      <c r="I145" s="120" t="s">
        <v>70</v>
      </c>
      <c r="J145" s="117">
        <f>IF($A145="","",IF($I145="Ganada",ROUND($G145*($F145-1),2),IF($I145="Medio Ganada",ROUND($G145/2*($F145-1),2),IF($I145="Perdida",IF($H145="Free Bet",0,-$G145),IF($I145="Medio Perdida",IF($H145="Free Bet",0,-$G145/2),IF($I145="Reembolso",IF($R145="","",ROUND($R145-$G145,2)),IF($I145="Anulada",0,"")))))))</f>
        <v>15.84</v>
      </c>
      <c r="K145" s="118">
        <f>IF(J145="","",2000+SUM(J$5:J145))</f>
        <v>2350.59</v>
      </c>
      <c r="L145" s="119">
        <f>IF(OR($I145="Ganada",$I145="Perdida",$I145="Medio Ganada",$I145="Medio Perdida"),IF($G145=0,"",J145/$G145),"")</f>
        <v>0.88</v>
      </c>
      <c r="M145" s="120">
        <f>IF(OR($A145="",$B145=""),"",COUNTIFS($A$5:A145,A145,$B$5:B145,B145))</f>
        <v>4</v>
      </c>
      <c r="N145" s="120">
        <f>IF($A145="","",COUNTA($A$5:$A145))</f>
        <v>141</v>
      </c>
      <c r="O145" s="120">
        <f>IF($A145="","",COUNTA($A$5:$A145))</f>
        <v>141</v>
      </c>
      <c r="P145" s="118">
        <f>IF($K145="","",MAX($K$5:K145))</f>
        <v>2403.3000000000002</v>
      </c>
      <c r="Q145" s="117">
        <f>IF($K145="","",K145-P145)</f>
        <v>-52.710000000000036</v>
      </c>
      <c r="R145" s="118"/>
      <c r="S145" s="2">
        <f>IF(OR($A145="",$F145=""),"",IF($I145="Pendiente","",ROUND($G145*($F145*0.609-1),2)))</f>
        <v>2.61</v>
      </c>
      <c r="T145" s="2">
        <f>IF($A145="","",IFERROR(SUM($S$5:S145),0))</f>
        <v>177.54999999999995</v>
      </c>
    </row>
    <row r="146" spans="1:20" ht="15" customHeight="1">
      <c r="A146" s="110">
        <v>46201</v>
      </c>
      <c r="B146" s="129" t="s">
        <v>31</v>
      </c>
      <c r="C146" s="136" t="s">
        <v>318</v>
      </c>
      <c r="D146" s="113" t="s">
        <v>67</v>
      </c>
      <c r="E146" s="137" t="s">
        <v>319</v>
      </c>
      <c r="F146" s="115">
        <v>2.8</v>
      </c>
      <c r="G146" s="116">
        <v>12</v>
      </c>
      <c r="H146" s="120" t="s">
        <v>69</v>
      </c>
      <c r="I146" s="120" t="s">
        <v>70</v>
      </c>
      <c r="J146" s="117">
        <f>IF($A146="","",IF($I146="Ganada",ROUND($G146*($F146-1),2),IF($I146="Medio Ganada",ROUND($G146/2*($F146-1),2),IF($I146="Perdida",IF($H146="Free Bet",0,-$G146),IF($I146="Medio Perdida",IF($H146="Free Bet",0,-$G146/2),IF($I146="Reembolso",IF($R146="","",ROUND($R146-$G146,2)),IF($I146="Anulada",0,"")))))))</f>
        <v>21.6</v>
      </c>
      <c r="K146" s="118">
        <f>IF(J146="","",2000+SUM(J$5:J146))</f>
        <v>2372.19</v>
      </c>
      <c r="L146" s="119">
        <f>IF(OR($I146="Ganada",$I146="Perdida",$I146="Medio Ganada",$I146="Medio Perdida"),IF($G146=0,"",J146/$G146),"")</f>
        <v>1.8</v>
      </c>
      <c r="M146" s="120">
        <f>IF(OR($A146="",$B146=""),"",COUNTIFS($A$5:A146,A146,$B$5:B146,B146))</f>
        <v>4</v>
      </c>
      <c r="N146" s="120">
        <f>IF($A146="","",COUNTA($A$5:$A146))</f>
        <v>142</v>
      </c>
      <c r="O146" s="120">
        <f>IF($A146="","",COUNTA($A$5:$A146))</f>
        <v>142</v>
      </c>
      <c r="P146" s="118">
        <f>IF($K146="","",MAX($K$5:K146))</f>
        <v>2403.3000000000002</v>
      </c>
      <c r="Q146" s="117">
        <f>IF($K146="","",K146-P146)</f>
        <v>-31.110000000000127</v>
      </c>
      <c r="R146" s="118"/>
      <c r="S146" s="2">
        <f>IF(OR($A146="",$F146=""),"",IF($I146="Pendiente","",ROUND($G146*($F146*0.609-1),2)))</f>
        <v>8.4600000000000009</v>
      </c>
      <c r="T146" s="2">
        <f>IF($A146="","",IFERROR(SUM($S$5:S146),0))</f>
        <v>186.00999999999996</v>
      </c>
    </row>
    <row r="147" spans="1:20" ht="22.5" customHeight="1">
      <c r="A147" s="110">
        <v>46201</v>
      </c>
      <c r="B147" s="129" t="s">
        <v>31</v>
      </c>
      <c r="C147" s="136" t="s">
        <v>320</v>
      </c>
      <c r="D147" s="113" t="s">
        <v>76</v>
      </c>
      <c r="E147" s="137">
        <v>1</v>
      </c>
      <c r="F147" s="115">
        <v>2.1</v>
      </c>
      <c r="G147" s="116">
        <v>12</v>
      </c>
      <c r="H147" s="120" t="s">
        <v>69</v>
      </c>
      <c r="I147" s="120" t="s">
        <v>75</v>
      </c>
      <c r="J147" s="117">
        <f>IF($A147="","",IF($I147="Ganada",ROUND($G147*($F147-1),2),IF($I147="Medio Ganada",ROUND($G147/2*($F147-1),2),IF($I147="Perdida",IF($H147="Free Bet",0,-$G147),IF($I147="Medio Perdida",IF($H147="Free Bet",0,-$G147/2),IF($I147="Reembolso",IF($R147="","",ROUND($R147-$G147,2)),IF($I147="Anulada",0,"")))))))</f>
        <v>-12</v>
      </c>
      <c r="K147" s="118">
        <f>IF(J147="","",2000+SUM(J$5:J147))</f>
        <v>2360.19</v>
      </c>
      <c r="L147" s="119">
        <f>IF(OR($I147="Ganada",$I147="Perdida",$I147="Medio Ganada",$I147="Medio Perdida"),IF($G147=0,"",J147/$G147),"")</f>
        <v>-1</v>
      </c>
      <c r="M147" s="120">
        <f>IF(OR($A147="",$B147=""),"",COUNTIFS($A$5:A147,A147,$B$5:B147,B147))</f>
        <v>5</v>
      </c>
      <c r="N147" s="120">
        <f>IF($A147="","",COUNTA($A$5:$A147))</f>
        <v>143</v>
      </c>
      <c r="O147" s="120">
        <f>IF($A147="","",COUNTA($A$5:$A147))</f>
        <v>143</v>
      </c>
      <c r="P147" s="118">
        <f>IF($K147="","",MAX($K$5:K147))</f>
        <v>2403.3000000000002</v>
      </c>
      <c r="Q147" s="117">
        <f>IF($K147="","",K147-P147)</f>
        <v>-43.110000000000127</v>
      </c>
      <c r="R147" s="118"/>
      <c r="S147" s="2">
        <f>IF(OR($A147="",$F147=""),"",IF($I147="Pendiente","",ROUND($G147*($F147*0.609-1),2)))</f>
        <v>3.35</v>
      </c>
      <c r="T147" s="2">
        <f>IF($A147="","",IFERROR(SUM($S$5:S147),0))</f>
        <v>189.35999999999996</v>
      </c>
    </row>
    <row r="148" spans="1:20" ht="22.5" customHeight="1">
      <c r="A148" s="110">
        <v>46201</v>
      </c>
      <c r="B148" s="124" t="s">
        <v>28</v>
      </c>
      <c r="C148" s="136" t="s">
        <v>321</v>
      </c>
      <c r="D148" s="113" t="s">
        <v>67</v>
      </c>
      <c r="E148" s="138" t="s">
        <v>322</v>
      </c>
      <c r="F148" s="115">
        <v>1.66</v>
      </c>
      <c r="G148" s="116">
        <v>24</v>
      </c>
      <c r="H148" s="120" t="s">
        <v>69</v>
      </c>
      <c r="I148" s="120" t="s">
        <v>75</v>
      </c>
      <c r="J148" s="117">
        <f>IF($A148="","",IF($I148="Ganada",ROUND($G148*($F148-1),2),IF($I148="Medio Ganada",ROUND($G148/2*($F148-1),2),IF($I148="Perdida",IF($H148="Free Bet",0,-$G148),IF($I148="Medio Perdida",IF($H148="Free Bet",0,-$G148/2),IF($I148="Reembolso",IF($R148="","",ROUND($R148-$G148,2)),IF($I148="Anulada",0,"")))))))</f>
        <v>-24</v>
      </c>
      <c r="K148" s="118">
        <f>IF(J148="","",2000+SUM(J$5:J148))</f>
        <v>2336.19</v>
      </c>
      <c r="L148" s="119">
        <f>IF(OR($I148="Ganada",$I148="Perdida",$I148="Medio Ganada",$I148="Medio Perdida"),IF($G148=0,"",J148/$G148),"")</f>
        <v>-1</v>
      </c>
      <c r="M148" s="120">
        <f>IF(OR($A148="",$B148=""),"",COUNTIFS($A$5:A148,A148,$B$5:B148,B148))</f>
        <v>5</v>
      </c>
      <c r="N148" s="120">
        <f>IF($A148="","",COUNTA($A$5:$A148))</f>
        <v>144</v>
      </c>
      <c r="O148" s="120">
        <f>IF($A148="","",COUNTA($A$5:$A148))</f>
        <v>144</v>
      </c>
      <c r="P148" s="118">
        <f>IF($K148="","",MAX($K$5:K148))</f>
        <v>2403.3000000000002</v>
      </c>
      <c r="Q148" s="117">
        <f>IF($K148="","",K148-P148)</f>
        <v>-67.110000000000127</v>
      </c>
      <c r="R148" s="118"/>
      <c r="S148" s="2">
        <f>IF(OR($A148="",$F148=""),"",IF($I148="Pendiente","",ROUND($G148*($F148*0.609-1),2)))</f>
        <v>0.26</v>
      </c>
      <c r="T148" s="2">
        <f>IF($A148="","",IFERROR(SUM($S$5:S148),0))</f>
        <v>189.61999999999995</v>
      </c>
    </row>
    <row r="149" spans="1:20" ht="15" customHeight="1">
      <c r="A149" s="110">
        <v>46201</v>
      </c>
      <c r="B149" s="129" t="s">
        <v>31</v>
      </c>
      <c r="C149" s="133" t="s">
        <v>323</v>
      </c>
      <c r="D149" s="113" t="s">
        <v>67</v>
      </c>
      <c r="E149" s="128" t="s">
        <v>324</v>
      </c>
      <c r="F149" s="115">
        <v>2.5</v>
      </c>
      <c r="G149" s="116">
        <v>12</v>
      </c>
      <c r="H149" s="120" t="s">
        <v>69</v>
      </c>
      <c r="I149" s="120" t="s">
        <v>75</v>
      </c>
      <c r="J149" s="117">
        <f>IF($A149="","",IF($I149="Ganada",ROUND($G149*($F149-1),2),IF($I149="Medio Ganada",ROUND($G149/2*($F149-1),2),IF($I149="Perdida",IF($H149="Free Bet",0,-$G149),IF($I149="Medio Perdida",IF($H149="Free Bet",0,-$G149/2),IF($I149="Reembolso",IF($R149="","",ROUND($R149-$G149,2)),IF($I149="Anulada",0,"")))))))</f>
        <v>-12</v>
      </c>
      <c r="K149" s="118">
        <f>IF(J149="","",2000+SUM(J$5:J149))</f>
        <v>2324.19</v>
      </c>
      <c r="L149" s="119">
        <f>IF(OR($I149="Ganada",$I149="Perdida",$I149="Medio Ganada",$I149="Medio Perdida"),IF($G149=0,"",J149/$G149),"")</f>
        <v>-1</v>
      </c>
      <c r="M149" s="120">
        <f>IF(OR($A149="",$B149=""),"",COUNTIFS($A$5:A149,A149,$B$5:B149,B149))</f>
        <v>6</v>
      </c>
      <c r="N149" s="120">
        <f>IF($A149="","",COUNTA($A$5:$A149))</f>
        <v>145</v>
      </c>
      <c r="O149" s="120">
        <f>IF($A149="","",COUNTA($A$5:$A149))</f>
        <v>145</v>
      </c>
      <c r="P149" s="118">
        <f>IF($K149="","",MAX($K$5:K149))</f>
        <v>2403.3000000000002</v>
      </c>
      <c r="Q149" s="117">
        <f>IF($K149="","",K149-P149)</f>
        <v>-79.110000000000127</v>
      </c>
      <c r="R149" s="118"/>
      <c r="S149" s="2">
        <f>IF(OR($A149="",$F149=""),"",IF($I149="Pendiente","",ROUND($G149*($F149*0.609-1),2)))</f>
        <v>6.27</v>
      </c>
      <c r="T149" s="2">
        <f>IF($A149="","",IFERROR(SUM($S$5:S149),0))</f>
        <v>195.88999999999996</v>
      </c>
    </row>
    <row r="150" spans="1:20" ht="15" customHeight="1">
      <c r="A150" s="110">
        <v>46201</v>
      </c>
      <c r="B150" s="129" t="s">
        <v>31</v>
      </c>
      <c r="C150" s="133" t="s">
        <v>325</v>
      </c>
      <c r="D150" s="113" t="s">
        <v>67</v>
      </c>
      <c r="E150" s="137" t="s">
        <v>117</v>
      </c>
      <c r="F150" s="115">
        <v>2.9</v>
      </c>
      <c r="G150" s="116">
        <v>12</v>
      </c>
      <c r="H150" s="120" t="s">
        <v>69</v>
      </c>
      <c r="I150" s="120" t="s">
        <v>75</v>
      </c>
      <c r="J150" s="117">
        <f>IF($A150="","",IF($I150="Ganada",ROUND($G150*($F150-1),2),IF($I150="Medio Ganada",ROUND($G150/2*($F150-1),2),IF($I150="Perdida",IF($H150="Free Bet",0,-$G150),IF($I150="Medio Perdida",IF($H150="Free Bet",0,-$G150/2),IF($I150="Reembolso",IF($R150="","",ROUND($R150-$G150,2)),IF($I150="Anulada",0,"")))))))</f>
        <v>-12</v>
      </c>
      <c r="K150" s="118">
        <f>IF(J150="","",2000+SUM(J$5:J150))</f>
        <v>2312.19</v>
      </c>
      <c r="L150" s="119">
        <f>IF(OR($I150="Ganada",$I150="Perdida",$I150="Medio Ganada",$I150="Medio Perdida"),IF($G150=0,"",J150/$G150),"")</f>
        <v>-1</v>
      </c>
      <c r="M150" s="120">
        <f>IF(OR($A150="",$B150=""),"",COUNTIFS($A$5:A150,A150,$B$5:B150,B150))</f>
        <v>7</v>
      </c>
      <c r="N150" s="120">
        <f>IF($A150="","",COUNTA($A$5:$A150))</f>
        <v>146</v>
      </c>
      <c r="O150" s="120">
        <f>IF($A150="","",COUNTA($A$5:$A150))</f>
        <v>146</v>
      </c>
      <c r="P150" s="118">
        <f>IF($K150="","",MAX($K$5:K150))</f>
        <v>2403.3000000000002</v>
      </c>
      <c r="Q150" s="117">
        <f>IF($K150="","",K150-P150)</f>
        <v>-91.110000000000127</v>
      </c>
      <c r="R150" s="118"/>
      <c r="S150" s="2">
        <f>IF(OR($A150="",$F150=""),"",IF($I150="Pendiente","",ROUND($G150*($F150*0.609-1),2)))</f>
        <v>9.19</v>
      </c>
      <c r="T150" s="2">
        <f>IF($A150="","",IFERROR(SUM($S$5:S150),0))</f>
        <v>205.07999999999996</v>
      </c>
    </row>
    <row r="151" spans="1:20" ht="15" customHeight="1">
      <c r="A151" s="110">
        <v>46201</v>
      </c>
      <c r="B151" s="124" t="s">
        <v>28</v>
      </c>
      <c r="C151" s="136" t="s">
        <v>326</v>
      </c>
      <c r="D151" s="113" t="s">
        <v>67</v>
      </c>
      <c r="E151" s="137" t="s">
        <v>327</v>
      </c>
      <c r="F151" s="115">
        <v>1.6</v>
      </c>
      <c r="G151" s="116">
        <v>24</v>
      </c>
      <c r="H151" s="120" t="s">
        <v>69</v>
      </c>
      <c r="I151" s="120" t="s">
        <v>70</v>
      </c>
      <c r="J151" s="117">
        <f>IF($A151="","",IF($I151="Ganada",ROUND($G151*($F151-1),2),IF($I151="Medio Ganada",ROUND($G151/2*($F151-1),2),IF($I151="Perdida",IF($H151="Free Bet",0,-$G151),IF($I151="Medio Perdida",IF($H151="Free Bet",0,-$G151/2),IF($I151="Reembolso",IF($R151="","",ROUND($R151-$G151,2)),IF($I151="Anulada",0,"")))))))</f>
        <v>14.4</v>
      </c>
      <c r="K151" s="118">
        <f>IF(J151="","",2000+SUM(J$5:J151))</f>
        <v>2326.59</v>
      </c>
      <c r="L151" s="119">
        <f>IF(OR($I151="Ganada",$I151="Perdida",$I151="Medio Ganada",$I151="Medio Perdida"),IF($G151=0,"",J151/$G151),"")</f>
        <v>0.6</v>
      </c>
      <c r="M151" s="120">
        <f>IF(OR($A151="",$B151=""),"",COUNTIFS($A$5:A151,A151,$B$5:B151,B151))</f>
        <v>6</v>
      </c>
      <c r="N151" s="120">
        <f>IF($A151="","",COUNTA($A$5:$A151))</f>
        <v>147</v>
      </c>
      <c r="O151" s="120">
        <f>IF($A151="","",COUNTA($A$5:$A151))</f>
        <v>147</v>
      </c>
      <c r="P151" s="118">
        <f>IF($K151="","",MAX($K$5:K151))</f>
        <v>2403.3000000000002</v>
      </c>
      <c r="Q151" s="117">
        <f>IF($K151="","",K151-P151)</f>
        <v>-76.710000000000036</v>
      </c>
      <c r="R151" s="118"/>
      <c r="S151" s="2">
        <f>IF(OR($A151="",$F151=""),"",IF($I151="Pendiente","",ROUND($G151*($F151*0.609-1),2)))</f>
        <v>-0.61</v>
      </c>
      <c r="T151" s="2">
        <f>IF($A151="","",IFERROR(SUM($S$5:S151),0))</f>
        <v>204.46999999999994</v>
      </c>
    </row>
    <row r="152" spans="1:20" ht="22.5" customHeight="1">
      <c r="A152" s="110">
        <v>46201</v>
      </c>
      <c r="B152" s="129" t="s">
        <v>31</v>
      </c>
      <c r="C152" s="133" t="s">
        <v>328</v>
      </c>
      <c r="D152" s="113" t="s">
        <v>67</v>
      </c>
      <c r="E152" s="138" t="s">
        <v>329</v>
      </c>
      <c r="F152" s="115">
        <v>2.15</v>
      </c>
      <c r="G152" s="116">
        <v>24</v>
      </c>
      <c r="H152" s="120" t="s">
        <v>69</v>
      </c>
      <c r="I152" s="120" t="s">
        <v>70</v>
      </c>
      <c r="J152" s="117">
        <f>IF($A152="","",IF($I152="Ganada",ROUND($G152*($F152-1),2),IF($I152="Medio Ganada",ROUND($G152/2*($F152-1),2),IF($I152="Perdida",IF($H152="Free Bet",0,-$G152),IF($I152="Medio Perdida",IF($H152="Free Bet",0,-$G152/2),IF($I152="Reembolso",IF($R152="","",ROUND($R152-$G152,2)),IF($I152="Anulada",0,"")))))))</f>
        <v>27.6</v>
      </c>
      <c r="K152" s="118">
        <f>IF(J152="","",2000+SUM(J$5:J152))</f>
        <v>2354.19</v>
      </c>
      <c r="L152" s="119">
        <f>IF(OR($I152="Ganada",$I152="Perdida",$I152="Medio Ganada",$I152="Medio Perdida"),IF($G152=0,"",J152/$G152),"")</f>
        <v>1.1500000000000001</v>
      </c>
      <c r="M152" s="120">
        <f>IF(OR($A152="",$B152=""),"",COUNTIFS($A$5:A152,A152,$B$5:B152,B152))</f>
        <v>8</v>
      </c>
      <c r="N152" s="120">
        <f>IF($A152="","",COUNTA($A$5:$A152))</f>
        <v>148</v>
      </c>
      <c r="O152" s="120">
        <f>IF($A152="","",COUNTA($A$5:$A152))</f>
        <v>148</v>
      </c>
      <c r="P152" s="118">
        <f>IF($K152="","",MAX($K$5:K152))</f>
        <v>2403.3000000000002</v>
      </c>
      <c r="Q152" s="117">
        <f>IF($K152="","",K152-P152)</f>
        <v>-49.110000000000127</v>
      </c>
      <c r="R152" s="118"/>
      <c r="S152" s="2">
        <f>IF(OR($A152="",$F152=""),"",IF($I152="Pendiente","",ROUND($G152*($F152*0.609-1),2)))</f>
        <v>7.42</v>
      </c>
      <c r="T152" s="2">
        <f>IF($A152="","",IFERROR(SUM($S$5:S152),0))</f>
        <v>211.88999999999993</v>
      </c>
    </row>
    <row r="153" spans="1:20" ht="15" customHeight="1">
      <c r="A153" s="110">
        <v>46201</v>
      </c>
      <c r="B153" s="148" t="s">
        <v>36</v>
      </c>
      <c r="C153" s="133" t="s">
        <v>330</v>
      </c>
      <c r="D153" s="113" t="s">
        <v>76</v>
      </c>
      <c r="E153" s="137">
        <v>2</v>
      </c>
      <c r="F153" s="115">
        <v>2.5299999999999998</v>
      </c>
      <c r="G153" s="116">
        <v>10</v>
      </c>
      <c r="H153" s="120" t="s">
        <v>69</v>
      </c>
      <c r="I153" s="120" t="s">
        <v>75</v>
      </c>
      <c r="J153" s="117">
        <f>IF($A153="","",IF($I153="Ganada",ROUND($G153*($F153-1),2),IF($I153="Medio Ganada",ROUND($G153/2*($F153-1),2),IF($I153="Perdida",IF($H153="Free Bet",0,-$G153),IF($I153="Medio Perdida",IF($H153="Free Bet",0,-$G153/2),IF($I153="Reembolso",IF($R153="","",ROUND($R153-$G153,2)),IF($I153="Anulada",0,"")))))))</f>
        <v>-10</v>
      </c>
      <c r="K153" s="118">
        <f>IF(J153="","",2000+SUM(J$5:J153))</f>
        <v>2344.19</v>
      </c>
      <c r="L153" s="119">
        <f>IF(OR($I153="Ganada",$I153="Perdida",$I153="Medio Ganada",$I153="Medio Perdida"),IF($G153=0,"",J153/$G153),"")</f>
        <v>-1</v>
      </c>
      <c r="M153" s="120">
        <f>IF(OR($A153="",$B153=""),"",COUNTIFS($A$5:A153,A153,$B$5:B153,B153))</f>
        <v>5</v>
      </c>
      <c r="N153" s="120">
        <f>IF($A153="","",COUNTA($A$5:$A153))</f>
        <v>149</v>
      </c>
      <c r="O153" s="120">
        <f>IF($A153="","",COUNTA($A$5:$A153))</f>
        <v>149</v>
      </c>
      <c r="P153" s="118">
        <f>IF($K153="","",MAX($K$5:K153))</f>
        <v>2403.3000000000002</v>
      </c>
      <c r="Q153" s="117">
        <f>IF($K153="","",K153-P153)</f>
        <v>-59.110000000000127</v>
      </c>
      <c r="R153" s="118"/>
      <c r="S153" s="2">
        <f>IF(OR($A153="",$F153=""),"",IF($I153="Pendiente","",ROUND($G153*($F153*0.609-1),2)))</f>
        <v>5.41</v>
      </c>
      <c r="T153" s="2">
        <f>IF($A153="","",IFERROR(SUM($S$5:S153),0))</f>
        <v>217.29999999999993</v>
      </c>
    </row>
    <row r="154" spans="1:20" ht="22.5" customHeight="1">
      <c r="A154" s="110">
        <v>46201</v>
      </c>
      <c r="B154" s="148" t="s">
        <v>36</v>
      </c>
      <c r="C154" s="133" t="s">
        <v>331</v>
      </c>
      <c r="D154" s="113" t="s">
        <v>67</v>
      </c>
      <c r="E154" s="138" t="s">
        <v>277</v>
      </c>
      <c r="F154" s="115">
        <v>2.1</v>
      </c>
      <c r="G154" s="116">
        <v>22</v>
      </c>
      <c r="H154" s="120" t="s">
        <v>69</v>
      </c>
      <c r="I154" s="120" t="s">
        <v>70</v>
      </c>
      <c r="J154" s="117">
        <f>IF($A154="","",IF($I154="Ganada",ROUND($G154*($F154-1),2),IF($I154="Medio Ganada",ROUND($G154/2*($F154-1),2),IF($I154="Perdida",IF($H154="Free Bet",0,-$G154),IF($I154="Medio Perdida",IF($H154="Free Bet",0,-$G154/2),IF($I154="Reembolso",IF($R154="","",ROUND($R154-$G154,2)),IF($I154="Anulada",0,"")))))))</f>
        <v>24.2</v>
      </c>
      <c r="K154" s="118">
        <f>IF(J154="","",2000+SUM(J$5:J154))</f>
        <v>2368.39</v>
      </c>
      <c r="L154" s="119">
        <f>IF(OR($I154="Ganada",$I154="Perdida",$I154="Medio Ganada",$I154="Medio Perdida"),IF($G154=0,"",J154/$G154),"")</f>
        <v>1.0999999999999999</v>
      </c>
      <c r="M154" s="120">
        <f>IF(OR($A154="",$B154=""),"",COUNTIFS($A$5:A154,A154,$B$5:B154,B154))</f>
        <v>6</v>
      </c>
      <c r="N154" s="120">
        <f>IF($A154="","",COUNTA($A$5:$A154))</f>
        <v>150</v>
      </c>
      <c r="O154" s="120">
        <f>IF($A154="","",COUNTA($A$5:$A154))</f>
        <v>150</v>
      </c>
      <c r="P154" s="118">
        <f>IF($K154="","",MAX($K$5:K154))</f>
        <v>2403.3000000000002</v>
      </c>
      <c r="Q154" s="117">
        <f>IF($K154="","",K154-P154)</f>
        <v>-34.910000000000309</v>
      </c>
      <c r="R154" s="118"/>
      <c r="S154" s="2">
        <f>IF(OR($A154="",$F154=""),"",IF($I154="Pendiente","",ROUND($G154*($F154*0.609-1),2)))</f>
        <v>6.14</v>
      </c>
      <c r="T154" s="2">
        <f>IF($A154="","",IFERROR(SUM($S$5:S154),0))</f>
        <v>223.43999999999991</v>
      </c>
    </row>
    <row r="155" spans="1:20" ht="22.5" customHeight="1">
      <c r="A155" s="110">
        <v>46201</v>
      </c>
      <c r="B155" s="111" t="s">
        <v>30</v>
      </c>
      <c r="C155" s="133" t="s">
        <v>332</v>
      </c>
      <c r="D155" s="113" t="s">
        <v>67</v>
      </c>
      <c r="E155" s="138" t="s">
        <v>333</v>
      </c>
      <c r="F155" s="115">
        <v>1.62</v>
      </c>
      <c r="G155" s="116">
        <v>23</v>
      </c>
      <c r="H155" s="120" t="s">
        <v>69</v>
      </c>
      <c r="I155" s="120" t="s">
        <v>70</v>
      </c>
      <c r="J155" s="117">
        <f>IF($A155="","",IF($I155="Ganada",ROUND($G155*($F155-1),2),IF($I155="Medio Ganada",ROUND($G155/2*($F155-1),2),IF($I155="Perdida",IF($H155="Free Bet",0,-$G155),IF($I155="Medio Perdida",IF($H155="Free Bet",0,-$G155/2),IF($I155="Reembolso",IF($R155="","",ROUND($R155-$G155,2)),IF($I155="Anulada",0,"")))))))</f>
        <v>14.26</v>
      </c>
      <c r="K155" s="118">
        <f>IF(J155="","",2000+SUM(J$5:J155))</f>
        <v>2382.65</v>
      </c>
      <c r="L155" s="119">
        <f>IF(OR($I155="Ganada",$I155="Perdida",$I155="Medio Ganada",$I155="Medio Perdida"),IF($G155=0,"",J155/$G155),"")</f>
        <v>0.62</v>
      </c>
      <c r="M155" s="120">
        <f>IF(OR($A155="",$B155=""),"",COUNTIFS($A$5:A155,A155,$B$5:B155,B155))</f>
        <v>1</v>
      </c>
      <c r="N155" s="120">
        <f>IF($A155="","",COUNTA($A$5:$A155))</f>
        <v>151</v>
      </c>
      <c r="O155" s="120">
        <f>IF($A155="","",COUNTA($A$5:$A155))</f>
        <v>151</v>
      </c>
      <c r="P155" s="118">
        <f>IF($K155="","",MAX($K$5:K155))</f>
        <v>2403.3000000000002</v>
      </c>
      <c r="Q155" s="117">
        <f>IF($K155="","",K155-P155)</f>
        <v>-20.650000000000091</v>
      </c>
      <c r="R155" s="118"/>
      <c r="S155" s="2">
        <f>IF(OR($A155="",$F155=""),"",IF($I155="Pendiente","",ROUND($G155*($F155*0.609-1),2)))</f>
        <v>-0.31</v>
      </c>
      <c r="T155" s="2">
        <f>IF($A155="","",IFERROR(SUM($S$5:S155),0))</f>
        <v>223.12999999999991</v>
      </c>
    </row>
    <row r="156" spans="1:20" ht="22.5" customHeight="1">
      <c r="A156" s="110">
        <v>46202</v>
      </c>
      <c r="B156" s="150" t="s">
        <v>33</v>
      </c>
      <c r="C156" s="136" t="s">
        <v>334</v>
      </c>
      <c r="D156" s="113" t="s">
        <v>67</v>
      </c>
      <c r="E156" s="138" t="s">
        <v>232</v>
      </c>
      <c r="F156" s="115">
        <v>2.4</v>
      </c>
      <c r="G156" s="116">
        <v>11</v>
      </c>
      <c r="H156" s="120" t="s">
        <v>69</v>
      </c>
      <c r="I156" s="120" t="s">
        <v>70</v>
      </c>
      <c r="J156" s="117">
        <f>IF($A156="","",IF($I156="Ganada",ROUND($G156*($F156-1),2),IF($I156="Medio Ganada",ROUND($G156/2*($F156-1),2),IF($I156="Perdida",IF($H156="Free Bet",0,-$G156),IF($I156="Medio Perdida",IF($H156="Free Bet",0,-$G156/2),IF($I156="Reembolso",IF($R156="","",ROUND($R156-$G156,2)),IF($I156="Anulada",0,"")))))))</f>
        <v>15.4</v>
      </c>
      <c r="K156" s="118">
        <f>IF(J156="","",2000+SUM(J$5:J156))</f>
        <v>2398.0500000000002</v>
      </c>
      <c r="L156" s="119">
        <f>IF(OR($I156="Ganada",$I156="Perdida",$I156="Medio Ganada",$I156="Medio Perdida"),IF($G156=0,"",J156/$G156),"")</f>
        <v>1.4000000000000001</v>
      </c>
      <c r="M156" s="120">
        <f>IF(OR($A156="",$B156=""),"",COUNTIFS($A$5:A156,A156,$B$5:B156,B156))</f>
        <v>1</v>
      </c>
      <c r="N156" s="120">
        <f>IF($A156="","",COUNTA($A$5:$A156))</f>
        <v>152</v>
      </c>
      <c r="O156" s="120">
        <f>IF($A156="","",COUNTA($A$5:$A156))</f>
        <v>152</v>
      </c>
      <c r="P156" s="118">
        <f>IF($K156="","",MAX($K$5:K156))</f>
        <v>2403.3000000000002</v>
      </c>
      <c r="Q156" s="117">
        <f>IF($K156="","",K156-P156)</f>
        <v>-5.25</v>
      </c>
      <c r="R156" s="118"/>
      <c r="S156" s="2">
        <f>IF(OR($A156="",$F156=""),"",IF($I156="Pendiente","",ROUND($G156*($F156*0.609-1),2)))</f>
        <v>5.08</v>
      </c>
      <c r="T156" s="2">
        <f>IF($A156="","",IFERROR(SUM($S$5:S156),0))</f>
        <v>228.20999999999992</v>
      </c>
    </row>
    <row r="157" spans="1:20" ht="15" customHeight="1">
      <c r="A157" s="110">
        <v>46202</v>
      </c>
      <c r="B157" s="150" t="s">
        <v>33</v>
      </c>
      <c r="C157" s="133" t="s">
        <v>335</v>
      </c>
      <c r="D157" s="113" t="s">
        <v>76</v>
      </c>
      <c r="E157" s="137">
        <v>2</v>
      </c>
      <c r="F157" s="115">
        <v>2.0699999999999998</v>
      </c>
      <c r="G157" s="116">
        <v>23</v>
      </c>
      <c r="H157" s="120" t="s">
        <v>69</v>
      </c>
      <c r="I157" s="120" t="s">
        <v>75</v>
      </c>
      <c r="J157" s="117">
        <f>IF($A157="","",IF($I157="Ganada",ROUND($G157*($F157-1),2),IF($I157="Medio Ganada",ROUND($G157/2*($F157-1),2),IF($I157="Perdida",IF($H157="Free Bet",0,-$G157),IF($I157="Medio Perdida",IF($H157="Free Bet",0,-$G157/2),IF($I157="Reembolso",IF($R157="","",ROUND($R157-$G157,2)),IF($I157="Anulada",0,"")))))))</f>
        <v>-23</v>
      </c>
      <c r="K157" s="118">
        <f>IF(J157="","",2000+SUM(J$5:J157))</f>
        <v>2375.0500000000002</v>
      </c>
      <c r="L157" s="119">
        <f>IF(OR($I157="Ganada",$I157="Perdida",$I157="Medio Ganada",$I157="Medio Perdida"),IF($G157=0,"",J157/$G157),"")</f>
        <v>-1</v>
      </c>
      <c r="M157" s="120">
        <f>IF(OR($A157="",$B157=""),"",COUNTIFS($A$5:A157,A157,$B$5:B157,B157))</f>
        <v>2</v>
      </c>
      <c r="N157" s="120">
        <f>IF($A157="","",COUNTA($A$5:$A157))</f>
        <v>153</v>
      </c>
      <c r="O157" s="120">
        <f>IF($A157="","",COUNTA($A$5:$A157))</f>
        <v>153</v>
      </c>
      <c r="P157" s="118">
        <f>IF($K157="","",MAX($K$5:K157))</f>
        <v>2403.3000000000002</v>
      </c>
      <c r="Q157" s="117">
        <f>IF($K157="","",K157-P157)</f>
        <v>-28.25</v>
      </c>
      <c r="R157" s="118"/>
      <c r="S157" s="2">
        <f>IF(OR($A157="",$F157=""),"",IF($I157="Pendiente","",ROUND($G157*($F157*0.609-1),2)))</f>
        <v>5.99</v>
      </c>
      <c r="T157" s="2">
        <f>IF($A157="","",IFERROR(SUM($S$5:S157),0))</f>
        <v>234.19999999999993</v>
      </c>
    </row>
    <row r="158" spans="1:20" ht="22.5" customHeight="1">
      <c r="A158" s="110">
        <v>46202</v>
      </c>
      <c r="B158" s="152" t="s">
        <v>32</v>
      </c>
      <c r="C158" s="136" t="s">
        <v>336</v>
      </c>
      <c r="D158" s="113" t="s">
        <v>95</v>
      </c>
      <c r="E158" s="138" t="s">
        <v>337</v>
      </c>
      <c r="F158" s="115">
        <v>1.7</v>
      </c>
      <c r="G158" s="116">
        <v>23</v>
      </c>
      <c r="H158" s="120" t="s">
        <v>69</v>
      </c>
      <c r="I158" s="120" t="s">
        <v>70</v>
      </c>
      <c r="J158" s="117">
        <f>IF($A158="","",IF($I158="Ganada",ROUND($G158*($F158-1),2),IF($I158="Medio Ganada",ROUND($G158/2*($F158-1),2),IF($I158="Perdida",IF($H158="Free Bet",0,-$G158),IF($I158="Medio Perdida",IF($H158="Free Bet",0,-$G158/2),IF($I158="Reembolso",IF($R158="","",ROUND($R158-$G158,2)),IF($I158="Anulada",0,"")))))))</f>
        <v>16.100000000000001</v>
      </c>
      <c r="K158" s="118">
        <f>IF(J158="","",2000+SUM(J$5:J158))</f>
        <v>2391.15</v>
      </c>
      <c r="L158" s="119">
        <f>IF(OR($I158="Ganada",$I158="Perdida",$I158="Medio Ganada",$I158="Medio Perdida"),IF($G158=0,"",J158/$G158),"")</f>
        <v>0.70000000000000007</v>
      </c>
      <c r="M158" s="120">
        <f>IF(OR($A158="",$B158=""),"",COUNTIFS($A$5:A158,A158,$B$5:B158,B158))</f>
        <v>1</v>
      </c>
      <c r="N158" s="120">
        <f>IF($A158="","",COUNTA($A$5:$A158))</f>
        <v>154</v>
      </c>
      <c r="O158" s="120">
        <f>IF($A158="","",COUNTA($A$5:$A158))</f>
        <v>154</v>
      </c>
      <c r="P158" s="118">
        <f>IF($K158="","",MAX($K$5:K158))</f>
        <v>2403.3000000000002</v>
      </c>
      <c r="Q158" s="117">
        <f>IF($K158="","",K158-P158)</f>
        <v>-12.150000000000091</v>
      </c>
      <c r="R158" s="118"/>
      <c r="S158" s="2">
        <f>IF(OR($A158="",$F158=""),"",IF($I158="Pendiente","",ROUND($G158*($F158*0.609-1),2)))</f>
        <v>0.81</v>
      </c>
      <c r="T158" s="2">
        <f>IF($A158="","",IFERROR(SUM($S$5:S158),0))</f>
        <v>235.00999999999993</v>
      </c>
    </row>
    <row r="159" spans="1:20" ht="22.5" customHeight="1">
      <c r="A159" s="110">
        <v>46202</v>
      </c>
      <c r="B159" s="152" t="s">
        <v>32</v>
      </c>
      <c r="C159" s="133" t="s">
        <v>338</v>
      </c>
      <c r="D159" s="113" t="s">
        <v>95</v>
      </c>
      <c r="E159" s="138" t="s">
        <v>339</v>
      </c>
      <c r="F159" s="115">
        <v>1.7270000000000001</v>
      </c>
      <c r="G159" s="116">
        <v>23</v>
      </c>
      <c r="H159" s="120" t="s">
        <v>69</v>
      </c>
      <c r="I159" s="120" t="s">
        <v>75</v>
      </c>
      <c r="J159" s="117">
        <f>IF($A159="","",IF($I159="Ganada",ROUND($G159*($F159-1),2),IF($I159="Medio Ganada",ROUND($G159/2*($F159-1),2),IF($I159="Perdida",IF($H159="Free Bet",0,-$G159),IF($I159="Medio Perdida",IF($H159="Free Bet",0,-$G159/2),IF($I159="Reembolso",IF($R159="","",ROUND($R159-$G159,2)),IF($I159="Anulada",0,"")))))))</f>
        <v>-23</v>
      </c>
      <c r="K159" s="118">
        <f>IF(J159="","",2000+SUM(J$5:J159))</f>
        <v>2368.15</v>
      </c>
      <c r="L159" s="119">
        <f>IF(OR($I159="Ganada",$I159="Perdida",$I159="Medio Ganada",$I159="Medio Perdida"),IF($G159=0,"",J159/$G159),"")</f>
        <v>-1</v>
      </c>
      <c r="M159" s="120">
        <f>IF(OR($A159="",$B159=""),"",COUNTIFS($A$5:A159,A159,$B$5:B159,B159))</f>
        <v>2</v>
      </c>
      <c r="N159" s="120">
        <f>IF($A159="","",COUNTA($A$5:$A159))</f>
        <v>155</v>
      </c>
      <c r="O159" s="120">
        <f>IF($A159="","",COUNTA($A$5:$A159))</f>
        <v>155</v>
      </c>
      <c r="P159" s="118">
        <f>IF($K159="","",MAX($K$5:K159))</f>
        <v>2403.3000000000002</v>
      </c>
      <c r="Q159" s="117">
        <f>IF($K159="","",K159-P159)</f>
        <v>-35.150000000000091</v>
      </c>
      <c r="R159" s="118"/>
      <c r="S159" s="2">
        <f>IF(OR($A159="",$F159=""),"",IF($I159="Pendiente","",ROUND($G159*($F159*0.609-1),2)))</f>
        <v>1.19</v>
      </c>
      <c r="T159" s="2">
        <f>IF($A159="","",IFERROR(SUM($S$5:S159),0))</f>
        <v>236.19999999999993</v>
      </c>
    </row>
    <row r="160" spans="1:20" ht="22.5" customHeight="1">
      <c r="A160" s="110">
        <v>46202</v>
      </c>
      <c r="B160" s="111" t="s">
        <v>30</v>
      </c>
      <c r="C160" s="136" t="s">
        <v>340</v>
      </c>
      <c r="D160" s="113" t="s">
        <v>76</v>
      </c>
      <c r="E160" s="138" t="s">
        <v>341</v>
      </c>
      <c r="F160" s="115">
        <v>1.36</v>
      </c>
      <c r="G160" s="116">
        <v>36</v>
      </c>
      <c r="H160" s="120" t="s">
        <v>69</v>
      </c>
      <c r="I160" s="120" t="s">
        <v>75</v>
      </c>
      <c r="J160" s="117">
        <f>IF($A160="","",IF($I160="Ganada",ROUND($G160*($F160-1),2),IF($I160="Medio Ganada",ROUND($G160/2*($F160-1),2),IF($I160="Perdida",IF($H160="Free Bet",0,-$G160),IF($I160="Medio Perdida",IF($H160="Free Bet",0,-$G160/2),IF($I160="Reembolso",IF($R160="","",ROUND($R160-$G160,2)),IF($I160="Anulada",0,"")))))))</f>
        <v>-36</v>
      </c>
      <c r="K160" s="118">
        <f>IF(J160="","",2000+SUM(J$5:J160))</f>
        <v>2332.15</v>
      </c>
      <c r="L160" s="119">
        <f>IF(OR($I160="Ganada",$I160="Perdida",$I160="Medio Ganada",$I160="Medio Perdida"),IF($G160=0,"",J160/$G160),"")</f>
        <v>-1</v>
      </c>
      <c r="M160" s="120">
        <f>IF(OR($A160="",$B160=""),"",COUNTIFS($A$5:A160,A160,$B$5:B160,B160))</f>
        <v>1</v>
      </c>
      <c r="N160" s="120">
        <f>IF($A160="","",COUNTA($A$5:$A160))</f>
        <v>156</v>
      </c>
      <c r="O160" s="120">
        <f>IF($A160="","",COUNTA($A$5:$A160))</f>
        <v>156</v>
      </c>
      <c r="P160" s="118">
        <f>IF($K160="","",MAX($K$5:K160))</f>
        <v>2403.3000000000002</v>
      </c>
      <c r="Q160" s="117">
        <f>IF($K160="","",K160-P160)</f>
        <v>-71.150000000000091</v>
      </c>
      <c r="R160" s="118"/>
      <c r="S160" s="2">
        <f>IF(OR($A160="",$F160=""),"",IF($I160="Pendiente","",ROUND($G160*($F160*0.609-1),2)))</f>
        <v>-6.18</v>
      </c>
      <c r="T160" s="2">
        <f>IF($A160="","",IFERROR(SUM($S$5:S160),0))</f>
        <v>230.01999999999992</v>
      </c>
    </row>
    <row r="161" spans="1:20" ht="15" customHeight="1">
      <c r="A161" s="110">
        <v>46202</v>
      </c>
      <c r="B161" s="129" t="s">
        <v>31</v>
      </c>
      <c r="C161" s="133" t="s">
        <v>342</v>
      </c>
      <c r="D161" s="113" t="s">
        <v>67</v>
      </c>
      <c r="E161" s="137" t="s">
        <v>324</v>
      </c>
      <c r="F161" s="115">
        <v>2.4</v>
      </c>
      <c r="G161" s="116">
        <v>12</v>
      </c>
      <c r="H161" s="120" t="s">
        <v>69</v>
      </c>
      <c r="I161" s="120" t="s">
        <v>75</v>
      </c>
      <c r="J161" s="117">
        <f>IF($A161="","",IF($I161="Ganada",ROUND($G161*($F161-1),2),IF($I161="Medio Ganada",ROUND($G161/2*($F161-1),2),IF($I161="Perdida",IF($H161="Free Bet",0,-$G161),IF($I161="Medio Perdida",IF($H161="Free Bet",0,-$G161/2),IF($I161="Reembolso",IF($R161="","",ROUND($R161-$G161,2)),IF($I161="Anulada",0,"")))))))</f>
        <v>-12</v>
      </c>
      <c r="K161" s="118">
        <f>IF(J161="","",2000+SUM(J$5:J161))</f>
        <v>2320.15</v>
      </c>
      <c r="L161" s="119">
        <f>IF(OR($I161="Ganada",$I161="Perdida",$I161="Medio Ganada",$I161="Medio Perdida"),IF($G161=0,"",J161/$G161),"")</f>
        <v>-1</v>
      </c>
      <c r="M161" s="120">
        <f>IF(OR($A161="",$B161=""),"",COUNTIFS($A$5:A161,A161,$B$5:B161,B161))</f>
        <v>1</v>
      </c>
      <c r="N161" s="120">
        <f>IF($A161="","",COUNTA($A$5:$A161))</f>
        <v>157</v>
      </c>
      <c r="O161" s="120">
        <f>IF($A161="","",COUNTA($A$5:$A161))</f>
        <v>157</v>
      </c>
      <c r="P161" s="118">
        <f>IF($K161="","",MAX($K$5:K161))</f>
        <v>2403.3000000000002</v>
      </c>
      <c r="Q161" s="117">
        <f>IF($K161="","",K161-P161)</f>
        <v>-83.150000000000091</v>
      </c>
      <c r="R161" s="118"/>
      <c r="S161" s="2">
        <f>IF(OR($A161="",$F161=""),"",IF($I161="Pendiente","",ROUND($G161*($F161*0.609-1),2)))</f>
        <v>5.54</v>
      </c>
      <c r="T161" s="2">
        <f>IF($A161="","",IFERROR(SUM($S$5:S161),0))</f>
        <v>235.55999999999992</v>
      </c>
    </row>
    <row r="162" spans="1:20" ht="15" customHeight="1">
      <c r="A162" s="110">
        <v>46202</v>
      </c>
      <c r="B162" s="111" t="s">
        <v>30</v>
      </c>
      <c r="C162" s="133" t="s">
        <v>343</v>
      </c>
      <c r="D162" s="113" t="s">
        <v>67</v>
      </c>
      <c r="E162" s="137" t="s">
        <v>344</v>
      </c>
      <c r="F162" s="115">
        <v>2.12</v>
      </c>
      <c r="G162" s="116">
        <v>18</v>
      </c>
      <c r="H162" s="120" t="s">
        <v>69</v>
      </c>
      <c r="I162" s="120" t="s">
        <v>75</v>
      </c>
      <c r="J162" s="117">
        <f>IF($A162="","",IF($I162="Ganada",ROUND($G162*($F162-1),2),IF($I162="Medio Ganada",ROUND($G162/2*($F162-1),2),IF($I162="Perdida",IF($H162="Free Bet",0,-$G162),IF($I162="Medio Perdida",IF($H162="Free Bet",0,-$G162/2),IF($I162="Reembolso",IF($R162="","",ROUND($R162-$G162,2)),IF($I162="Anulada",0,"")))))))</f>
        <v>-18</v>
      </c>
      <c r="K162" s="118">
        <f>IF(J162="","",2000+SUM(J$5:J162))</f>
        <v>2302.15</v>
      </c>
      <c r="L162" s="119">
        <f>IF(OR($I162="Ganada",$I162="Perdida",$I162="Medio Ganada",$I162="Medio Perdida"),IF($G162=0,"",J162/$G162),"")</f>
        <v>-1</v>
      </c>
      <c r="M162" s="120">
        <f>IF(OR($A162="",$B162=""),"",COUNTIFS($A$5:A162,A162,$B$5:B162,B162))</f>
        <v>2</v>
      </c>
      <c r="N162" s="120">
        <f>IF($A162="","",COUNTA($A$5:$A162))</f>
        <v>158</v>
      </c>
      <c r="O162" s="120">
        <f>IF($A162="","",COUNTA($A$5:$A162))</f>
        <v>158</v>
      </c>
      <c r="P162" s="118">
        <f>IF($K162="","",MAX($K$5:K162))</f>
        <v>2403.3000000000002</v>
      </c>
      <c r="Q162" s="117">
        <f>IF($K162="","",K162-P162)</f>
        <v>-101.15000000000009</v>
      </c>
      <c r="R162" s="118"/>
      <c r="S162" s="2">
        <f>IF(OR($A162="",$F162=""),"",IF($I162="Pendiente","",ROUND($G162*($F162*0.609-1),2)))</f>
        <v>5.24</v>
      </c>
      <c r="T162" s="2">
        <f>IF($A162="","",IFERROR(SUM($S$5:S162),0))</f>
        <v>240.79999999999993</v>
      </c>
    </row>
    <row r="163" spans="1:20" ht="15" customHeight="1">
      <c r="A163" s="110">
        <v>46202</v>
      </c>
      <c r="B163" s="152" t="s">
        <v>32</v>
      </c>
      <c r="C163" s="133" t="s">
        <v>345</v>
      </c>
      <c r="D163" s="113" t="s">
        <v>95</v>
      </c>
      <c r="E163" s="137" t="s">
        <v>346</v>
      </c>
      <c r="F163" s="115">
        <v>1.9</v>
      </c>
      <c r="G163" s="116">
        <v>18</v>
      </c>
      <c r="H163" s="120" t="s">
        <v>69</v>
      </c>
      <c r="I163" s="120" t="s">
        <v>70</v>
      </c>
      <c r="J163" s="117">
        <f>IF($A163="","",IF($I163="Ganada",ROUND($G163*($F163-1),2),IF($I163="Medio Ganada",ROUND($G163/2*($F163-1),2),IF($I163="Perdida",IF($H163="Free Bet",0,-$G163),IF($I163="Medio Perdida",IF($H163="Free Bet",0,-$G163/2),IF($I163="Reembolso",IF($R163="","",ROUND($R163-$G163,2)),IF($I163="Anulada",0,"")))))))</f>
        <v>16.2</v>
      </c>
      <c r="K163" s="118">
        <f>IF(J163="","",2000+SUM(J$5:J163))</f>
        <v>2318.35</v>
      </c>
      <c r="L163" s="119">
        <f>IF(OR($I163="Ganada",$I163="Perdida",$I163="Medio Ganada",$I163="Medio Perdida"),IF($G163=0,"",J163/$G163),"")</f>
        <v>0.89999999999999991</v>
      </c>
      <c r="M163" s="120">
        <f>IF(OR($A163="",$B163=""),"",COUNTIFS($A$5:A163,A163,$B$5:B163,B163))</f>
        <v>3</v>
      </c>
      <c r="N163" s="120">
        <f>IF($A163="","",COUNTA($A$5:$A163))</f>
        <v>159</v>
      </c>
      <c r="O163" s="120">
        <f>IF($A163="","",COUNTA($A$5:$A163))</f>
        <v>159</v>
      </c>
      <c r="P163" s="118">
        <f>IF($K163="","",MAX($K$5:K163))</f>
        <v>2403.3000000000002</v>
      </c>
      <c r="Q163" s="117">
        <f>IF($K163="","",K163-P163)</f>
        <v>-84.950000000000273</v>
      </c>
      <c r="R163" s="118"/>
      <c r="S163" s="2">
        <f>IF(OR($A163="",$F163=""),"",IF($I163="Pendiente","",ROUND($G163*($F163*0.609-1),2)))</f>
        <v>2.83</v>
      </c>
      <c r="T163" s="2">
        <f>IF($A163="","",IFERROR(SUM($S$5:S163),0))</f>
        <v>243.62999999999994</v>
      </c>
    </row>
    <row r="164" spans="1:20" ht="22.5" customHeight="1">
      <c r="A164" s="110">
        <v>46202</v>
      </c>
      <c r="B164" s="152" t="s">
        <v>32</v>
      </c>
      <c r="C164" s="153" t="s">
        <v>347</v>
      </c>
      <c r="D164" s="113" t="s">
        <v>76</v>
      </c>
      <c r="E164" s="138" t="s">
        <v>348</v>
      </c>
      <c r="F164" s="115">
        <v>1.7270000000000001</v>
      </c>
      <c r="G164" s="116">
        <v>22</v>
      </c>
      <c r="H164" s="120" t="s">
        <v>69</v>
      </c>
      <c r="I164" s="120" t="s">
        <v>70</v>
      </c>
      <c r="J164" s="117">
        <f>IF($A164="","",IF($I164="Ganada",ROUND($G164*($F164-1),2),IF($I164="Medio Ganada",ROUND($G164/2*($F164-1),2),IF($I164="Perdida",IF($H164="Free Bet",0,-$G164),IF($I164="Medio Perdida",IF($H164="Free Bet",0,-$G164/2),IF($I164="Reembolso",IF($R164="","",ROUND($R164-$G164,2)),IF($I164="Anulada",0,"")))))))</f>
        <v>15.99</v>
      </c>
      <c r="K164" s="118">
        <f>IF(J164="","",2000+SUM(J$5:J164))</f>
        <v>2334.34</v>
      </c>
      <c r="L164" s="119">
        <f>IF(OR($I164="Ganada",$I164="Perdida",$I164="Medio Ganada",$I164="Medio Perdida"),IF($G164=0,"",J164/$G164),"")</f>
        <v>0.72681818181818181</v>
      </c>
      <c r="M164" s="120">
        <f>IF(OR($A164="",$B164=""),"",COUNTIFS($A$5:A164,A164,$B$5:B164,B164))</f>
        <v>4</v>
      </c>
      <c r="N164" s="120">
        <f>IF($A164="","",COUNTA($A$5:$A164))</f>
        <v>160</v>
      </c>
      <c r="O164" s="120">
        <f>IF($A164="","",COUNTA($A$5:$A164))</f>
        <v>160</v>
      </c>
      <c r="P164" s="118">
        <f>IF($K164="","",MAX($K$5:K164))</f>
        <v>2403.3000000000002</v>
      </c>
      <c r="Q164" s="117">
        <f>IF($K164="","",K164-P164)</f>
        <v>-68.960000000000036</v>
      </c>
      <c r="R164" s="118"/>
      <c r="S164" s="2">
        <f>IF(OR($A164="",$F164=""),"",IF($I164="Pendiente","",ROUND($G164*($F164*0.609-1),2)))</f>
        <v>1.1399999999999999</v>
      </c>
      <c r="T164" s="2">
        <f>IF($A164="","",IFERROR(SUM($S$5:S164),0))</f>
        <v>244.76999999999992</v>
      </c>
    </row>
    <row r="165" spans="1:20" ht="15" customHeight="1">
      <c r="A165" s="110">
        <v>46202</v>
      </c>
      <c r="B165" s="152" t="s">
        <v>32</v>
      </c>
      <c r="C165" s="133" t="s">
        <v>349</v>
      </c>
      <c r="D165" s="113" t="s">
        <v>67</v>
      </c>
      <c r="E165" s="137" t="s">
        <v>350</v>
      </c>
      <c r="F165" s="115">
        <v>2.1</v>
      </c>
      <c r="G165" s="116">
        <v>22</v>
      </c>
      <c r="H165" s="120" t="s">
        <v>69</v>
      </c>
      <c r="I165" s="120" t="s">
        <v>70</v>
      </c>
      <c r="J165" s="117">
        <f>IF($A165="","",IF($I165="Ganada",ROUND($G165*($F165-1),2),IF($I165="Medio Ganada",ROUND($G165/2*($F165-1),2),IF($I165="Perdida",IF($H165="Free Bet",0,-$G165),IF($I165="Medio Perdida",IF($H165="Free Bet",0,-$G165/2),IF($I165="Reembolso",IF($R165="","",ROUND($R165-$G165,2)),IF($I165="Anulada",0,"")))))))</f>
        <v>24.2</v>
      </c>
      <c r="K165" s="118">
        <f>IF(J165="","",2000+SUM(J$5:J165))</f>
        <v>2358.54</v>
      </c>
      <c r="L165" s="119">
        <f>IF(OR($I165="Ganada",$I165="Perdida",$I165="Medio Ganada",$I165="Medio Perdida"),IF($G165=0,"",J165/$G165),"")</f>
        <v>1.0999999999999999</v>
      </c>
      <c r="M165" s="120">
        <f>IF(OR($A165="",$B165=""),"",COUNTIFS($A$5:A165,A165,$B$5:B165,B165))</f>
        <v>5</v>
      </c>
      <c r="N165" s="120">
        <f>IF($A165="","",COUNTA($A$5:$A165))</f>
        <v>161</v>
      </c>
      <c r="O165" s="120">
        <f>IF($A165="","",COUNTA($A$5:$A165))</f>
        <v>161</v>
      </c>
      <c r="P165" s="118">
        <f>IF($K165="","",MAX($K$5:K165))</f>
        <v>2403.3000000000002</v>
      </c>
      <c r="Q165" s="117">
        <f>IF($K165="","",K165-P165)</f>
        <v>-44.760000000000218</v>
      </c>
      <c r="R165" s="118"/>
      <c r="S165" s="2">
        <f>IF(OR($A165="",$F165=""),"",IF($I165="Pendiente","",ROUND($G165*($F165*0.609-1),2)))</f>
        <v>6.14</v>
      </c>
      <c r="T165" s="2">
        <f>IF($A165="","",IFERROR(SUM($S$5:S165),0))</f>
        <v>250.90999999999991</v>
      </c>
    </row>
    <row r="166" spans="1:20" ht="15" customHeight="1">
      <c r="A166" s="110">
        <v>46202</v>
      </c>
      <c r="B166" s="132" t="s">
        <v>29</v>
      </c>
      <c r="C166" s="133" t="s">
        <v>351</v>
      </c>
      <c r="D166" s="113" t="s">
        <v>67</v>
      </c>
      <c r="E166" s="137" t="s">
        <v>324</v>
      </c>
      <c r="F166" s="115">
        <v>1.52</v>
      </c>
      <c r="G166" s="116">
        <v>23</v>
      </c>
      <c r="H166" s="120" t="s">
        <v>69</v>
      </c>
      <c r="I166" s="120" t="s">
        <v>75</v>
      </c>
      <c r="J166" s="117">
        <f>IF($A166="","",IF($I166="Ganada",ROUND($G166*($F166-1),2),IF($I166="Medio Ganada",ROUND($G166/2*($F166-1),2),IF($I166="Perdida",IF($H166="Free Bet",0,-$G166),IF($I166="Medio Perdida",IF($H166="Free Bet",0,-$G166/2),IF($I166="Reembolso",IF($R166="","",ROUND($R166-$G166,2)),IF($I166="Anulada",0,"")))))))</f>
        <v>-23</v>
      </c>
      <c r="K166" s="118">
        <f>IF(J166="","",2000+SUM(J$5:J166))</f>
        <v>2335.54</v>
      </c>
      <c r="L166" s="119">
        <f>IF(OR($I166="Ganada",$I166="Perdida",$I166="Medio Ganada",$I166="Medio Perdida"),IF($G166=0,"",J166/$G166),"")</f>
        <v>-1</v>
      </c>
      <c r="M166" s="120">
        <f>IF(OR($A166="",$B166=""),"",COUNTIFS($A$5:A166,A166,$B$5:B166,B166))</f>
        <v>1</v>
      </c>
      <c r="N166" s="120">
        <f>IF($A166="","",COUNTA($A$5:$A166))</f>
        <v>162</v>
      </c>
      <c r="O166" s="120">
        <f>IF($A166="","",COUNTA($A$5:$A166))</f>
        <v>162</v>
      </c>
      <c r="P166" s="118">
        <f>IF($K166="","",MAX($K$5:K166))</f>
        <v>2403.3000000000002</v>
      </c>
      <c r="Q166" s="117">
        <f>IF($K166="","",K166-P166)</f>
        <v>-67.760000000000218</v>
      </c>
      <c r="R166" s="118"/>
      <c r="S166" s="2">
        <f>IF(OR($A166="",$F166=""),"",IF($I166="Pendiente","",ROUND($G166*($F166*0.609-1),2)))</f>
        <v>-1.71</v>
      </c>
      <c r="T166" s="2">
        <f>IF($A166="","",IFERROR(SUM($S$5:S166),0))</f>
        <v>249.1999999999999</v>
      </c>
    </row>
    <row r="167" spans="1:20" ht="15" customHeight="1">
      <c r="A167" s="110">
        <v>46203</v>
      </c>
      <c r="B167" s="132" t="s">
        <v>29</v>
      </c>
      <c r="C167" s="133" t="s">
        <v>352</v>
      </c>
      <c r="D167" s="113" t="s">
        <v>76</v>
      </c>
      <c r="E167" s="137" t="s">
        <v>167</v>
      </c>
      <c r="F167" s="115">
        <v>1.47</v>
      </c>
      <c r="G167" s="116">
        <v>22</v>
      </c>
      <c r="H167" s="120" t="s">
        <v>69</v>
      </c>
      <c r="I167" s="120" t="s">
        <v>75</v>
      </c>
      <c r="J167" s="117">
        <f>IF($A167="","",IF($I167="Ganada",ROUND($G167*($F167-1),2),IF($I167="Medio Ganada",ROUND($G167/2*($F167-1),2),IF($I167="Perdida",IF($H167="Free Bet",0,-$G167),IF($I167="Medio Perdida",IF($H167="Free Bet",0,-$G167/2),IF($I167="Reembolso",IF($R167="","",ROUND($R167-$G167,2)),IF($I167="Anulada",0,"")))))))</f>
        <v>-22</v>
      </c>
      <c r="K167" s="118">
        <f>IF(J167="","",2000+SUM(J$5:J167))</f>
        <v>2313.54</v>
      </c>
      <c r="L167" s="119">
        <f>IF(OR($I167="Ganada",$I167="Perdida",$I167="Medio Ganada",$I167="Medio Perdida"),IF($G167=0,"",J167/$G167),"")</f>
        <v>-1</v>
      </c>
      <c r="M167" s="120">
        <f>IF(OR($A167="",$B167=""),"",COUNTIFS($A$5:A167,A167,$B$5:B167,B167))</f>
        <v>1</v>
      </c>
      <c r="N167" s="120">
        <f>IF($A167="","",COUNTA($A$5:$A167))</f>
        <v>163</v>
      </c>
      <c r="O167" s="120">
        <f>IF($A167="","",COUNTA($A$5:$A167))</f>
        <v>163</v>
      </c>
      <c r="P167" s="118">
        <f>IF($K167="","",MAX($K$5:K167))</f>
        <v>2403.3000000000002</v>
      </c>
      <c r="Q167" s="117">
        <f>IF($K167="","",K167-P167)</f>
        <v>-89.760000000000218</v>
      </c>
      <c r="R167" s="118"/>
      <c r="S167" s="2">
        <f>IF(OR($A167="",$F167=""),"",IF($I167="Pendiente","",ROUND($G167*($F167*0.609-1),2)))</f>
        <v>-2.2999999999999998</v>
      </c>
      <c r="T167" s="2">
        <f>IF($A167="","",IFERROR(SUM($S$5:S167),0))</f>
        <v>246.89999999999989</v>
      </c>
    </row>
    <row r="168" spans="1:20" ht="22.5" customHeight="1">
      <c r="A168" s="110">
        <v>46203</v>
      </c>
      <c r="B168" s="132" t="s">
        <v>29</v>
      </c>
      <c r="C168" s="136" t="s">
        <v>353</v>
      </c>
      <c r="D168" s="113" t="s">
        <v>76</v>
      </c>
      <c r="E168" s="137" t="s">
        <v>354</v>
      </c>
      <c r="F168" s="115">
        <v>1.44</v>
      </c>
      <c r="G168" s="116">
        <v>22</v>
      </c>
      <c r="H168" s="120" t="s">
        <v>69</v>
      </c>
      <c r="I168" s="120" t="s">
        <v>70</v>
      </c>
      <c r="J168" s="117">
        <f>IF($A168="","",IF($I168="Ganada",ROUND($G168*($F168-1),2),IF($I168="Medio Ganada",ROUND($G168/2*($F168-1),2),IF($I168="Perdida",IF($H168="Free Bet",0,-$G168),IF($I168="Medio Perdida",IF($H168="Free Bet",0,-$G168/2),IF($I168="Reembolso",IF($R168="","",ROUND($R168-$G168,2)),IF($I168="Anulada",0,"")))))))</f>
        <v>9.68</v>
      </c>
      <c r="K168" s="118">
        <f>IF(J168="","",2000+SUM(J$5:J168))</f>
        <v>2323.2200000000003</v>
      </c>
      <c r="L168" s="119">
        <f>IF(OR($I168="Ganada",$I168="Perdida",$I168="Medio Ganada",$I168="Medio Perdida"),IF($G168=0,"",J168/$G168),"")</f>
        <v>0.44</v>
      </c>
      <c r="M168" s="120">
        <f>IF(OR($A168="",$B168=""),"",COUNTIFS($A$5:A168,A168,$B$5:B168,B168))</f>
        <v>2</v>
      </c>
      <c r="N168" s="120">
        <f>IF($A168="","",COUNTA($A$5:$A168))</f>
        <v>164</v>
      </c>
      <c r="O168" s="120">
        <f>IF($A168="","",COUNTA($A$5:$A168))</f>
        <v>164</v>
      </c>
      <c r="P168" s="118">
        <f>IF($K168="","",MAX($K$5:K168))</f>
        <v>2403.3000000000002</v>
      </c>
      <c r="Q168" s="117">
        <f>IF($K168="","",K168-P168)</f>
        <v>-80.079999999999927</v>
      </c>
      <c r="R168" s="118"/>
      <c r="S168" s="2">
        <f>IF(OR($A168="",$F168=""),"",IF($I168="Pendiente","",ROUND($G168*($F168*0.609-1),2)))</f>
        <v>-2.71</v>
      </c>
      <c r="T168" s="2">
        <f>IF($A168="","",IFERROR(SUM($S$5:S168),0))</f>
        <v>244.18999999999988</v>
      </c>
    </row>
    <row r="169" spans="1:20" ht="22.5" customHeight="1">
      <c r="A169" s="110">
        <v>46203</v>
      </c>
      <c r="B169" s="152" t="s">
        <v>32</v>
      </c>
      <c r="C169" s="136" t="s">
        <v>355</v>
      </c>
      <c r="D169" s="113" t="s">
        <v>76</v>
      </c>
      <c r="E169" s="138" t="s">
        <v>356</v>
      </c>
      <c r="F169" s="115">
        <v>1.5</v>
      </c>
      <c r="G169" s="116">
        <v>22</v>
      </c>
      <c r="H169" s="120" t="s">
        <v>69</v>
      </c>
      <c r="I169" s="120" t="s">
        <v>75</v>
      </c>
      <c r="J169" s="117">
        <f>IF($A169="","",IF($I169="Ganada",ROUND($G169*($F169-1),2),IF($I169="Medio Ganada",ROUND($G169/2*($F169-1),2),IF($I169="Perdida",IF($H169="Free Bet",0,-$G169),IF($I169="Medio Perdida",IF($H169="Free Bet",0,-$G169/2),IF($I169="Reembolso",IF($R169="","",ROUND($R169-$G169,2)),IF($I169="Anulada",0,"")))))))</f>
        <v>-22</v>
      </c>
      <c r="K169" s="118">
        <f>IF(J169="","",2000+SUM(J$5:J169))</f>
        <v>2301.2200000000003</v>
      </c>
      <c r="L169" s="119">
        <f>IF(OR($I169="Ganada",$I169="Perdida",$I169="Medio Ganada",$I169="Medio Perdida"),IF($G169=0,"",J169/$G169),"")</f>
        <v>-1</v>
      </c>
      <c r="M169" s="120">
        <f>IF(OR($A169="",$B169=""),"",COUNTIFS($A$5:A169,A169,$B$5:B169,B169))</f>
        <v>1</v>
      </c>
      <c r="N169" s="120">
        <f>IF($A169="","",COUNTA($A$5:$A169))</f>
        <v>165</v>
      </c>
      <c r="O169" s="120">
        <f>IF($A169="","",COUNTA($A$5:$A169))</f>
        <v>165</v>
      </c>
      <c r="P169" s="118">
        <f>IF($K169="","",MAX($K$5:K169))</f>
        <v>2403.3000000000002</v>
      </c>
      <c r="Q169" s="117">
        <f>IF($K169="","",K169-P169)</f>
        <v>-102.07999999999993</v>
      </c>
      <c r="R169" s="118"/>
      <c r="S169" s="2">
        <f>IF(OR($A169="",$F169=""),"",IF($I169="Pendiente","",ROUND($G169*($F169*0.609-1),2)))</f>
        <v>-1.9</v>
      </c>
      <c r="T169" s="2">
        <f>IF($A169="","",IFERROR(SUM($S$5:S169),0))</f>
        <v>242.28999999999988</v>
      </c>
    </row>
    <row r="170" spans="1:20" ht="15" customHeight="1">
      <c r="A170" s="110">
        <v>46203</v>
      </c>
      <c r="B170" s="152" t="s">
        <v>32</v>
      </c>
      <c r="C170" s="136" t="s">
        <v>357</v>
      </c>
      <c r="D170" s="113" t="s">
        <v>76</v>
      </c>
      <c r="E170" s="137" t="s">
        <v>167</v>
      </c>
      <c r="F170" s="115">
        <v>1.8</v>
      </c>
      <c r="G170" s="116">
        <v>18</v>
      </c>
      <c r="H170" s="120" t="s">
        <v>69</v>
      </c>
      <c r="I170" s="120" t="s">
        <v>70</v>
      </c>
      <c r="J170" s="117">
        <f>IF($A170="","",IF($I170="Ganada",ROUND($G170*($F170-1),2),IF($I170="Medio Ganada",ROUND($G170/2*($F170-1),2),IF($I170="Perdida",IF($H170="Free Bet",0,-$G170),IF($I170="Medio Perdida",IF($H170="Free Bet",0,-$G170/2),IF($I170="Reembolso",IF($R170="","",ROUND($R170-$G170,2)),IF($I170="Anulada",0,"")))))))</f>
        <v>14.4</v>
      </c>
      <c r="K170" s="118">
        <f>IF(J170="","",2000+SUM(J$5:J170))</f>
        <v>2315.62</v>
      </c>
      <c r="L170" s="119">
        <f>IF(OR($I170="Ganada",$I170="Perdida",$I170="Medio Ganada",$I170="Medio Perdida"),IF($G170=0,"",J170/$G170),"")</f>
        <v>0.8</v>
      </c>
      <c r="M170" s="120">
        <f>IF(OR($A170="",$B170=""),"",COUNTIFS($A$5:A170,A170,$B$5:B170,B170))</f>
        <v>2</v>
      </c>
      <c r="N170" s="120">
        <f>IF($A170="","",COUNTA($A$5:$A170))</f>
        <v>166</v>
      </c>
      <c r="O170" s="120">
        <f>IF($A170="","",COUNTA($A$5:$A170))</f>
        <v>166</v>
      </c>
      <c r="P170" s="118">
        <f>IF($K170="","",MAX($K$5:K170))</f>
        <v>2403.3000000000002</v>
      </c>
      <c r="Q170" s="117">
        <f>IF($K170="","",K170-P170)</f>
        <v>-87.680000000000291</v>
      </c>
      <c r="R170" s="118"/>
      <c r="S170" s="2">
        <f>IF(OR($A170="",$F170=""),"",IF($I170="Pendiente","",ROUND($G170*($F170*0.609-1),2)))</f>
        <v>1.73</v>
      </c>
      <c r="T170" s="2">
        <f>IF($A170="","",IFERROR(SUM($S$5:S170),0))</f>
        <v>244.01999999999987</v>
      </c>
    </row>
    <row r="171" spans="1:20" ht="22.5" customHeight="1">
      <c r="A171" s="110">
        <v>46203</v>
      </c>
      <c r="B171" s="152" t="s">
        <v>32</v>
      </c>
      <c r="C171" s="133" t="s">
        <v>358</v>
      </c>
      <c r="D171" s="113" t="s">
        <v>76</v>
      </c>
      <c r="E171" s="138" t="s">
        <v>358</v>
      </c>
      <c r="F171" s="115">
        <v>1.7270000000000001</v>
      </c>
      <c r="G171" s="116">
        <v>22</v>
      </c>
      <c r="H171" s="120" t="s">
        <v>69</v>
      </c>
      <c r="I171" s="120" t="s">
        <v>70</v>
      </c>
      <c r="J171" s="117">
        <f>IF($A171="","",IF($I171="Ganada",ROUND($G171*($F171-1),2),IF($I171="Medio Ganada",ROUND($G171/2*($F171-1),2),IF($I171="Perdida",IF($H171="Free Bet",0,-$G171),IF($I171="Medio Perdida",IF($H171="Free Bet",0,-$G171/2),IF($I171="Reembolso",IF($R171="","",ROUND($R171-$G171,2)),IF($I171="Anulada",0,"")))))))</f>
        <v>15.99</v>
      </c>
      <c r="K171" s="118">
        <f>IF(J171="","",2000+SUM(J$5:J171))</f>
        <v>2331.61</v>
      </c>
      <c r="L171" s="119">
        <f>IF(OR($I171="Ganada",$I171="Perdida",$I171="Medio Ganada",$I171="Medio Perdida"),IF($G171=0,"",J171/$G171),"")</f>
        <v>0.72681818181818181</v>
      </c>
      <c r="M171" s="120">
        <f>IF(OR($A171="",$B171=""),"",COUNTIFS($A$5:A171,A171,$B$5:B171,B171))</f>
        <v>3</v>
      </c>
      <c r="N171" s="120">
        <f>IF($A171="","",COUNTA($A$5:$A171))</f>
        <v>167</v>
      </c>
      <c r="O171" s="120">
        <f>IF($A171="","",COUNTA($A$5:$A171))</f>
        <v>167</v>
      </c>
      <c r="P171" s="118">
        <f>IF($K171="","",MAX($K$5:K171))</f>
        <v>2403.3000000000002</v>
      </c>
      <c r="Q171" s="117">
        <f>IF($K171="","",K171-P171)</f>
        <v>-71.690000000000055</v>
      </c>
      <c r="R171" s="118"/>
      <c r="S171" s="2">
        <f>IF(OR($A171="",$F171=""),"",IF($I171="Pendiente","",ROUND($G171*($F171*0.609-1),2)))</f>
        <v>1.1399999999999999</v>
      </c>
      <c r="T171" s="2">
        <f>IF($A171="","",IFERROR(SUM($S$5:S171),0))</f>
        <v>245.15999999999985</v>
      </c>
    </row>
    <row r="172" spans="1:20" ht="15" customHeight="1">
      <c r="A172" s="110">
        <v>46203</v>
      </c>
      <c r="B172" s="124" t="s">
        <v>28</v>
      </c>
      <c r="C172" s="133" t="s">
        <v>359</v>
      </c>
      <c r="D172" s="113" t="s">
        <v>95</v>
      </c>
      <c r="E172" s="137" t="s">
        <v>312</v>
      </c>
      <c r="F172" s="115">
        <v>1.6</v>
      </c>
      <c r="G172" s="116">
        <v>22</v>
      </c>
      <c r="H172" s="120" t="s">
        <v>69</v>
      </c>
      <c r="I172" s="120" t="s">
        <v>75</v>
      </c>
      <c r="J172" s="117">
        <f>IF($A172="","",IF($I172="Ganada",ROUND($G172*($F172-1),2),IF($I172="Medio Ganada",ROUND($G172/2*($F172-1),2),IF($I172="Perdida",IF($H172="Free Bet",0,-$G172),IF($I172="Medio Perdida",IF($H172="Free Bet",0,-$G172/2),IF($I172="Reembolso",IF($R172="","",ROUND($R172-$G172,2)),IF($I172="Anulada",0,"")))))))</f>
        <v>-22</v>
      </c>
      <c r="K172" s="118">
        <f>IF(J172="","",2000+SUM(J$5:J172))</f>
        <v>2309.61</v>
      </c>
      <c r="L172" s="119">
        <f>IF(OR($I172="Ganada",$I172="Perdida",$I172="Medio Ganada",$I172="Medio Perdida"),IF($G172=0,"",J172/$G172),"")</f>
        <v>-1</v>
      </c>
      <c r="M172" s="120">
        <f>IF(OR($A172="",$B172=""),"",COUNTIFS($A$5:A172,A172,$B$5:B172,B172))</f>
        <v>1</v>
      </c>
      <c r="N172" s="120">
        <f>IF($A172="","",COUNTA($A$5:$A172))</f>
        <v>168</v>
      </c>
      <c r="O172" s="120">
        <f>IF($A172="","",COUNTA($A$5:$A172))</f>
        <v>168</v>
      </c>
      <c r="P172" s="118">
        <f>IF($K172="","",MAX($K$5:K172))</f>
        <v>2403.3000000000002</v>
      </c>
      <c r="Q172" s="117">
        <f>IF($K172="","",K172-P172)</f>
        <v>-93.690000000000055</v>
      </c>
      <c r="R172" s="118"/>
      <c r="S172" s="2">
        <f>IF(OR($A172="",$F172=""),"",IF($I172="Pendiente","",ROUND($G172*($F172*0.609-1),2)))</f>
        <v>-0.56000000000000005</v>
      </c>
      <c r="T172" s="2">
        <f>IF($A172="","",IFERROR(SUM($S$5:S172),0))</f>
        <v>244.59999999999985</v>
      </c>
    </row>
    <row r="173" spans="1:20" ht="15" customHeight="1">
      <c r="A173" s="110">
        <v>46203</v>
      </c>
      <c r="B173" s="150" t="s">
        <v>33</v>
      </c>
      <c r="C173" s="136" t="s">
        <v>360</v>
      </c>
      <c r="D173" s="113" t="s">
        <v>76</v>
      </c>
      <c r="E173" s="137" t="s">
        <v>272</v>
      </c>
      <c r="F173" s="115">
        <v>1.4</v>
      </c>
      <c r="G173" s="116">
        <v>22</v>
      </c>
      <c r="H173" s="120" t="s">
        <v>69</v>
      </c>
      <c r="I173" s="120" t="s">
        <v>70</v>
      </c>
      <c r="J173" s="117">
        <f>IF($A173="","",IF($I173="Ganada",ROUND($G173*($F173-1),2),IF($I173="Medio Ganada",ROUND($G173/2*($F173-1),2),IF($I173="Perdida",IF($H173="Free Bet",0,-$G173),IF($I173="Medio Perdida",IF($H173="Free Bet",0,-$G173/2),IF($I173="Reembolso",IF($R173="","",ROUND($R173-$G173,2)),IF($I173="Anulada",0,"")))))))</f>
        <v>8.8000000000000007</v>
      </c>
      <c r="K173" s="118">
        <f>IF(J173="","",2000+SUM(J$5:J173))</f>
        <v>2318.41</v>
      </c>
      <c r="L173" s="119">
        <f>IF(OR($I173="Ganada",$I173="Perdida",$I173="Medio Ganada",$I173="Medio Perdida"),IF($G173=0,"",J173/$G173),"")</f>
        <v>0.4</v>
      </c>
      <c r="M173" s="120">
        <f>IF(OR($A173="",$B173=""),"",COUNTIFS($A$5:A173,A173,$B$5:B173,B173))</f>
        <v>1</v>
      </c>
      <c r="N173" s="120">
        <f>IF($A173="","",COUNTA($A$5:$A173))</f>
        <v>169</v>
      </c>
      <c r="O173" s="120">
        <f>IF($A173="","",COUNTA($A$5:$A173))</f>
        <v>169</v>
      </c>
      <c r="P173" s="118">
        <f>IF($K173="","",MAX($K$5:K173))</f>
        <v>2403.3000000000002</v>
      </c>
      <c r="Q173" s="117">
        <f>IF($K173="","",K173-P173)</f>
        <v>-84.890000000000327</v>
      </c>
      <c r="R173" s="118"/>
      <c r="S173" s="2">
        <f>IF(OR($A173="",$F173=""),"",IF($I173="Pendiente","",ROUND($G173*($F173*0.609-1),2)))</f>
        <v>-3.24</v>
      </c>
      <c r="T173" s="2">
        <f>IF($A173="","",IFERROR(SUM($S$5:S173),0))</f>
        <v>241.35999999999984</v>
      </c>
    </row>
    <row r="174" spans="1:20" ht="15" customHeight="1">
      <c r="A174" s="110">
        <v>46203</v>
      </c>
      <c r="B174" s="129" t="s">
        <v>31</v>
      </c>
      <c r="C174" s="154" t="s">
        <v>361</v>
      </c>
      <c r="D174" s="113" t="s">
        <v>67</v>
      </c>
      <c r="E174" s="137" t="s">
        <v>258</v>
      </c>
      <c r="F174" s="115">
        <v>2.2999999999999998</v>
      </c>
      <c r="G174" s="116">
        <v>11</v>
      </c>
      <c r="H174" s="120" t="s">
        <v>69</v>
      </c>
      <c r="I174" s="120" t="s">
        <v>75</v>
      </c>
      <c r="J174" s="117">
        <f>IF($A174="","",IF($I174="Ganada",ROUND($G174*($F174-1),2),IF($I174="Medio Ganada",ROUND($G174/2*($F174-1),2),IF($I174="Perdida",IF($H174="Free Bet",0,-$G174),IF($I174="Medio Perdida",IF($H174="Free Bet",0,-$G174/2),IF($I174="Reembolso",IF($R174="","",ROUND($R174-$G174,2)),IF($I174="Anulada",0,"")))))))</f>
        <v>-11</v>
      </c>
      <c r="K174" s="118">
        <f>IF(J174="","",2000+SUM(J$5:J174))</f>
        <v>2307.41</v>
      </c>
      <c r="L174" s="119">
        <f>IF(OR($I174="Ganada",$I174="Perdida",$I174="Medio Ganada",$I174="Medio Perdida"),IF($G174=0,"",J174/$G174),"")</f>
        <v>-1</v>
      </c>
      <c r="M174" s="120">
        <f>IF(OR($A174="",$B174=""),"",COUNTIFS($A$5:A174,A174,$B$5:B174,B174))</f>
        <v>1</v>
      </c>
      <c r="N174" s="120">
        <f>IF($A174="","",COUNTA($A$5:$A174))</f>
        <v>170</v>
      </c>
      <c r="O174" s="120">
        <f>IF($A174="","",COUNTA($A$5:$A174))</f>
        <v>170</v>
      </c>
      <c r="P174" s="118">
        <f>IF($K174="","",MAX($K$5:K174))</f>
        <v>2403.3000000000002</v>
      </c>
      <c r="Q174" s="117">
        <f>IF($K174="","",K174-P174)</f>
        <v>-95.890000000000327</v>
      </c>
      <c r="R174" s="118"/>
      <c r="S174" s="2">
        <f>IF(OR($A174="",$F174=""),"",IF($I174="Pendiente","",ROUND($G174*($F174*0.609-1),2)))</f>
        <v>4.41</v>
      </c>
      <c r="T174" s="2">
        <f>IF($A174="","",IFERROR(SUM($S$5:S174),0))</f>
        <v>245.76999999999984</v>
      </c>
    </row>
    <row r="175" spans="1:20" ht="22.5" customHeight="1">
      <c r="A175" s="110">
        <v>46203</v>
      </c>
      <c r="B175" s="129" t="s">
        <v>31</v>
      </c>
      <c r="C175" s="154" t="s">
        <v>362</v>
      </c>
      <c r="D175" s="113" t="s">
        <v>67</v>
      </c>
      <c r="E175" s="138" t="s">
        <v>232</v>
      </c>
      <c r="F175" s="115">
        <v>2.15</v>
      </c>
      <c r="G175" s="116">
        <v>18</v>
      </c>
      <c r="H175" s="120" t="s">
        <v>69</v>
      </c>
      <c r="I175" s="120" t="s">
        <v>70</v>
      </c>
      <c r="J175" s="117">
        <f>IF($A175="","",IF($I175="Ganada",ROUND($G175*($F175-1),2),IF($I175="Medio Ganada",ROUND($G175/2*($F175-1),2),IF($I175="Perdida",IF($H175="Free Bet",0,-$G175),IF($I175="Medio Perdida",IF($H175="Free Bet",0,-$G175/2),IF($I175="Reembolso",IF($R175="","",ROUND($R175-$G175,2)),IF($I175="Anulada",0,"")))))))</f>
        <v>20.7</v>
      </c>
      <c r="K175" s="118">
        <f>IF(J175="","",2000+SUM(J$5:J175))</f>
        <v>2328.11</v>
      </c>
      <c r="L175" s="119">
        <f>IF(OR($I175="Ganada",$I175="Perdida",$I175="Medio Ganada",$I175="Medio Perdida"),IF($G175=0,"",J175/$G175),"")</f>
        <v>1.1499999999999999</v>
      </c>
      <c r="M175" s="120">
        <f>IF(OR($A175="",$B175=""),"",COUNTIFS($A$5:A175,A175,$B$5:B175,B175))</f>
        <v>2</v>
      </c>
      <c r="N175" s="120">
        <f>IF($A175="","",COUNTA($A$5:$A175))</f>
        <v>171</v>
      </c>
      <c r="O175" s="120">
        <f>IF($A175="","",COUNTA($A$5:$A175))</f>
        <v>171</v>
      </c>
      <c r="P175" s="118">
        <f>IF($K175="","",MAX($K$5:K175))</f>
        <v>2403.3000000000002</v>
      </c>
      <c r="Q175" s="117">
        <f>IF($K175="","",K175-P175)</f>
        <v>-75.190000000000055</v>
      </c>
      <c r="R175" s="118"/>
      <c r="S175" s="2">
        <f>IF(OR($A175="",$F175=""),"",IF($I175="Pendiente","",ROUND($G175*($F175*0.609-1),2)))</f>
        <v>5.57</v>
      </c>
      <c r="T175" s="2">
        <f>IF($A175="","",IFERROR(SUM($S$5:S175),0))</f>
        <v>251.33999999999983</v>
      </c>
    </row>
    <row r="176" spans="1:20" ht="22.5" customHeight="1">
      <c r="A176" s="110">
        <v>46203</v>
      </c>
      <c r="B176" s="124" t="s">
        <v>28</v>
      </c>
      <c r="C176" s="133" t="s">
        <v>363</v>
      </c>
      <c r="D176" s="113" t="s">
        <v>95</v>
      </c>
      <c r="E176" s="138" t="s">
        <v>364</v>
      </c>
      <c r="F176" s="115">
        <v>1.48</v>
      </c>
      <c r="G176" s="116">
        <v>22</v>
      </c>
      <c r="H176" s="120" t="s">
        <v>69</v>
      </c>
      <c r="I176" s="120" t="s">
        <v>75</v>
      </c>
      <c r="J176" s="117">
        <f>IF($A176="","",IF($I176="Ganada",ROUND($G176*($F176-1),2),IF($I176="Medio Ganada",ROUND($G176/2*($F176-1),2),IF($I176="Perdida",IF($H176="Free Bet",0,-$G176),IF($I176="Medio Perdida",IF($H176="Free Bet",0,-$G176/2),IF($I176="Reembolso",IF($R176="","",ROUND($R176-$G176,2)),IF($I176="Anulada",0,"")))))))</f>
        <v>-22</v>
      </c>
      <c r="K176" s="118">
        <f>IF(J176="","",2000+SUM(J$5:J176))</f>
        <v>2306.11</v>
      </c>
      <c r="L176" s="119">
        <f>IF(OR($I176="Ganada",$I176="Perdida",$I176="Medio Ganada",$I176="Medio Perdida"),IF($G176=0,"",J176/$G176),"")</f>
        <v>-1</v>
      </c>
      <c r="M176" s="120">
        <f>IF(OR($A176="",$B176=""),"",COUNTIFS($A$5:A176,A176,$B$5:B176,B176))</f>
        <v>2</v>
      </c>
      <c r="N176" s="120">
        <f>IF($A176="","",COUNTA($A$5:$A176))</f>
        <v>172</v>
      </c>
      <c r="O176" s="120">
        <f>IF($A176="","",COUNTA($A$5:$A176))</f>
        <v>172</v>
      </c>
      <c r="P176" s="118">
        <f>IF($K176="","",MAX($K$5:K176))</f>
        <v>2403.3000000000002</v>
      </c>
      <c r="Q176" s="117">
        <f>IF($K176="","",K176-P176)</f>
        <v>-97.190000000000055</v>
      </c>
      <c r="R176" s="118"/>
      <c r="S176" s="2">
        <f>IF(OR($A176="",$F176=""),"",IF($I176="Pendiente","",ROUND($G176*($F176*0.609-1),2)))</f>
        <v>-2.17</v>
      </c>
      <c r="T176" s="2">
        <f>IF($A176="","",IFERROR(SUM($S$5:S176),0))</f>
        <v>249.16999999999985</v>
      </c>
    </row>
    <row r="177" spans="1:20" ht="15" customHeight="1">
      <c r="A177" s="110">
        <v>46203</v>
      </c>
      <c r="B177" s="124" t="s">
        <v>28</v>
      </c>
      <c r="C177" s="133" t="s">
        <v>365</v>
      </c>
      <c r="D177" s="113" t="s">
        <v>90</v>
      </c>
      <c r="E177" s="137" t="s">
        <v>366</v>
      </c>
      <c r="F177" s="115">
        <v>2</v>
      </c>
      <c r="G177" s="116">
        <v>11</v>
      </c>
      <c r="H177" s="120" t="s">
        <v>69</v>
      </c>
      <c r="I177" s="120" t="s">
        <v>70</v>
      </c>
      <c r="J177" s="117">
        <f>IF($A177="","",IF($I177="Ganada",ROUND($G177*($F177-1),2),IF($I177="Medio Ganada",ROUND($G177/2*($F177-1),2),IF($I177="Perdida",IF($H177="Free Bet",0,-$G177),IF($I177="Medio Perdida",IF($H177="Free Bet",0,-$G177/2),IF($I177="Reembolso",IF($R177="","",ROUND($R177-$G177,2)),IF($I177="Anulada",0,"")))))))</f>
        <v>11</v>
      </c>
      <c r="K177" s="118">
        <f>IF(J177="","",2000+SUM(J$5:J177))</f>
        <v>2317.11</v>
      </c>
      <c r="L177" s="119">
        <f>IF(OR($I177="Ganada",$I177="Perdida",$I177="Medio Ganada",$I177="Medio Perdida"),IF($G177=0,"",J177/$G177),"")</f>
        <v>1</v>
      </c>
      <c r="M177" s="120">
        <f>IF(OR($A177="",$B177=""),"",COUNTIFS($A$5:A177,A177,$B$5:B177,B177))</f>
        <v>3</v>
      </c>
      <c r="N177" s="120">
        <f>IF($A177="","",COUNTA($A$5:$A177))</f>
        <v>173</v>
      </c>
      <c r="O177" s="120">
        <f>IF($A177="","",COUNTA($A$5:$A177))</f>
        <v>173</v>
      </c>
      <c r="P177" s="118">
        <f>IF($K177="","",MAX($K$5:K177))</f>
        <v>2403.3000000000002</v>
      </c>
      <c r="Q177" s="117">
        <f>IF($K177="","",K177-P177)</f>
        <v>-86.190000000000055</v>
      </c>
      <c r="R177" s="118"/>
      <c r="S177" s="2">
        <f>IF(OR($A177="",$F177=""),"",IF($I177="Pendiente","",ROUND($G177*($F177*0.609-1),2)))</f>
        <v>2.4</v>
      </c>
      <c r="T177" s="2">
        <f>IF($A177="","",IFERROR(SUM($S$5:S177),0))</f>
        <v>251.56999999999985</v>
      </c>
    </row>
    <row r="178" spans="1:20" ht="22.5" customHeight="1">
      <c r="A178" s="110">
        <v>46204</v>
      </c>
      <c r="B178" s="148" t="s">
        <v>36</v>
      </c>
      <c r="C178" s="136" t="s">
        <v>367</v>
      </c>
      <c r="D178" s="113" t="s">
        <v>95</v>
      </c>
      <c r="E178" s="138" t="s">
        <v>368</v>
      </c>
      <c r="F178" s="115">
        <v>2.1800000000000002</v>
      </c>
      <c r="G178" s="116">
        <v>18</v>
      </c>
      <c r="H178" s="120" t="s">
        <v>69</v>
      </c>
      <c r="I178" s="120" t="s">
        <v>70</v>
      </c>
      <c r="J178" s="117">
        <f>IF($A178="","",IF($I178="Ganada",ROUND($G178*($F178-1),2),IF($I178="Medio Ganada",ROUND($G178/2*($F178-1),2),IF($I178="Perdida",IF($H178="Free Bet",0,-$G178),IF($I178="Medio Perdida",IF($H178="Free Bet",0,-$G178/2),IF($I178="Reembolso",IF($R178="","",ROUND($R178-$G178,2)),IF($I178="Anulada",0,"")))))))</f>
        <v>21.24</v>
      </c>
      <c r="K178" s="118">
        <f>IF(J178="","",2000+SUM(J$5:J178))</f>
        <v>2338.35</v>
      </c>
      <c r="L178" s="119">
        <f>IF(OR($I178="Ganada",$I178="Perdida",$I178="Medio Ganada",$I178="Medio Perdida"),IF($G178=0,"",J178/$G178),"")</f>
        <v>1.18</v>
      </c>
      <c r="M178" s="120">
        <f>IF(OR($A178="",$B178=""),"",COUNTIFS($A$5:A178,A178,$B$5:B178,B178))</f>
        <v>1</v>
      </c>
      <c r="N178" s="120">
        <f>IF($A178="","",COUNTA($A$5:$A178))</f>
        <v>174</v>
      </c>
      <c r="O178" s="120">
        <f>IF($A178="","",COUNTA($A$5:$A178))</f>
        <v>174</v>
      </c>
      <c r="P178" s="118">
        <f>IF($K178="","",MAX($K$5:K178))</f>
        <v>2403.3000000000002</v>
      </c>
      <c r="Q178" s="117">
        <f>IF($K178="","",K178-P178)</f>
        <v>-64.950000000000273</v>
      </c>
      <c r="R178" s="118"/>
      <c r="S178" s="2">
        <f>IF(OR($A178="",$F178=""),"",IF($I178="Pendiente","",ROUND($G178*($F178*0.609-1),2)))</f>
        <v>5.9</v>
      </c>
      <c r="T178" s="2">
        <f>IF($A178="","",IFERROR(SUM($S$5:S178),0))</f>
        <v>257.46999999999986</v>
      </c>
    </row>
    <row r="179" spans="1:20" ht="33" customHeight="1">
      <c r="A179" s="110">
        <v>46204</v>
      </c>
      <c r="B179" s="152" t="s">
        <v>32</v>
      </c>
      <c r="C179" s="136" t="s">
        <v>369</v>
      </c>
      <c r="D179" s="113" t="s">
        <v>67</v>
      </c>
      <c r="E179" s="138" t="s">
        <v>370</v>
      </c>
      <c r="F179" s="115">
        <v>2.25</v>
      </c>
      <c r="G179" s="116">
        <v>18</v>
      </c>
      <c r="H179" s="120" t="s">
        <v>69</v>
      </c>
      <c r="I179" s="120" t="s">
        <v>75</v>
      </c>
      <c r="J179" s="117">
        <f>IF($A179="","",IF($I179="Ganada",ROUND($G179*($F179-1),2),IF($I179="Medio Ganada",ROUND($G179/2*($F179-1),2),IF($I179="Perdida",IF($H179="Free Bet",0,-$G179),IF($I179="Medio Perdida",IF($H179="Free Bet",0,-$G179/2),IF($I179="Reembolso",IF($R179="","",ROUND($R179-$G179,2)),IF($I179="Anulada",0,"")))))))</f>
        <v>-18</v>
      </c>
      <c r="K179" s="118">
        <f>IF(J179="","",2000+SUM(J$5:J179))</f>
        <v>2320.35</v>
      </c>
      <c r="L179" s="119">
        <f>IF(OR($I179="Ganada",$I179="Perdida",$I179="Medio Ganada",$I179="Medio Perdida"),IF($G179=0,"",J179/$G179),"")</f>
        <v>-1</v>
      </c>
      <c r="M179" s="120">
        <f>IF(OR($A179="",$B179=""),"",COUNTIFS($A$5:A179,A179,$B$5:B179,B179))</f>
        <v>1</v>
      </c>
      <c r="N179" s="120">
        <f>IF($A179="","",COUNTA($A$5:$A179))</f>
        <v>175</v>
      </c>
      <c r="O179" s="120">
        <f>IF($A179="","",COUNTA($A$5:$A179))</f>
        <v>175</v>
      </c>
      <c r="P179" s="118">
        <f>IF($K179="","",MAX($K$5:K179))</f>
        <v>2403.3000000000002</v>
      </c>
      <c r="Q179" s="117">
        <f>IF($K179="","",K179-P179)</f>
        <v>-82.950000000000273</v>
      </c>
      <c r="R179" s="118"/>
      <c r="S179" s="2">
        <f>IF(OR($A179="",$F179=""),"",IF($I179="Pendiente","",ROUND($G179*($F179*0.609-1),2)))</f>
        <v>6.66</v>
      </c>
      <c r="T179" s="2">
        <f>IF($A179="","",IFERROR(SUM($S$5:S179),0))</f>
        <v>264.12999999999988</v>
      </c>
    </row>
    <row r="180" spans="1:20" ht="22.5" customHeight="1">
      <c r="A180" s="110">
        <v>46204</v>
      </c>
      <c r="B180" s="152" t="s">
        <v>32</v>
      </c>
      <c r="C180" s="154" t="s">
        <v>371</v>
      </c>
      <c r="D180" s="113" t="s">
        <v>95</v>
      </c>
      <c r="E180" s="138" t="s">
        <v>372</v>
      </c>
      <c r="F180" s="115">
        <v>1.444</v>
      </c>
      <c r="G180" s="116">
        <v>22</v>
      </c>
      <c r="H180" s="120" t="s">
        <v>69</v>
      </c>
      <c r="I180" s="120" t="s">
        <v>70</v>
      </c>
      <c r="J180" s="117">
        <f>IF($A180="","",IF($I180="Ganada",ROUND($G180*($F180-1),2),IF($I180="Medio Ganada",ROUND($G180/2*($F180-1),2),IF($I180="Perdida",IF($H180="Free Bet",0,-$G180),IF($I180="Medio Perdida",IF($H180="Free Bet",0,-$G180/2),IF($I180="Reembolso",IF($R180="","",ROUND($R180-$G180,2)),IF($I180="Anulada",0,"")))))))</f>
        <v>9.77</v>
      </c>
      <c r="K180" s="118">
        <f>IF(J180="","",2000+SUM(J$5:J180))</f>
        <v>2330.12</v>
      </c>
      <c r="L180" s="119">
        <f>IF(OR($I180="Ganada",$I180="Perdida",$I180="Medio Ganada",$I180="Medio Perdida"),IF($G180=0,"",J180/$G180),"")</f>
        <v>0.44409090909090909</v>
      </c>
      <c r="M180" s="120">
        <f>IF(OR($A180="",$B180=""),"",COUNTIFS($A$5:A180,A180,$B$5:B180,B180))</f>
        <v>2</v>
      </c>
      <c r="N180" s="120">
        <f>IF($A180="","",COUNTA($A$5:$A180))</f>
        <v>176</v>
      </c>
      <c r="O180" s="120">
        <f>IF($A180="","",COUNTA($A$5:$A180))</f>
        <v>176</v>
      </c>
      <c r="P180" s="118">
        <f>IF($K180="","",MAX($K$5:K180))</f>
        <v>2403.3000000000002</v>
      </c>
      <c r="Q180" s="117">
        <f>IF($K180="","",K180-P180)</f>
        <v>-73.180000000000291</v>
      </c>
      <c r="R180" s="118"/>
      <c r="S180" s="2">
        <f>IF(OR($A180="",$F180=""),"",IF($I180="Pendiente","",ROUND($G180*($F180*0.609-1),2)))</f>
        <v>-2.65</v>
      </c>
      <c r="T180" s="2">
        <f>IF($A180="","",IFERROR(SUM($S$5:S180),0))</f>
        <v>261.4799999999999</v>
      </c>
    </row>
    <row r="181" spans="1:20" ht="15" customHeight="1">
      <c r="A181" s="110">
        <v>46204</v>
      </c>
      <c r="B181" s="129" t="s">
        <v>31</v>
      </c>
      <c r="C181" s="140" t="s">
        <v>373</v>
      </c>
      <c r="D181" s="113" t="s">
        <v>67</v>
      </c>
      <c r="E181" s="137" t="s">
        <v>374</v>
      </c>
      <c r="F181" s="115">
        <v>1.73</v>
      </c>
      <c r="G181" s="116">
        <v>22</v>
      </c>
      <c r="H181" s="120" t="s">
        <v>69</v>
      </c>
      <c r="I181" s="120" t="s">
        <v>70</v>
      </c>
      <c r="J181" s="117">
        <f>IF($A181="","",IF($I181="Ganada",ROUND($G181*($F181-1),2),IF($I181="Medio Ganada",ROUND($G181/2*($F181-1),2),IF($I181="Perdida",IF($H181="Free Bet",0,-$G181),IF($I181="Medio Perdida",IF($H181="Free Bet",0,-$G181/2),IF($I181="Reembolso",IF($R181="","",ROUND($R181-$G181,2)),IF($I181="Anulada",0,"")))))))</f>
        <v>16.059999999999999</v>
      </c>
      <c r="K181" s="118">
        <f>IF(J181="","",2000+SUM(J$5:J181))</f>
        <v>2346.1799999999998</v>
      </c>
      <c r="L181" s="119">
        <f>IF(OR($I181="Ganada",$I181="Perdida",$I181="Medio Ganada",$I181="Medio Perdida"),IF($G181=0,"",J181/$G181),"")</f>
        <v>0.73</v>
      </c>
      <c r="M181" s="120">
        <f>IF(OR($A181="",$B181=""),"",COUNTIFS($A$5:A181,A181,$B$5:B181,B181))</f>
        <v>1</v>
      </c>
      <c r="N181" s="120">
        <f>IF($A181="","",COUNTA($A$5:$A181))</f>
        <v>177</v>
      </c>
      <c r="O181" s="120">
        <f>IF($A181="","",COUNTA($A$5:$A181))</f>
        <v>177</v>
      </c>
      <c r="P181" s="118">
        <f>IF($K181="","",MAX($K$5:K181))</f>
        <v>2403.3000000000002</v>
      </c>
      <c r="Q181" s="117">
        <f>IF($K181="","",K181-P181)</f>
        <v>-57.120000000000346</v>
      </c>
      <c r="R181" s="118"/>
      <c r="S181" s="2">
        <f>IF(OR($A181="",$F181=""),"",IF($I181="Pendiente","",ROUND($G181*($F181*0.609-1),2)))</f>
        <v>1.18</v>
      </c>
      <c r="T181" s="2">
        <f>IF($A181="","",IFERROR(SUM($S$5:S181),0))</f>
        <v>262.65999999999991</v>
      </c>
    </row>
    <row r="182" spans="1:20" ht="22.5" customHeight="1">
      <c r="A182" s="110">
        <v>46204</v>
      </c>
      <c r="B182" s="152" t="s">
        <v>32</v>
      </c>
      <c r="C182" s="140" t="s">
        <v>375</v>
      </c>
      <c r="D182" s="113" t="s">
        <v>95</v>
      </c>
      <c r="E182" s="138" t="s">
        <v>376</v>
      </c>
      <c r="F182" s="115">
        <v>1.5</v>
      </c>
      <c r="G182" s="116">
        <v>22</v>
      </c>
      <c r="H182" s="120" t="s">
        <v>69</v>
      </c>
      <c r="I182" s="120" t="s">
        <v>70</v>
      </c>
      <c r="J182" s="117">
        <f>IF($A182="","",IF($I182="Ganada",ROUND($G182*($F182-1),2),IF($I182="Medio Ganada",ROUND($G182/2*($F182-1),2),IF($I182="Perdida",IF($H182="Free Bet",0,-$G182),IF($I182="Medio Perdida",IF($H182="Free Bet",0,-$G182/2),IF($I182="Reembolso",IF($R182="","",ROUND($R182-$G182,2)),IF($I182="Anulada",0,"")))))))</f>
        <v>11</v>
      </c>
      <c r="K182" s="118">
        <f>IF(J182="","",2000+SUM(J$5:J182))</f>
        <v>2357.1799999999998</v>
      </c>
      <c r="L182" s="119">
        <f>IF(OR($I182="Ganada",$I182="Perdida",$I182="Medio Ganada",$I182="Medio Perdida"),IF($G182=0,"",J182/$G182),"")</f>
        <v>0.5</v>
      </c>
      <c r="M182" s="120">
        <f>IF(OR($A182="",$B182=""),"",COUNTIFS($A$5:A182,A182,$B$5:B182,B182))</f>
        <v>3</v>
      </c>
      <c r="N182" s="120">
        <f>IF($A182="","",COUNTA($A$5:$A182))</f>
        <v>178</v>
      </c>
      <c r="O182" s="120">
        <f>IF($A182="","",COUNTA($A$5:$A182))</f>
        <v>178</v>
      </c>
      <c r="P182" s="118">
        <f>IF($K182="","",MAX($K$5:K182))</f>
        <v>2403.3000000000002</v>
      </c>
      <c r="Q182" s="117">
        <f>IF($K182="","",K182-P182)</f>
        <v>-46.120000000000346</v>
      </c>
      <c r="R182" s="118"/>
      <c r="S182" s="2">
        <f>IF(OR($A182="",$F182=""),"",IF($I182="Pendiente","",ROUND($G182*($F182*0.609-1),2)))</f>
        <v>-1.9</v>
      </c>
      <c r="T182" s="2">
        <f>IF($A182="","",IFERROR(SUM($S$5:S182),0))</f>
        <v>260.75999999999993</v>
      </c>
    </row>
    <row r="183" spans="1:20" ht="15" customHeight="1">
      <c r="A183" s="110">
        <v>46204</v>
      </c>
      <c r="B183" s="148" t="s">
        <v>36</v>
      </c>
      <c r="C183" s="133" t="s">
        <v>377</v>
      </c>
      <c r="D183" s="113" t="s">
        <v>67</v>
      </c>
      <c r="E183" s="138" t="s">
        <v>378</v>
      </c>
      <c r="F183" s="115">
        <v>1.93</v>
      </c>
      <c r="G183" s="116">
        <v>18</v>
      </c>
      <c r="H183" s="120" t="s">
        <v>69</v>
      </c>
      <c r="I183" s="120" t="s">
        <v>70</v>
      </c>
      <c r="J183" s="117">
        <f>IF($A183="","",IF($I183="Ganada",ROUND($G183*($F183-1),2),IF($I183="Medio Ganada",ROUND($G183/2*($F183-1),2),IF($I183="Perdida",IF($H183="Free Bet",0,-$G183),IF($I183="Medio Perdida",IF($H183="Free Bet",0,-$G183/2),IF($I183="Reembolso",IF($R183="","",ROUND($R183-$G183,2)),IF($I183="Anulada",0,"")))))))</f>
        <v>16.739999999999998</v>
      </c>
      <c r="K183" s="118">
        <f>IF(J183="","",2000+SUM(J$5:J183))</f>
        <v>2373.92</v>
      </c>
      <c r="L183" s="119">
        <f>IF(OR($I183="Ganada",$I183="Perdida",$I183="Medio Ganada",$I183="Medio Perdida"),IF($G183=0,"",J183/$G183),"")</f>
        <v>0.92999999999999994</v>
      </c>
      <c r="M183" s="120">
        <f>IF(OR($A183="",$B183=""),"",COUNTIFS($A$5:A183,A183,$B$5:B183,B183))</f>
        <v>2</v>
      </c>
      <c r="N183" s="120">
        <f>IF($A183="","",COUNTA($A$5:$A183))</f>
        <v>179</v>
      </c>
      <c r="O183" s="120">
        <f>IF($A183="","",COUNTA($A$5:$A183))</f>
        <v>179</v>
      </c>
      <c r="P183" s="118">
        <f>IF($K183="","",MAX($K$5:K183))</f>
        <v>2403.3000000000002</v>
      </c>
      <c r="Q183" s="117">
        <f>IF($K183="","",K183-P183)</f>
        <v>-29.380000000000109</v>
      </c>
      <c r="R183" s="118"/>
      <c r="S183" s="2">
        <f>IF(OR($A183="",$F183=""),"",IF($I183="Pendiente","",ROUND($G183*($F183*0.609-1),2)))</f>
        <v>3.16</v>
      </c>
      <c r="T183" s="2">
        <f>IF($A183="","",IFERROR(SUM($S$5:S183),0))</f>
        <v>263.91999999999996</v>
      </c>
    </row>
    <row r="184" spans="1:20" ht="22.5" customHeight="1">
      <c r="A184" s="110">
        <v>46204</v>
      </c>
      <c r="B184" s="148" t="s">
        <v>36</v>
      </c>
      <c r="C184" s="133" t="s">
        <v>379</v>
      </c>
      <c r="D184" s="113" t="s">
        <v>76</v>
      </c>
      <c r="E184" s="138" t="s">
        <v>380</v>
      </c>
      <c r="F184" s="115">
        <v>1.63</v>
      </c>
      <c r="G184" s="116">
        <v>22</v>
      </c>
      <c r="H184" s="120" t="s">
        <v>69</v>
      </c>
      <c r="I184" s="120" t="s">
        <v>75</v>
      </c>
      <c r="J184" s="117">
        <f>IF($A184="","",IF($I184="Ganada",ROUND($G184*($F184-1),2),IF($I184="Medio Ganada",ROUND($G184/2*($F184-1),2),IF($I184="Perdida",IF($H184="Free Bet",0,-$G184),IF($I184="Medio Perdida",IF($H184="Free Bet",0,-$G184/2),IF($I184="Reembolso",IF($R184="","",ROUND($R184-$G184,2)),IF($I184="Anulada",0,"")))))))</f>
        <v>-22</v>
      </c>
      <c r="K184" s="118">
        <f>IF(J184="","",2000+SUM(J$5:J184))</f>
        <v>2351.92</v>
      </c>
      <c r="L184" s="119">
        <f>IF(OR($I184="Ganada",$I184="Perdida",$I184="Medio Ganada",$I184="Medio Perdida"),IF($G184=0,"",J184/$G184),"")</f>
        <v>-1</v>
      </c>
      <c r="M184" s="120">
        <f>IF(OR($A184="",$B184=""),"",COUNTIFS($A$5:A184,A184,$B$5:B184,B184))</f>
        <v>3</v>
      </c>
      <c r="N184" s="120">
        <f>IF($A184="","",COUNTA($A$5:$A184))</f>
        <v>180</v>
      </c>
      <c r="O184" s="120">
        <f>IF($A184="","",COUNTA($A$5:$A184))</f>
        <v>180</v>
      </c>
      <c r="P184" s="118">
        <f>IF($K184="","",MAX($K$5:K184))</f>
        <v>2403.3000000000002</v>
      </c>
      <c r="Q184" s="117">
        <f>IF($K184="","",K184-P184)</f>
        <v>-51.380000000000109</v>
      </c>
      <c r="R184" s="118"/>
      <c r="S184" s="2">
        <f>IF(OR($A184="",$F184=""),"",IF($I184="Pendiente","",ROUND($G184*($F184*0.609-1),2)))</f>
        <v>-0.16</v>
      </c>
      <c r="T184" s="2">
        <f>IF($A184="","",IFERROR(SUM($S$5:S184),0))</f>
        <v>263.75999999999993</v>
      </c>
    </row>
    <row r="185" spans="1:20" ht="15" customHeight="1">
      <c r="A185" s="110">
        <v>46204</v>
      </c>
      <c r="B185" s="129" t="s">
        <v>31</v>
      </c>
      <c r="C185" s="133" t="s">
        <v>381</v>
      </c>
      <c r="D185" s="113" t="s">
        <v>67</v>
      </c>
      <c r="E185" s="128" t="s">
        <v>258</v>
      </c>
      <c r="F185" s="115">
        <v>1.83</v>
      </c>
      <c r="G185" s="116">
        <v>18</v>
      </c>
      <c r="H185" s="120" t="s">
        <v>69</v>
      </c>
      <c r="I185" s="120" t="s">
        <v>75</v>
      </c>
      <c r="J185" s="117">
        <f>IF($A185="","",IF($I185="Ganada",ROUND($G185*($F185-1),2),IF($I185="Medio Ganada",ROUND($G185/2*($F185-1),2),IF($I185="Perdida",IF($H185="Free Bet",0,-$G185),IF($I185="Medio Perdida",IF($H185="Free Bet",0,-$G185/2),IF($I185="Reembolso",IF($R185="","",ROUND($R185-$G185,2)),IF($I185="Anulada",0,"")))))))</f>
        <v>-18</v>
      </c>
      <c r="K185" s="118">
        <f>IF(J185="","",2000+SUM(J$5:J185))</f>
        <v>2333.92</v>
      </c>
      <c r="L185" s="119">
        <f>IF(OR($I185="Ganada",$I185="Perdida",$I185="Medio Ganada",$I185="Medio Perdida"),IF($G185=0,"",J185/$G185),"")</f>
        <v>-1</v>
      </c>
      <c r="M185" s="120">
        <f>IF(OR($A185="",$B185=""),"",COUNTIFS($A$5:A185,A185,$B$5:B185,B185))</f>
        <v>2</v>
      </c>
      <c r="N185" s="120">
        <f>IF($A185="","",COUNTA($A$5:$A185))</f>
        <v>181</v>
      </c>
      <c r="O185" s="120">
        <f>IF($A185="","",COUNTA($A$5:$A185))</f>
        <v>181</v>
      </c>
      <c r="P185" s="118">
        <f>IF($K185="","",MAX($K$5:K185))</f>
        <v>2403.3000000000002</v>
      </c>
      <c r="Q185" s="117">
        <f>IF($K185="","",K185-P185)</f>
        <v>-69.380000000000109</v>
      </c>
      <c r="R185" s="118"/>
      <c r="S185" s="2">
        <f>IF(OR($A185="",$F185=""),"",IF($I185="Pendiente","",ROUND($G185*($F185*0.609-1),2)))</f>
        <v>2.06</v>
      </c>
      <c r="T185" s="2">
        <f>IF($A185="","",IFERROR(SUM($S$5:S185),0))</f>
        <v>265.81999999999994</v>
      </c>
    </row>
    <row r="186" spans="1:20" ht="21.75" customHeight="1">
      <c r="A186" s="110">
        <v>46204</v>
      </c>
      <c r="B186" s="148" t="s">
        <v>36</v>
      </c>
      <c r="C186" s="133" t="s">
        <v>382</v>
      </c>
      <c r="D186" s="113" t="s">
        <v>76</v>
      </c>
      <c r="E186" s="151" t="s">
        <v>272</v>
      </c>
      <c r="F186" s="115">
        <v>1.61</v>
      </c>
      <c r="G186" s="116">
        <v>22</v>
      </c>
      <c r="H186" s="120" t="s">
        <v>69</v>
      </c>
      <c r="I186" s="120" t="s">
        <v>70</v>
      </c>
      <c r="J186" s="117">
        <f>IF($A186="","",IF($I186="Ganada",ROUND($G186*($F186-1),2),IF($I186="Medio Ganada",ROUND($G186/2*($F186-1),2),IF($I186="Perdida",IF($H186="Free Bet",0,-$G186),IF($I186="Medio Perdida",IF($H186="Free Bet",0,-$G186/2),IF($I186="Reembolso",IF($R186="","",ROUND($R186-$G186,2)),IF($I186="Anulada",0,"")))))))</f>
        <v>13.42</v>
      </c>
      <c r="K186" s="118">
        <f>IF(J186="","",2000+SUM(J$5:J186))</f>
        <v>2347.34</v>
      </c>
      <c r="L186" s="119">
        <f>IF(OR($I186="Ganada",$I186="Perdida",$I186="Medio Ganada",$I186="Medio Perdida"),IF($G186=0,"",J186/$G186),"")</f>
        <v>0.61</v>
      </c>
      <c r="M186" s="120">
        <f>IF(OR($A186="",$B186=""),"",COUNTIFS($A$5:A186,A186,$B$5:B186,B186))</f>
        <v>4</v>
      </c>
      <c r="N186" s="120">
        <f>IF($A186="","",COUNTA($A$5:$A186))</f>
        <v>182</v>
      </c>
      <c r="O186" s="120">
        <f>IF($A186="","",COUNTA($A$5:$A186))</f>
        <v>182</v>
      </c>
      <c r="P186" s="118">
        <f>IF($K186="","",MAX($K$5:K186))</f>
        <v>2403.3000000000002</v>
      </c>
      <c r="Q186" s="117">
        <f>IF($K186="","",K186-P186)</f>
        <v>-55.960000000000036</v>
      </c>
      <c r="R186" s="118"/>
      <c r="S186" s="2">
        <f>IF(OR($A186="",$F186=""),"",IF($I186="Pendiente","",ROUND($G186*($F186*0.609-1),2)))</f>
        <v>-0.43</v>
      </c>
      <c r="T186" s="2">
        <f>IF($A186="","",IFERROR(SUM($S$5:S186),0))</f>
        <v>265.38999999999993</v>
      </c>
    </row>
    <row r="187" spans="1:20" ht="15" customHeight="1">
      <c r="A187" s="110">
        <v>46204</v>
      </c>
      <c r="B187" s="129" t="s">
        <v>31</v>
      </c>
      <c r="C187" s="133" t="s">
        <v>383</v>
      </c>
      <c r="D187" s="113" t="s">
        <v>67</v>
      </c>
      <c r="E187" s="137" t="s">
        <v>384</v>
      </c>
      <c r="F187" s="115">
        <v>1.53</v>
      </c>
      <c r="G187" s="116">
        <v>22</v>
      </c>
      <c r="H187" s="120" t="s">
        <v>69</v>
      </c>
      <c r="I187" s="120" t="s">
        <v>70</v>
      </c>
      <c r="J187" s="117">
        <f>IF($A187="","",IF($I187="Ganada",ROUND($G187*($F187-1),2),IF($I187="Medio Ganada",ROUND($G187/2*($F187-1),2),IF($I187="Perdida",IF($H187="Free Bet",0,-$G187),IF($I187="Medio Perdida",IF($H187="Free Bet",0,-$G187/2),IF($I187="Reembolso",IF($R187="","",ROUND($R187-$G187,2)),IF($I187="Anulada",0,"")))))))</f>
        <v>11.66</v>
      </c>
      <c r="K187" s="118">
        <f>IF(J187="","",2000+SUM(J$5:J187))</f>
        <v>2359</v>
      </c>
      <c r="L187" s="119">
        <f>IF(OR($I187="Ganada",$I187="Perdida",$I187="Medio Ganada",$I187="Medio Perdida"),IF($G187=0,"",J187/$G187),"")</f>
        <v>0.53</v>
      </c>
      <c r="M187" s="120">
        <f>IF(OR($A187="",$B187=""),"",COUNTIFS($A$5:A187,A187,$B$5:B187,B187))</f>
        <v>3</v>
      </c>
      <c r="N187" s="120">
        <f>IF($A187="","",COUNTA($A$5:$A187))</f>
        <v>183</v>
      </c>
      <c r="O187" s="120">
        <f>IF($A187="","",COUNTA($A$5:$A187))</f>
        <v>183</v>
      </c>
      <c r="P187" s="118">
        <f>IF($K187="","",MAX($K$5:K187))</f>
        <v>2403.3000000000002</v>
      </c>
      <c r="Q187" s="117">
        <f>IF($K187="","",K187-P187)</f>
        <v>-44.300000000000182</v>
      </c>
      <c r="R187" s="118"/>
      <c r="S187" s="2">
        <f>IF(OR($A187="",$F187=""),"",IF($I187="Pendiente","",ROUND($G187*($F187*0.609-1),2)))</f>
        <v>-1.5</v>
      </c>
      <c r="T187" s="2">
        <f>IF($A187="","",IFERROR(SUM($S$5:S187),0))</f>
        <v>263.88999999999993</v>
      </c>
    </row>
    <row r="188" spans="1:20" ht="22.5" customHeight="1">
      <c r="A188" s="110">
        <v>46204</v>
      </c>
      <c r="B188" s="124" t="s">
        <v>28</v>
      </c>
      <c r="C188" s="133" t="s">
        <v>385</v>
      </c>
      <c r="D188" s="113" t="s">
        <v>95</v>
      </c>
      <c r="E188" s="138" t="s">
        <v>386</v>
      </c>
      <c r="F188" s="115">
        <v>1.84</v>
      </c>
      <c r="G188" s="116">
        <v>22</v>
      </c>
      <c r="H188" s="120" t="s">
        <v>69</v>
      </c>
      <c r="I188" s="120" t="s">
        <v>75</v>
      </c>
      <c r="J188" s="117">
        <f>IF($A188="","",IF($I188="Ganada",ROUND($G188*($F188-1),2),IF($I188="Medio Ganada",ROUND($G188/2*($F188-1),2),IF($I188="Perdida",IF($H188="Free Bet",0,-$G188),IF($I188="Medio Perdida",IF($H188="Free Bet",0,-$G188/2),IF($I188="Reembolso",IF($R188="","",ROUND($R188-$G188,2)),IF($I188="Anulada",0,"")))))))</f>
        <v>-22</v>
      </c>
      <c r="K188" s="118">
        <f>IF(J188="","",2000+SUM(J$5:J188))</f>
        <v>2337</v>
      </c>
      <c r="L188" s="119">
        <f>IF(OR($I188="Ganada",$I188="Perdida",$I188="Medio Ganada",$I188="Medio Perdida"),IF($G188=0,"",J188/$G188),"")</f>
        <v>-1</v>
      </c>
      <c r="M188" s="120">
        <f>IF(OR($A188="",$B188=""),"",COUNTIFS($A$5:A188,A188,$B$5:B188,B188))</f>
        <v>1</v>
      </c>
      <c r="N188" s="120">
        <f>IF($A188="","",COUNTA($A$5:$A188))</f>
        <v>184</v>
      </c>
      <c r="O188" s="120">
        <f>IF($A188="","",COUNTA($A$5:$A188))</f>
        <v>184</v>
      </c>
      <c r="P188" s="118">
        <f>IF($K188="","",MAX($K$5:K188))</f>
        <v>2403.3000000000002</v>
      </c>
      <c r="Q188" s="117">
        <f>IF($K188="","",K188-P188)</f>
        <v>-66.300000000000182</v>
      </c>
      <c r="R188" s="118"/>
      <c r="S188" s="2">
        <f>IF(OR($A188="",$F188=""),"",IF($I188="Pendiente","",ROUND($G188*($F188*0.609-1),2)))</f>
        <v>2.65</v>
      </c>
      <c r="T188" s="2">
        <f>IF($A188="","",IFERROR(SUM($S$5:S188),0))</f>
        <v>266.53999999999991</v>
      </c>
    </row>
    <row r="189" spans="1:20" ht="22.5" customHeight="1">
      <c r="A189" s="110">
        <v>46204</v>
      </c>
      <c r="B189" s="129" t="s">
        <v>31</v>
      </c>
      <c r="C189" s="133" t="s">
        <v>387</v>
      </c>
      <c r="D189" s="113" t="s">
        <v>67</v>
      </c>
      <c r="E189" s="138" t="s">
        <v>286</v>
      </c>
      <c r="F189" s="115">
        <v>1.44</v>
      </c>
      <c r="G189" s="116">
        <v>22</v>
      </c>
      <c r="H189" s="120" t="s">
        <v>69</v>
      </c>
      <c r="I189" s="120" t="s">
        <v>70</v>
      </c>
      <c r="J189" s="117">
        <f>IF($A189="","",IF($I189="Ganada",ROUND($G189*($F189-1),2),IF($I189="Medio Ganada",ROUND($G189/2*($F189-1),2),IF($I189="Perdida",IF($H189="Free Bet",0,-$G189),IF($I189="Medio Perdida",IF($H189="Free Bet",0,-$G189/2),IF($I189="Reembolso",IF($R189="","",ROUND($R189-$G189,2)),IF($I189="Anulada",0,"")))))))</f>
        <v>9.68</v>
      </c>
      <c r="K189" s="118">
        <f>IF(J189="","",2000+SUM(J$5:J189))</f>
        <v>2346.6800000000003</v>
      </c>
      <c r="L189" s="119">
        <f>IF(OR($I189="Ganada",$I189="Perdida",$I189="Medio Ganada",$I189="Medio Perdida"),IF($G189=0,"",J189/$G189),"")</f>
        <v>0.44</v>
      </c>
      <c r="M189" s="120">
        <f>IF(OR($A189="",$B189=""),"",COUNTIFS($A$5:A189,A189,$B$5:B189,B189))</f>
        <v>4</v>
      </c>
      <c r="N189" s="120">
        <f>IF($A189="","",COUNTA($A$5:$A189))</f>
        <v>185</v>
      </c>
      <c r="O189" s="120">
        <f>IF($A189="","",COUNTA($A$5:$A189))</f>
        <v>185</v>
      </c>
      <c r="P189" s="118">
        <f>IF($K189="","",MAX($K$5:K189))</f>
        <v>2403.3000000000002</v>
      </c>
      <c r="Q189" s="117">
        <f>IF($K189="","",K189-P189)</f>
        <v>-56.619999999999891</v>
      </c>
      <c r="R189" s="118"/>
      <c r="S189" s="2">
        <f>IF(OR($A189="",$F189=""),"",IF($I189="Pendiente","",ROUND($G189*($F189*0.609-1),2)))</f>
        <v>-2.71</v>
      </c>
      <c r="T189" s="2">
        <f>IF($A189="","",IFERROR(SUM($S$5:S189),0))</f>
        <v>263.82999999999993</v>
      </c>
    </row>
    <row r="190" spans="1:20" ht="24.75" customHeight="1">
      <c r="A190" s="110">
        <v>46204</v>
      </c>
      <c r="B190" s="129" t="s">
        <v>31</v>
      </c>
      <c r="C190" s="140" t="s">
        <v>388</v>
      </c>
      <c r="D190" s="113" t="s">
        <v>76</v>
      </c>
      <c r="E190" s="137">
        <v>2</v>
      </c>
      <c r="F190" s="115">
        <v>1.8</v>
      </c>
      <c r="G190" s="116">
        <v>18</v>
      </c>
      <c r="H190" s="120" t="s">
        <v>69</v>
      </c>
      <c r="I190" s="120" t="s">
        <v>75</v>
      </c>
      <c r="J190" s="117">
        <f>IF($A190="","",IF($I190="Ganada",ROUND($G190*($F190-1),2),IF($I190="Medio Ganada",ROUND($G190/2*($F190-1),2),IF($I190="Perdida",IF($H190="Free Bet",0,-$G190),IF($I190="Medio Perdida",IF($H190="Free Bet",0,-$G190/2),IF($I190="Reembolso",IF($R190="","",ROUND($R190-$G190,2)),IF($I190="Anulada",0,"")))))))</f>
        <v>-18</v>
      </c>
      <c r="K190" s="118">
        <f>IF(J190="","",2000+SUM(J$5:J190))</f>
        <v>2328.6800000000003</v>
      </c>
      <c r="L190" s="119">
        <f>IF(OR($I190="Ganada",$I190="Perdida",$I190="Medio Ganada",$I190="Medio Perdida"),IF($G190=0,"",J190/$G190),"")</f>
        <v>-1</v>
      </c>
      <c r="M190" s="120">
        <f>IF(OR($A190="",$B190=""),"",COUNTIFS($A$5:A190,A190,$B$5:B190,B190))</f>
        <v>5</v>
      </c>
      <c r="N190" s="120">
        <f>IF($A190="","",COUNTA($A$5:$A190))</f>
        <v>186</v>
      </c>
      <c r="O190" s="120">
        <f>IF($A190="","",COUNTA($A$5:$A190))</f>
        <v>186</v>
      </c>
      <c r="P190" s="118">
        <f>IF($K190="","",MAX($K$5:K190))</f>
        <v>2403.3000000000002</v>
      </c>
      <c r="Q190" s="117">
        <f>IF($K190="","",K190-P190)</f>
        <v>-74.619999999999891</v>
      </c>
      <c r="R190" s="118"/>
      <c r="S190" s="2">
        <f>IF(OR($A190="",$F190=""),"",IF($I190="Pendiente","",ROUND($G190*($F190*0.609-1),2)))</f>
        <v>1.73</v>
      </c>
      <c r="T190" s="2">
        <f>IF($A190="","",IFERROR(SUM($S$5:S190),0))</f>
        <v>265.55999999999995</v>
      </c>
    </row>
    <row r="191" spans="1:20" ht="24.75" customHeight="1">
      <c r="A191" s="110">
        <v>46204</v>
      </c>
      <c r="B191" s="132" t="s">
        <v>29</v>
      </c>
      <c r="C191" s="140" t="s">
        <v>389</v>
      </c>
      <c r="D191" s="113" t="s">
        <v>76</v>
      </c>
      <c r="E191" s="137" t="s">
        <v>272</v>
      </c>
      <c r="F191" s="115">
        <v>1.4</v>
      </c>
      <c r="G191" s="116">
        <v>22</v>
      </c>
      <c r="H191" s="120" t="s">
        <v>69</v>
      </c>
      <c r="I191" s="120" t="s">
        <v>75</v>
      </c>
      <c r="J191" s="117">
        <f>IF($A191="","",IF($I191="Ganada",ROUND($G191*($F191-1),2),IF($I191="Medio Ganada",ROUND($G191/2*($F191-1),2),IF($I191="Perdida",IF($H191="Free Bet",0,-$G191),IF($I191="Medio Perdida",IF($H191="Free Bet",0,-$G191/2),IF($I191="Reembolso",IF($R191="","",ROUND($R191-$G191,2)),IF($I191="Anulada",0,"")))))))</f>
        <v>-22</v>
      </c>
      <c r="K191" s="118">
        <f>IF(J191="","",2000+SUM(J$5:J191))</f>
        <v>2306.6800000000003</v>
      </c>
      <c r="L191" s="119">
        <f>IF(OR($I191="Ganada",$I191="Perdida",$I191="Medio Ganada",$I191="Medio Perdida"),IF($G191=0,"",J191/$G191),"")</f>
        <v>-1</v>
      </c>
      <c r="M191" s="120">
        <f>IF(OR($A191="",$B191=""),"",COUNTIFS($A$5:A191,A191,$B$5:B191,B191))</f>
        <v>1</v>
      </c>
      <c r="N191" s="120">
        <f>IF($A191="","",COUNTA($A$5:$A191))</f>
        <v>187</v>
      </c>
      <c r="O191" s="120">
        <f>IF($A191="","",COUNTA($A$5:$A191))</f>
        <v>187</v>
      </c>
      <c r="P191" s="118">
        <f>IF($K191="","",MAX($K$5:K191))</f>
        <v>2403.3000000000002</v>
      </c>
      <c r="Q191" s="117">
        <f>IF($K191="","",K191-P191)</f>
        <v>-96.619999999999891</v>
      </c>
      <c r="R191" s="118"/>
      <c r="S191" s="2">
        <f>IF(OR($A191="",$F191=""),"",IF($I191="Pendiente","",ROUND($G191*($F191*0.609-1),2)))</f>
        <v>-3.24</v>
      </c>
      <c r="T191" s="2">
        <f>IF($A191="","",IFERROR(SUM($S$5:S191),0))</f>
        <v>262.31999999999994</v>
      </c>
    </row>
    <row r="192" spans="1:20" ht="22.5" customHeight="1">
      <c r="A192" s="110">
        <v>46204</v>
      </c>
      <c r="B192" s="152" t="s">
        <v>32</v>
      </c>
      <c r="C192" s="133" t="s">
        <v>390</v>
      </c>
      <c r="D192" s="113" t="s">
        <v>95</v>
      </c>
      <c r="E192" s="138" t="s">
        <v>391</v>
      </c>
      <c r="F192" s="115">
        <v>1.4</v>
      </c>
      <c r="G192" s="116">
        <v>22</v>
      </c>
      <c r="H192" s="120" t="s">
        <v>69</v>
      </c>
      <c r="I192" s="120" t="s">
        <v>75</v>
      </c>
      <c r="J192" s="117">
        <f>IF($A192="","",IF($I192="Ganada",ROUND($G192*($F192-1),2),IF($I192="Medio Ganada",ROUND($G192/2*($F192-1),2),IF($I192="Perdida",IF($H192="Free Bet",0,-$G192),IF($I192="Medio Perdida",IF($H192="Free Bet",0,-$G192/2),IF($I192="Reembolso",IF($R192="","",ROUND($R192-$G192,2)),IF($I192="Anulada",0,"")))))))</f>
        <v>-22</v>
      </c>
      <c r="K192" s="118">
        <f>IF(J192="","",2000+SUM(J$5:J192))</f>
        <v>2284.6800000000003</v>
      </c>
      <c r="L192" s="119">
        <f>IF(OR($I192="Ganada",$I192="Perdida",$I192="Medio Ganada",$I192="Medio Perdida"),IF($G192=0,"",J192/$G192),"")</f>
        <v>-1</v>
      </c>
      <c r="M192" s="120">
        <f>IF(OR($A192="",$B192=""),"",COUNTIFS($A$5:A192,A192,$B$5:B192,B192))</f>
        <v>4</v>
      </c>
      <c r="N192" s="120">
        <f>IF($A192="","",COUNTA($A$5:$A192))</f>
        <v>188</v>
      </c>
      <c r="O192" s="120">
        <f>IF($A192="","",COUNTA($A$5:$A192))</f>
        <v>188</v>
      </c>
      <c r="P192" s="118">
        <f>IF($K192="","",MAX($K$5:K192))</f>
        <v>2403.3000000000002</v>
      </c>
      <c r="Q192" s="117">
        <f>IF($K192="","",K192-P192)</f>
        <v>-118.61999999999989</v>
      </c>
      <c r="R192" s="118"/>
      <c r="S192" s="2">
        <f>IF(OR($A192="",$F192=""),"",IF($I192="Pendiente","",ROUND($G192*($F192*0.609-1),2)))</f>
        <v>-3.24</v>
      </c>
      <c r="T192" s="2">
        <f>IF($A192="","",IFERROR(SUM($S$5:S192),0))</f>
        <v>259.07999999999993</v>
      </c>
    </row>
    <row r="193" spans="1:20" ht="22.5" customHeight="1">
      <c r="A193" s="110">
        <v>46204</v>
      </c>
      <c r="B193" s="152" t="s">
        <v>32</v>
      </c>
      <c r="C193" s="136" t="s">
        <v>392</v>
      </c>
      <c r="D193" s="113" t="s">
        <v>76</v>
      </c>
      <c r="E193" s="138" t="s">
        <v>393</v>
      </c>
      <c r="F193" s="115">
        <v>1.48</v>
      </c>
      <c r="G193" s="116">
        <v>22</v>
      </c>
      <c r="H193" s="120" t="s">
        <v>69</v>
      </c>
      <c r="I193" s="120" t="s">
        <v>75</v>
      </c>
      <c r="J193" s="117">
        <f>IF($A193="","",IF($I193="Ganada",ROUND($G193*($F193-1),2),IF($I193="Medio Ganada",ROUND($G193/2*($F193-1),2),IF($I193="Perdida",IF($H193="Free Bet",0,-$G193),IF($I193="Medio Perdida",IF($H193="Free Bet",0,-$G193/2),IF($I193="Reembolso",IF($R193="","",ROUND($R193-$G193,2)),IF($I193="Anulada",0,"")))))))</f>
        <v>-22</v>
      </c>
      <c r="K193" s="118">
        <f>IF(J193="","",2000+SUM(J$5:J193))</f>
        <v>2262.6800000000003</v>
      </c>
      <c r="L193" s="119">
        <f>IF(OR($I193="Ganada",$I193="Perdida",$I193="Medio Ganada",$I193="Medio Perdida"),IF($G193=0,"",J193/$G193),"")</f>
        <v>-1</v>
      </c>
      <c r="M193" s="120">
        <f>IF(OR($A193="",$B193=""),"",COUNTIFS($A$5:A193,A193,$B$5:B193,B193))</f>
        <v>5</v>
      </c>
      <c r="N193" s="120">
        <f>IF($A193="","",COUNTA($A$5:$A193))</f>
        <v>189</v>
      </c>
      <c r="O193" s="120">
        <f>IF($A193="","",COUNTA($A$5:$A193))</f>
        <v>189</v>
      </c>
      <c r="P193" s="118">
        <f>IF($K193="","",MAX($K$5:K193))</f>
        <v>2403.3000000000002</v>
      </c>
      <c r="Q193" s="117">
        <f>IF($K193="","",K193-P193)</f>
        <v>-140.61999999999989</v>
      </c>
      <c r="R193" s="118"/>
      <c r="S193" s="2">
        <f>IF(OR($A193="",$F193=""),"",IF($I193="Pendiente","",ROUND($G193*($F193*0.609-1),2)))</f>
        <v>-2.17</v>
      </c>
      <c r="T193" s="2">
        <f>IF($A193="","",IFERROR(SUM($S$5:S193),0))</f>
        <v>256.90999999999991</v>
      </c>
    </row>
    <row r="194" spans="1:20" ht="22.5" customHeight="1">
      <c r="A194" s="110">
        <v>46204</v>
      </c>
      <c r="B194" s="129" t="s">
        <v>31</v>
      </c>
      <c r="C194" s="133" t="s">
        <v>394</v>
      </c>
      <c r="D194" s="113" t="s">
        <v>67</v>
      </c>
      <c r="E194" s="138" t="s">
        <v>232</v>
      </c>
      <c r="F194" s="115">
        <v>1.8</v>
      </c>
      <c r="G194" s="116">
        <v>18</v>
      </c>
      <c r="H194" s="120" t="s">
        <v>69</v>
      </c>
      <c r="I194" s="120" t="s">
        <v>75</v>
      </c>
      <c r="J194" s="117">
        <f>IF($A194="","",IF($I194="Ganada",ROUND($G194*($F194-1),2),IF($I194="Medio Ganada",ROUND($G194/2*($F194-1),2),IF($I194="Perdida",IF($H194="Free Bet",0,-$G194),IF($I194="Medio Perdida",IF($H194="Free Bet",0,-$G194/2),IF($I194="Reembolso",IF($R194="","",ROUND($R194-$G194,2)),IF($I194="Anulada",0,"")))))))</f>
        <v>-18</v>
      </c>
      <c r="K194" s="118">
        <f>IF(J194="","",2000+SUM(J$5:J194))</f>
        <v>2244.6800000000003</v>
      </c>
      <c r="L194" s="119">
        <f>IF(OR($I194="Ganada",$I194="Perdida",$I194="Medio Ganada",$I194="Medio Perdida"),IF($G194=0,"",J194/$G194),"")</f>
        <v>-1</v>
      </c>
      <c r="M194" s="120">
        <f>IF(OR($A194="",$B194=""),"",COUNTIFS($A$5:A194,A194,$B$5:B194,B194))</f>
        <v>6</v>
      </c>
      <c r="N194" s="120">
        <f>IF($A194="","",COUNTA($A$5:$A194))</f>
        <v>190</v>
      </c>
      <c r="O194" s="120">
        <f>IF($A194="","",COUNTA($A$5:$A194))</f>
        <v>190</v>
      </c>
      <c r="P194" s="118">
        <f>IF($K194="","",MAX($K$5:K194))</f>
        <v>2403.3000000000002</v>
      </c>
      <c r="Q194" s="117">
        <f>IF($K194="","",K194-P194)</f>
        <v>-158.61999999999989</v>
      </c>
      <c r="R194" s="118"/>
      <c r="S194" s="2">
        <f>IF(OR($A194="",$F194=""),"",IF($I194="Pendiente","",ROUND($G194*($F194*0.609-1),2)))</f>
        <v>1.73</v>
      </c>
      <c r="T194" s="2">
        <f>IF($A194="","",IFERROR(SUM($S$5:S194),0))</f>
        <v>258.63999999999993</v>
      </c>
    </row>
    <row r="195" spans="1:20" ht="15" customHeight="1">
      <c r="A195" s="110">
        <v>46204</v>
      </c>
      <c r="B195" s="129" t="s">
        <v>31</v>
      </c>
      <c r="C195" s="141" t="s">
        <v>395</v>
      </c>
      <c r="D195" s="113" t="s">
        <v>76</v>
      </c>
      <c r="E195" s="137">
        <v>1</v>
      </c>
      <c r="F195" s="115">
        <v>2.1</v>
      </c>
      <c r="G195" s="116">
        <v>18</v>
      </c>
      <c r="H195" s="120" t="s">
        <v>69</v>
      </c>
      <c r="I195" s="120" t="s">
        <v>70</v>
      </c>
      <c r="J195" s="117">
        <f>IF($A195="","",IF($I195="Ganada",ROUND($G195*($F195-1),2),IF($I195="Medio Ganada",ROUND($G195/2*($F195-1),2),IF($I195="Perdida",IF($H195="Free Bet",0,-$G195),IF($I195="Medio Perdida",IF($H195="Free Bet",0,-$G195/2),IF($I195="Reembolso",IF($R195="","",ROUND($R195-$G195,2)),IF($I195="Anulada",0,"")))))))</f>
        <v>19.8</v>
      </c>
      <c r="K195" s="118">
        <f>IF(J195="","",2000+SUM(J$5:J195))</f>
        <v>2264.48</v>
      </c>
      <c r="L195" s="119">
        <f>IF(OR($I195="Ganada",$I195="Perdida",$I195="Medio Ganada",$I195="Medio Perdida"),IF($G195=0,"",J195/$G195),"")</f>
        <v>1.1000000000000001</v>
      </c>
      <c r="M195" s="120">
        <f>IF(OR($A195="",$B195=""),"",COUNTIFS($A$5:A195,A195,$B$5:B195,B195))</f>
        <v>7</v>
      </c>
      <c r="N195" s="120">
        <f>IF($A195="","",COUNTA($A$5:$A195))</f>
        <v>191</v>
      </c>
      <c r="O195" s="120">
        <f>IF($A195="","",COUNTA($A$5:$A195))</f>
        <v>191</v>
      </c>
      <c r="P195" s="118">
        <f>IF($K195="","",MAX($K$5:K195))</f>
        <v>2403.3000000000002</v>
      </c>
      <c r="Q195" s="117">
        <f>IF($K195="","",K195-P195)</f>
        <v>-138.82000000000016</v>
      </c>
      <c r="R195" s="118"/>
      <c r="S195" s="2">
        <f>IF(OR($A195="",$F195=""),"",IF($I195="Pendiente","",ROUND($G195*($F195*0.609-1),2)))</f>
        <v>5.0199999999999996</v>
      </c>
      <c r="T195" s="2">
        <f>IF($A195="","",IFERROR(SUM($S$5:S195),0))</f>
        <v>263.65999999999991</v>
      </c>
    </row>
    <row r="196" spans="1:20" ht="22.5" customHeight="1">
      <c r="A196" s="110">
        <v>46204</v>
      </c>
      <c r="B196" s="129" t="s">
        <v>31</v>
      </c>
      <c r="C196" s="136" t="s">
        <v>396</v>
      </c>
      <c r="D196" s="113" t="s">
        <v>67</v>
      </c>
      <c r="E196" s="138" t="s">
        <v>232</v>
      </c>
      <c r="F196" s="115">
        <v>1.83</v>
      </c>
      <c r="G196" s="116">
        <v>18</v>
      </c>
      <c r="H196" s="120" t="s">
        <v>69</v>
      </c>
      <c r="I196" s="120" t="s">
        <v>75</v>
      </c>
      <c r="J196" s="117">
        <f>IF($A196="","",IF($I196="Ganada",ROUND($G196*($F196-1),2),IF($I196="Medio Ganada",ROUND($G196/2*($F196-1),2),IF($I196="Perdida",IF($H196="Free Bet",0,-$G196),IF($I196="Medio Perdida",IF($H196="Free Bet",0,-$G196/2),IF($I196="Reembolso",IF($R196="","",ROUND($R196-$G196,2)),IF($I196="Anulada",0,"")))))))</f>
        <v>-18</v>
      </c>
      <c r="K196" s="118">
        <f>IF(J196="","",2000+SUM(J$5:J196))</f>
        <v>2246.48</v>
      </c>
      <c r="L196" s="119">
        <f>IF(OR($I196="Ganada",$I196="Perdida",$I196="Medio Ganada",$I196="Medio Perdida"),IF($G196=0,"",J196/$G196),"")</f>
        <v>-1</v>
      </c>
      <c r="M196" s="120">
        <f>IF(OR($A196="",$B196=""),"",COUNTIFS($A$5:A196,A196,$B$5:B196,B196))</f>
        <v>8</v>
      </c>
      <c r="N196" s="120">
        <f>IF($A196="","",COUNTA($A$5:$A196))</f>
        <v>192</v>
      </c>
      <c r="O196" s="120">
        <f>IF($A196="","",COUNTA($A$5:$A196))</f>
        <v>192</v>
      </c>
      <c r="P196" s="118">
        <f>IF($K196="","",MAX($K$5:K196))</f>
        <v>2403.3000000000002</v>
      </c>
      <c r="Q196" s="117">
        <f>IF($K196="","",K196-P196)</f>
        <v>-156.82000000000016</v>
      </c>
      <c r="R196" s="118"/>
      <c r="S196" s="2">
        <f>IF(OR($A196="",$F196=""),"",IF($I196="Pendiente","",ROUND($G196*($F196*0.609-1),2)))</f>
        <v>2.06</v>
      </c>
      <c r="T196" s="2">
        <f>IF($A196="","",IFERROR(SUM($S$5:S196),0))</f>
        <v>265.71999999999991</v>
      </c>
    </row>
    <row r="197" spans="1:20" ht="22.5" customHeight="1">
      <c r="A197" s="110">
        <v>46204</v>
      </c>
      <c r="B197" s="152" t="s">
        <v>32</v>
      </c>
      <c r="C197" s="136" t="s">
        <v>397</v>
      </c>
      <c r="D197" s="113" t="s">
        <v>76</v>
      </c>
      <c r="E197" s="137" t="s">
        <v>188</v>
      </c>
      <c r="F197" s="115">
        <v>1.55</v>
      </c>
      <c r="G197" s="116">
        <v>22</v>
      </c>
      <c r="H197" s="120" t="s">
        <v>69</v>
      </c>
      <c r="I197" s="120" t="s">
        <v>70</v>
      </c>
      <c r="J197" s="117">
        <f>IF($A197="","",IF($I197="Ganada",ROUND($G197*($F197-1),2),IF($I197="Medio Ganada",ROUND($G197/2*($F197-1),2),IF($I197="Perdida",IF($H197="Free Bet",0,-$G197),IF($I197="Medio Perdida",IF($H197="Free Bet",0,-$G197/2),IF($I197="Reembolso",IF($R197="","",ROUND($R197-$G197,2)),IF($I197="Anulada",0,"")))))))</f>
        <v>12.1</v>
      </c>
      <c r="K197" s="118">
        <f>IF(J197="","",2000+SUM(J$5:J197))</f>
        <v>2258.58</v>
      </c>
      <c r="L197" s="119">
        <f>IF(OR($I197="Ganada",$I197="Perdida",$I197="Medio Ganada",$I197="Medio Perdida"),IF($G197=0,"",J197/$G197),"")</f>
        <v>0.54999999999999993</v>
      </c>
      <c r="M197" s="120">
        <f>IF(OR($A197="",$B197=""),"",COUNTIFS($A$5:A197,A197,$B$5:B197,B197))</f>
        <v>6</v>
      </c>
      <c r="N197" s="120">
        <f>IF($A197="","",COUNTA($A$5:$A197))</f>
        <v>193</v>
      </c>
      <c r="O197" s="120">
        <f>IF($A197="","",COUNTA($A$5:$A197))</f>
        <v>193</v>
      </c>
      <c r="P197" s="118">
        <f>IF($K197="","",MAX($K$5:K197))</f>
        <v>2403.3000000000002</v>
      </c>
      <c r="Q197" s="117">
        <f>IF($K197="","",K197-P197)</f>
        <v>-144.72000000000025</v>
      </c>
      <c r="R197" s="118"/>
      <c r="S197" s="2">
        <f>IF(OR($A197="",$F197=""),"",IF($I197="Pendiente","",ROUND($G197*($F197*0.609-1),2)))</f>
        <v>-1.23</v>
      </c>
      <c r="T197" s="2">
        <f>IF($A197="","",IFERROR(SUM($S$5:S197),0))</f>
        <v>264.4899999999999</v>
      </c>
    </row>
    <row r="198" spans="1:20" ht="21.75" customHeight="1">
      <c r="A198" s="110">
        <v>46204</v>
      </c>
      <c r="B198" s="148" t="s">
        <v>36</v>
      </c>
      <c r="C198" s="140" t="s">
        <v>398</v>
      </c>
      <c r="D198" s="113" t="s">
        <v>76</v>
      </c>
      <c r="E198" s="137">
        <v>1</v>
      </c>
      <c r="F198" s="115">
        <v>1.88</v>
      </c>
      <c r="G198" s="116">
        <v>18</v>
      </c>
      <c r="H198" s="120" t="s">
        <v>69</v>
      </c>
      <c r="I198" s="120" t="s">
        <v>70</v>
      </c>
      <c r="J198" s="117">
        <f>IF($A198="","",IF($I198="Ganada",ROUND($G198*($F198-1),2),IF($I198="Medio Ganada",ROUND($G198/2*($F198-1),2),IF($I198="Perdida",IF($H198="Free Bet",0,-$G198),IF($I198="Medio Perdida",IF($H198="Free Bet",0,-$G198/2),IF($I198="Reembolso",IF($R198="","",ROUND($R198-$G198,2)),IF($I198="Anulada",0,"")))))))</f>
        <v>15.84</v>
      </c>
      <c r="K198" s="118">
        <f>IF(J198="","",2000+SUM(J$5:J198))</f>
        <v>2274.42</v>
      </c>
      <c r="L198" s="119">
        <f>IF(OR($I198="Ganada",$I198="Perdida",$I198="Medio Ganada",$I198="Medio Perdida"),IF($G198=0,"",J198/$G198),"")</f>
        <v>0.88</v>
      </c>
      <c r="M198" s="120">
        <f>IF(OR($A198="",$B198=""),"",COUNTIFS($A$5:A198,A198,$B$5:B198,B198))</f>
        <v>5</v>
      </c>
      <c r="N198" s="120">
        <f>IF($A198="","",COUNTA($A$5:$A198))</f>
        <v>194</v>
      </c>
      <c r="O198" s="120">
        <f>IF($A198="","",COUNTA($A$5:$A198))</f>
        <v>194</v>
      </c>
      <c r="P198" s="118">
        <f>IF($K198="","",MAX($K$5:K198))</f>
        <v>2403.3000000000002</v>
      </c>
      <c r="Q198" s="117">
        <f>IF($K198="","",K198-P198)</f>
        <v>-128.88000000000011</v>
      </c>
      <c r="R198" s="118"/>
      <c r="S198" s="2">
        <f>IF(OR($A198="",$F198=""),"",IF($I198="Pendiente","",ROUND($G198*($F198*0.609-1),2)))</f>
        <v>2.61</v>
      </c>
      <c r="T198" s="2">
        <f>IF($A198="","",IFERROR(SUM($S$5:S198),0))</f>
        <v>267.09999999999991</v>
      </c>
    </row>
    <row r="199" spans="1:20" ht="15" customHeight="1">
      <c r="A199" s="110">
        <v>46204</v>
      </c>
      <c r="B199" s="129" t="s">
        <v>31</v>
      </c>
      <c r="C199" s="136" t="s">
        <v>399</v>
      </c>
      <c r="D199" s="113" t="s">
        <v>67</v>
      </c>
      <c r="E199" s="137" t="s">
        <v>400</v>
      </c>
      <c r="F199" s="115">
        <v>2.0499999999999998</v>
      </c>
      <c r="G199" s="116">
        <v>18</v>
      </c>
      <c r="H199" s="120" t="s">
        <v>69</v>
      </c>
      <c r="I199" s="120" t="s">
        <v>70</v>
      </c>
      <c r="J199" s="117">
        <f>IF($A199="","",IF($I199="Ganada",ROUND($G199*($F199-1),2),IF($I199="Medio Ganada",ROUND($G199/2*($F199-1),2),IF($I199="Perdida",IF($H199="Free Bet",0,-$G199),IF($I199="Medio Perdida",IF($H199="Free Bet",0,-$G199/2),IF($I199="Reembolso",IF($R199="","",ROUND($R199-$G199,2)),IF($I199="Anulada",0,"")))))))</f>
        <v>18.899999999999999</v>
      </c>
      <c r="K199" s="118">
        <f>IF(J199="","",2000+SUM(J$5:J199))</f>
        <v>2293.3200000000002</v>
      </c>
      <c r="L199" s="119">
        <f>IF(OR($I199="Ganada",$I199="Perdida",$I199="Medio Ganada",$I199="Medio Perdida"),IF($G199=0,"",J199/$G199),"")</f>
        <v>1.0499999999999998</v>
      </c>
      <c r="M199" s="120">
        <f>IF(OR($A199="",$B199=""),"",COUNTIFS($A$5:A199,A199,$B$5:B199,B199))</f>
        <v>9</v>
      </c>
      <c r="N199" s="120">
        <f>IF($A199="","",COUNTA($A$5:$A199))</f>
        <v>195</v>
      </c>
      <c r="O199" s="120">
        <f>IF($A199="","",COUNTA($A$5:$A199))</f>
        <v>195</v>
      </c>
      <c r="P199" s="118">
        <f>IF($K199="","",MAX($K$5:K199))</f>
        <v>2403.3000000000002</v>
      </c>
      <c r="Q199" s="117">
        <f>IF($K199="","",K199-P199)</f>
        <v>-109.98000000000002</v>
      </c>
      <c r="R199" s="118"/>
      <c r="S199" s="2">
        <f>IF(OR($A199="",$F199=""),"",IF($I199="Pendiente","",ROUND($G199*($F199*0.609-1),2)))</f>
        <v>4.47</v>
      </c>
      <c r="T199" s="2">
        <f>IF($A199="","",IFERROR(SUM($S$5:S199),0))</f>
        <v>271.56999999999994</v>
      </c>
    </row>
    <row r="200" spans="1:20" ht="15" customHeight="1">
      <c r="A200" s="110">
        <v>46205</v>
      </c>
      <c r="B200" s="129" t="s">
        <v>31</v>
      </c>
      <c r="C200" s="155" t="s">
        <v>401</v>
      </c>
      <c r="D200" s="113" t="s">
        <v>67</v>
      </c>
      <c r="E200" s="137" t="s">
        <v>258</v>
      </c>
      <c r="F200" s="115">
        <v>2.38</v>
      </c>
      <c r="G200" s="116">
        <v>11</v>
      </c>
      <c r="H200" s="120" t="s">
        <v>69</v>
      </c>
      <c r="I200" s="120" t="s">
        <v>75</v>
      </c>
      <c r="J200" s="117">
        <f>IF($A200="","",IF($I200="Ganada",ROUND($G200*($F200-1),2),IF($I200="Medio Ganada",ROUND($G200/2*($F200-1),2),IF($I200="Perdida",IF($H200="Free Bet",0,-$G200),IF($I200="Medio Perdida",IF($H200="Free Bet",0,-$G200/2),IF($I200="Reembolso",IF($R200="","",ROUND($R200-$G200,2)),IF($I200="Anulada",0,"")))))))</f>
        <v>-11</v>
      </c>
      <c r="K200" s="118">
        <f>IF(J200="","",2000+SUM(J$5:J200))</f>
        <v>2282.3200000000002</v>
      </c>
      <c r="L200" s="119">
        <f>IF(OR($I200="Ganada",$I200="Perdida",$I200="Medio Ganada",$I200="Medio Perdida"),IF($G200=0,"",J200/$G200),"")</f>
        <v>-1</v>
      </c>
      <c r="M200" s="120">
        <f>IF(OR($A200="",$B200=""),"",COUNTIFS($A$5:A200,A200,$B$5:B200,B200))</f>
        <v>1</v>
      </c>
      <c r="N200" s="120">
        <f>IF($A200="","",COUNTA($A$5:$A200))</f>
        <v>196</v>
      </c>
      <c r="O200" s="120">
        <f>IF($A200="","",COUNTA($A$5:$A200))</f>
        <v>196</v>
      </c>
      <c r="P200" s="118">
        <f>IF($K200="","",MAX($K$5:K200))</f>
        <v>2403.3000000000002</v>
      </c>
      <c r="Q200" s="117">
        <f>IF($K200="","",K200-P200)</f>
        <v>-120.98000000000002</v>
      </c>
      <c r="R200" s="118"/>
      <c r="S200" s="2">
        <f>IF(OR($A200="",$F200=""),"",IF($I200="Pendiente","",ROUND($G200*($F200*0.609-1),2)))</f>
        <v>4.9400000000000004</v>
      </c>
      <c r="T200" s="2">
        <f>IF($A200="","",IFERROR(SUM($S$5:S200),0))</f>
        <v>276.50999999999993</v>
      </c>
    </row>
    <row r="201" spans="1:20" ht="22.5" customHeight="1">
      <c r="A201" s="110">
        <v>46205</v>
      </c>
      <c r="B201" s="152" t="s">
        <v>32</v>
      </c>
      <c r="C201" s="133" t="s">
        <v>402</v>
      </c>
      <c r="D201" s="113" t="s">
        <v>95</v>
      </c>
      <c r="E201" s="138" t="s">
        <v>403</v>
      </c>
      <c r="F201" s="115">
        <v>1.85</v>
      </c>
      <c r="G201" s="116">
        <v>18</v>
      </c>
      <c r="H201" s="120" t="s">
        <v>69</v>
      </c>
      <c r="I201" s="120" t="s">
        <v>70</v>
      </c>
      <c r="J201" s="117">
        <f>IF($A201="","",IF($I201="Ganada",ROUND($G201*($F201-1),2),IF($I201="Medio Ganada",ROUND($G201/2*($F201-1),2),IF($I201="Perdida",IF($H201="Free Bet",0,-$G201),IF($I201="Medio Perdida",IF($H201="Free Bet",0,-$G201/2),IF($I201="Reembolso",IF($R201="","",ROUND($R201-$G201,2)),IF($I201="Anulada",0,"")))))))</f>
        <v>15.3</v>
      </c>
      <c r="K201" s="118">
        <f>IF(J201="","",2000+SUM(J$5:J201))</f>
        <v>2297.62</v>
      </c>
      <c r="L201" s="119">
        <f>IF(OR($I201="Ganada",$I201="Perdida",$I201="Medio Ganada",$I201="Medio Perdida"),IF($G201=0,"",J201/$G201),"")</f>
        <v>0.85000000000000009</v>
      </c>
      <c r="M201" s="120">
        <f>IF(OR($A201="",$B201=""),"",COUNTIFS($A$5:A201,A201,$B$5:B201,B201))</f>
        <v>1</v>
      </c>
      <c r="N201" s="120">
        <f>IF($A201="","",COUNTA($A$5:$A201))</f>
        <v>197</v>
      </c>
      <c r="O201" s="120">
        <f>IF($A201="","",COUNTA($A$5:$A201))</f>
        <v>197</v>
      </c>
      <c r="P201" s="118">
        <f>IF($K201="","",MAX($K$5:K201))</f>
        <v>2403.3000000000002</v>
      </c>
      <c r="Q201" s="117">
        <f>IF($K201="","",K201-P201)</f>
        <v>-105.68000000000029</v>
      </c>
      <c r="R201" s="118"/>
      <c r="S201" s="2">
        <f>IF(OR($A201="",$F201=""),"",IF($I201="Pendiente","",ROUND($G201*($F201*0.609-1),2)))</f>
        <v>2.2799999999999998</v>
      </c>
      <c r="T201" s="2">
        <f>IF($A201="","",IFERROR(SUM($S$5:S201),0))</f>
        <v>278.78999999999991</v>
      </c>
    </row>
    <row r="202" spans="1:20" ht="15" customHeight="1">
      <c r="A202" s="110">
        <v>46205</v>
      </c>
      <c r="B202" s="152" t="s">
        <v>32</v>
      </c>
      <c r="C202" s="136" t="s">
        <v>404</v>
      </c>
      <c r="D202" s="113" t="s">
        <v>76</v>
      </c>
      <c r="E202" s="137" t="s">
        <v>405</v>
      </c>
      <c r="F202" s="115">
        <v>2</v>
      </c>
      <c r="G202" s="116">
        <v>18</v>
      </c>
      <c r="H202" s="120" t="s">
        <v>69</v>
      </c>
      <c r="I202" s="120" t="s">
        <v>70</v>
      </c>
      <c r="J202" s="117">
        <f>IF($A202="","",IF($I202="Ganada",ROUND($G202*($F202-1),2),IF($I202="Medio Ganada",ROUND($G202/2*($F202-1),2),IF($I202="Perdida",IF($H202="Free Bet",0,-$G202),IF($I202="Medio Perdida",IF($H202="Free Bet",0,-$G202/2),IF($I202="Reembolso",IF($R202="","",ROUND($R202-$G202,2)),IF($I202="Anulada",0,"")))))))</f>
        <v>18</v>
      </c>
      <c r="K202" s="118">
        <f>IF(J202="","",2000+SUM(J$5:J202))</f>
        <v>2315.62</v>
      </c>
      <c r="L202" s="119">
        <f>IF(OR($I202="Ganada",$I202="Perdida",$I202="Medio Ganada",$I202="Medio Perdida"),IF($G202=0,"",J202/$G202),"")</f>
        <v>1</v>
      </c>
      <c r="M202" s="120">
        <f>IF(OR($A202="",$B202=""),"",COUNTIFS($A$5:A202,A202,$B$5:B202,B202))</f>
        <v>2</v>
      </c>
      <c r="N202" s="120">
        <f>IF($A202="","",COUNTA($A$5:$A202))</f>
        <v>198</v>
      </c>
      <c r="O202" s="120">
        <f>IF($A202="","",COUNTA($A$5:$A202))</f>
        <v>198</v>
      </c>
      <c r="P202" s="118">
        <f>IF($K202="","",MAX($K$5:K202))</f>
        <v>2403.3000000000002</v>
      </c>
      <c r="Q202" s="117">
        <f>IF($K202="","",K202-P202)</f>
        <v>-87.680000000000291</v>
      </c>
      <c r="R202" s="118"/>
      <c r="S202" s="2">
        <f>IF(OR($A202="",$F202=""),"",IF($I202="Pendiente","",ROUND($G202*($F202*0.609-1),2)))</f>
        <v>3.92</v>
      </c>
      <c r="T202" s="2">
        <f>IF($A202="","",IFERROR(SUM($S$5:S202),0))</f>
        <v>282.70999999999992</v>
      </c>
    </row>
    <row r="203" spans="1:20" ht="15" customHeight="1">
      <c r="A203" s="110">
        <v>46205</v>
      </c>
      <c r="B203" s="132" t="s">
        <v>29</v>
      </c>
      <c r="C203" s="156" t="s">
        <v>406</v>
      </c>
      <c r="D203" s="113" t="s">
        <v>76</v>
      </c>
      <c r="E203" s="137">
        <v>2</v>
      </c>
      <c r="F203" s="115">
        <v>1.49</v>
      </c>
      <c r="G203" s="116">
        <v>22</v>
      </c>
      <c r="H203" s="120" t="s">
        <v>69</v>
      </c>
      <c r="I203" s="120" t="s">
        <v>70</v>
      </c>
      <c r="J203" s="117">
        <f>IF($A203="","",IF($I203="Ganada",ROUND($G203*($F203-1),2),IF($I203="Medio Ganada",ROUND($G203/2*($F203-1),2),IF($I203="Perdida",IF($H203="Free Bet",0,-$G203),IF($I203="Medio Perdida",IF($H203="Free Bet",0,-$G203/2),IF($I203="Reembolso",IF($R203="","",ROUND($R203-$G203,2)),IF($I203="Anulada",0,"")))))))</f>
        <v>10.78</v>
      </c>
      <c r="K203" s="118">
        <f>IF(J203="","",2000+SUM(J$5:J203))</f>
        <v>2326.4</v>
      </c>
      <c r="L203" s="119">
        <f>IF(OR($I203="Ganada",$I203="Perdida",$I203="Medio Ganada",$I203="Medio Perdida"),IF($G203=0,"",J203/$G203),"")</f>
        <v>0.49</v>
      </c>
      <c r="M203" s="120">
        <f>IF(OR($A203="",$B203=""),"",COUNTIFS($A$5:A203,A203,$B$5:B203,B203))</f>
        <v>1</v>
      </c>
      <c r="N203" s="120">
        <f>IF($A203="","",COUNTA($A$5:$A203))</f>
        <v>199</v>
      </c>
      <c r="O203" s="120">
        <f>IF($A203="","",COUNTA($A$5:$A203))</f>
        <v>199</v>
      </c>
      <c r="P203" s="118">
        <f>IF($K203="","",MAX($K$5:K203))</f>
        <v>2403.3000000000002</v>
      </c>
      <c r="Q203" s="117">
        <f>IF($K203="","",K203-P203)</f>
        <v>-76.900000000000091</v>
      </c>
      <c r="R203" s="118"/>
      <c r="S203" s="2">
        <f>IF(OR($A203="",$F203=""),"",IF($I203="Pendiente","",ROUND($G203*($F203*0.609-1),2)))</f>
        <v>-2.04</v>
      </c>
      <c r="T203" s="2">
        <f>IF($A203="","",IFERROR(SUM($S$5:S203),0))</f>
        <v>280.6699999999999</v>
      </c>
    </row>
    <row r="204" spans="1:20" ht="15" customHeight="1">
      <c r="A204" s="110">
        <v>46205</v>
      </c>
      <c r="B204" s="152" t="s">
        <v>32</v>
      </c>
      <c r="C204" s="133" t="s">
        <v>407</v>
      </c>
      <c r="D204" s="113" t="s">
        <v>76</v>
      </c>
      <c r="E204" s="137" t="s">
        <v>405</v>
      </c>
      <c r="F204" s="115">
        <v>1.5329999999999999</v>
      </c>
      <c r="G204" s="116">
        <v>22</v>
      </c>
      <c r="H204" s="120" t="s">
        <v>69</v>
      </c>
      <c r="I204" s="120" t="s">
        <v>70</v>
      </c>
      <c r="J204" s="117">
        <f>IF($A204="","",IF($I204="Ganada",ROUND($G204*($F204-1),2),IF($I204="Medio Ganada",ROUND($G204/2*($F204-1),2),IF($I204="Perdida",IF($H204="Free Bet",0,-$G204),IF($I204="Medio Perdida",IF($H204="Free Bet",0,-$G204/2),IF($I204="Reembolso",IF($R204="","",ROUND($R204-$G204,2)),IF($I204="Anulada",0,"")))))))</f>
        <v>11.73</v>
      </c>
      <c r="K204" s="118">
        <f>IF(J204="","",2000+SUM(J$5:J204))</f>
        <v>2338.13</v>
      </c>
      <c r="L204" s="119">
        <f>IF(OR($I204="Ganada",$I204="Perdida",$I204="Medio Ganada",$I204="Medio Perdida"),IF($G204=0,"",J204/$G204),"")</f>
        <v>0.5331818181818182</v>
      </c>
      <c r="M204" s="120">
        <f>IF(OR($A204="",$B204=""),"",COUNTIFS($A$5:A204,A204,$B$5:B204,B204))</f>
        <v>3</v>
      </c>
      <c r="N204" s="120">
        <f>IF($A204="","",COUNTA($A$5:$A204))</f>
        <v>200</v>
      </c>
      <c r="O204" s="120">
        <f>IF($A204="","",COUNTA($A$5:$A204))</f>
        <v>200</v>
      </c>
      <c r="P204" s="118">
        <f>IF($K204="","",MAX($K$5:K204))</f>
        <v>2403.3000000000002</v>
      </c>
      <c r="Q204" s="117">
        <f>IF($K204="","",K204-P204)</f>
        <v>-65.170000000000073</v>
      </c>
      <c r="R204" s="118"/>
      <c r="S204" s="2">
        <f>IF(OR($A204="",$F204=""),"",IF($I204="Pendiente","",ROUND($G204*($F204*0.609-1),2)))</f>
        <v>-1.46</v>
      </c>
      <c r="T204" s="2">
        <f>IF($A204="","",IFERROR(SUM($S$5:S204),0))</f>
        <v>279.20999999999992</v>
      </c>
    </row>
    <row r="205" spans="1:20" ht="15" customHeight="1">
      <c r="A205" s="110">
        <v>46205</v>
      </c>
      <c r="B205" s="150" t="s">
        <v>33</v>
      </c>
      <c r="C205" s="133" t="s">
        <v>408</v>
      </c>
      <c r="D205" s="113" t="s">
        <v>67</v>
      </c>
      <c r="E205" s="137" t="s">
        <v>409</v>
      </c>
      <c r="F205" s="115">
        <v>2</v>
      </c>
      <c r="G205" s="116">
        <v>18</v>
      </c>
      <c r="H205" s="120" t="s">
        <v>69</v>
      </c>
      <c r="I205" s="120" t="s">
        <v>75</v>
      </c>
      <c r="J205" s="117">
        <f>IF($A205="","",IF($I205="Ganada",ROUND($G205*($F205-1),2),IF($I205="Medio Ganada",ROUND($G205/2*($F205-1),2),IF($I205="Perdida",IF($H205="Free Bet",0,-$G205),IF($I205="Medio Perdida",IF($H205="Free Bet",0,-$G205/2),IF($I205="Reembolso",IF($R205="","",ROUND($R205-$G205,2)),IF($I205="Anulada",0,"")))))))</f>
        <v>-18</v>
      </c>
      <c r="K205" s="118">
        <f>IF(J205="","",2000+SUM(J$5:J205))</f>
        <v>2320.13</v>
      </c>
      <c r="L205" s="119">
        <f>IF(OR($I205="Ganada",$I205="Perdida",$I205="Medio Ganada",$I205="Medio Perdida"),IF($G205=0,"",J205/$G205),"")</f>
        <v>-1</v>
      </c>
      <c r="M205" s="120">
        <f>IF(OR($A205="",$B205=""),"",COUNTIFS($A$5:A205,A205,$B$5:B205,B205))</f>
        <v>1</v>
      </c>
      <c r="N205" s="120">
        <f>IF($A205="","",COUNTA($A$5:$A205))</f>
        <v>201</v>
      </c>
      <c r="O205" s="120">
        <f>IF($A205="","",COUNTA($A$5:$A205))</f>
        <v>201</v>
      </c>
      <c r="P205" s="118">
        <f>IF($K205="","",MAX($K$5:K205))</f>
        <v>2403.3000000000002</v>
      </c>
      <c r="Q205" s="117">
        <f>IF($K205="","",K205-P205)</f>
        <v>-83.170000000000073</v>
      </c>
      <c r="R205" s="118"/>
      <c r="S205" s="2">
        <f>IF(OR($A205="",$F205=""),"",IF($I205="Pendiente","",ROUND($G205*($F205*0.609-1),2)))</f>
        <v>3.92</v>
      </c>
      <c r="T205" s="2">
        <f>IF($A205="","",IFERROR(SUM($S$5:S205),0))</f>
        <v>283.12999999999994</v>
      </c>
    </row>
    <row r="206" spans="1:20" ht="15" customHeight="1">
      <c r="A206" s="110">
        <v>46205</v>
      </c>
      <c r="B206" s="152" t="s">
        <v>32</v>
      </c>
      <c r="C206" s="136" t="s">
        <v>410</v>
      </c>
      <c r="D206" s="113" t="s">
        <v>76</v>
      </c>
      <c r="E206" s="130" t="s">
        <v>188</v>
      </c>
      <c r="F206" s="115">
        <v>1.5</v>
      </c>
      <c r="G206" s="116">
        <v>22</v>
      </c>
      <c r="H206" s="120" t="s">
        <v>69</v>
      </c>
      <c r="I206" s="120" t="s">
        <v>75</v>
      </c>
      <c r="J206" s="117">
        <f>IF($A206="","",IF($I206="Ganada",ROUND($G206*($F206-1),2),IF($I206="Medio Ganada",ROUND($G206/2*($F206-1),2),IF($I206="Perdida",IF($H206="Free Bet",0,-$G206),IF($I206="Medio Perdida",IF($H206="Free Bet",0,-$G206/2),IF($I206="Reembolso",IF($R206="","",ROUND($R206-$G206,2)),IF($I206="Anulada",0,"")))))))</f>
        <v>-22</v>
      </c>
      <c r="K206" s="118">
        <f>IF(J206="","",2000+SUM(J$5:J206))</f>
        <v>2298.13</v>
      </c>
      <c r="L206" s="119">
        <f>IF(OR($I206="Ganada",$I206="Perdida",$I206="Medio Ganada",$I206="Medio Perdida"),IF($G206=0,"",J206/$G206),"")</f>
        <v>-1</v>
      </c>
      <c r="M206" s="120">
        <f>IF(OR($A206="",$B206=""),"",COUNTIFS($A$5:A206,A206,$B$5:B206,B206))</f>
        <v>4</v>
      </c>
      <c r="N206" s="120">
        <f>IF($A206="","",COUNTA($A$5:$A206))</f>
        <v>202</v>
      </c>
      <c r="O206" s="120">
        <f>IF($A206="","",COUNTA($A$5:$A206))</f>
        <v>202</v>
      </c>
      <c r="P206" s="118">
        <f>IF($K206="","",MAX($K$5:K206))</f>
        <v>2403.3000000000002</v>
      </c>
      <c r="Q206" s="117">
        <f>IF($K206="","",K206-P206)</f>
        <v>-105.17000000000007</v>
      </c>
      <c r="R206" s="118"/>
      <c r="S206" s="2">
        <f>IF(OR($A206="",$F206=""),"",IF($I206="Pendiente","",ROUND($G206*($F206*0.609-1),2)))</f>
        <v>-1.9</v>
      </c>
      <c r="T206" s="2">
        <f>IF($A206="","",IFERROR(SUM($S$5:S206),0))</f>
        <v>281.22999999999996</v>
      </c>
    </row>
    <row r="207" spans="1:20" ht="22.5" customHeight="1">
      <c r="A207" s="110">
        <v>46205</v>
      </c>
      <c r="B207" s="150" t="s">
        <v>33</v>
      </c>
      <c r="C207" s="133" t="s">
        <v>411</v>
      </c>
      <c r="D207" s="113" t="s">
        <v>67</v>
      </c>
      <c r="E207" s="138" t="s">
        <v>412</v>
      </c>
      <c r="F207" s="115">
        <v>1.88</v>
      </c>
      <c r="G207" s="116">
        <v>18</v>
      </c>
      <c r="H207" s="120" t="s">
        <v>69</v>
      </c>
      <c r="I207" s="120" t="s">
        <v>70</v>
      </c>
      <c r="J207" s="117">
        <f>IF($A207="","",IF($I207="Ganada",ROUND($G207*($F207-1),2),IF($I207="Medio Ganada",ROUND($G207/2*($F207-1),2),IF($I207="Perdida",IF($H207="Free Bet",0,-$G207),IF($I207="Medio Perdida",IF($H207="Free Bet",0,-$G207/2),IF($I207="Reembolso",IF($R207="","",ROUND($R207-$G207,2)),IF($I207="Anulada",0,"")))))))</f>
        <v>15.84</v>
      </c>
      <c r="K207" s="118">
        <f>IF(J207="","",2000+SUM(J$5:J207))</f>
        <v>2313.9700000000003</v>
      </c>
      <c r="L207" s="119">
        <f>IF(OR($I207="Ganada",$I207="Perdida",$I207="Medio Ganada",$I207="Medio Perdida"),IF($G207=0,"",J207/$G207),"")</f>
        <v>0.88</v>
      </c>
      <c r="M207" s="120">
        <f>IF(OR($A207="",$B207=""),"",COUNTIFS($A$5:A207,A207,$B$5:B207,B207))</f>
        <v>2</v>
      </c>
      <c r="N207" s="120">
        <f>IF($A207="","",COUNTA($A$5:$A207))</f>
        <v>203</v>
      </c>
      <c r="O207" s="120">
        <f>IF($A207="","",COUNTA($A$5:$A207))</f>
        <v>203</v>
      </c>
      <c r="P207" s="118">
        <f>IF($K207="","",MAX($K$5:K207))</f>
        <v>2403.3000000000002</v>
      </c>
      <c r="Q207" s="117">
        <f>IF($K207="","",K207-P207)</f>
        <v>-89.329999999999927</v>
      </c>
      <c r="R207" s="118"/>
      <c r="S207" s="2">
        <f>IF(OR($A207="",$F207=""),"",IF($I207="Pendiente","",ROUND($G207*($F207*0.609-1),2)))</f>
        <v>2.61</v>
      </c>
      <c r="T207" s="2">
        <f>IF($A207="","",IFERROR(SUM($S$5:S207),0))</f>
        <v>283.83999999999997</v>
      </c>
    </row>
    <row r="208" spans="1:20" ht="15" customHeight="1">
      <c r="A208" s="110">
        <v>46205</v>
      </c>
      <c r="B208" s="150" t="s">
        <v>33</v>
      </c>
      <c r="C208" s="136" t="s">
        <v>413</v>
      </c>
      <c r="D208" s="113" t="s">
        <v>76</v>
      </c>
      <c r="E208" s="137">
        <v>1</v>
      </c>
      <c r="F208" s="115">
        <v>2.08</v>
      </c>
      <c r="G208" s="116">
        <v>14</v>
      </c>
      <c r="H208" s="120" t="s">
        <v>69</v>
      </c>
      <c r="I208" s="120" t="s">
        <v>75</v>
      </c>
      <c r="J208" s="117">
        <f>IF($A208="","",IF($I208="Ganada",ROUND($G208*($F208-1),2),IF($I208="Medio Ganada",ROUND($G208/2*($F208-1),2),IF($I208="Perdida",IF($H208="Free Bet",0,-$G208),IF($I208="Medio Perdida",IF($H208="Free Bet",0,-$G208/2),IF($I208="Reembolso",IF($R208="","",ROUND($R208-$G208,2)),IF($I208="Anulada",0,"")))))))</f>
        <v>-14</v>
      </c>
      <c r="K208" s="118">
        <f>IF(J208="","",2000+SUM(J$5:J208))</f>
        <v>2299.9700000000003</v>
      </c>
      <c r="L208" s="119">
        <f>IF(OR($I208="Ganada",$I208="Perdida",$I208="Medio Ganada",$I208="Medio Perdida"),IF($G208=0,"",J208/$G208),"")</f>
        <v>-1</v>
      </c>
      <c r="M208" s="120">
        <f>IF(OR($A208="",$B208=""),"",COUNTIFS($A$5:A208,A208,$B$5:B208,B208))</f>
        <v>3</v>
      </c>
      <c r="N208" s="120">
        <f>IF($A208="","",COUNTA($A$5:$A208))</f>
        <v>204</v>
      </c>
      <c r="O208" s="120">
        <f>IF($A208="","",COUNTA($A$5:$A208))</f>
        <v>204</v>
      </c>
      <c r="P208" s="118">
        <f>IF($K208="","",MAX($K$5:K208))</f>
        <v>2403.3000000000002</v>
      </c>
      <c r="Q208" s="117">
        <f>IF($K208="","",K208-P208)</f>
        <v>-103.32999999999993</v>
      </c>
      <c r="R208" s="118"/>
      <c r="S208" s="2">
        <f>IF(OR($A208="",$F208=""),"",IF($I208="Pendiente","",ROUND($G208*($F208*0.609-1),2)))</f>
        <v>3.73</v>
      </c>
      <c r="T208" s="2">
        <f>IF($A208="","",IFERROR(SUM($S$5:S208),0))</f>
        <v>287.57</v>
      </c>
    </row>
    <row r="209" spans="1:20" ht="22.5" customHeight="1">
      <c r="A209" s="110">
        <v>46205</v>
      </c>
      <c r="B209" s="150" t="s">
        <v>33</v>
      </c>
      <c r="C209" s="133" t="s">
        <v>414</v>
      </c>
      <c r="D209" s="113" t="s">
        <v>95</v>
      </c>
      <c r="E209" s="138" t="s">
        <v>415</v>
      </c>
      <c r="F209" s="115">
        <v>1.82</v>
      </c>
      <c r="G209" s="116">
        <v>22</v>
      </c>
      <c r="H209" s="120" t="s">
        <v>69</v>
      </c>
      <c r="I209" s="120" t="s">
        <v>70</v>
      </c>
      <c r="J209" s="117">
        <f>IF($A209="","",IF($I209="Ganada",ROUND($G209*($F209-1),2),IF($I209="Medio Ganada",ROUND($G209/2*($F209-1),2),IF($I209="Perdida",IF($H209="Free Bet",0,-$G209),IF($I209="Medio Perdida",IF($H209="Free Bet",0,-$G209/2),IF($I209="Reembolso",IF($R209="","",ROUND($R209-$G209,2)),IF($I209="Anulada",0,"")))))))</f>
        <v>18.04</v>
      </c>
      <c r="K209" s="118">
        <f>IF(J209="","",2000+SUM(J$5:J209))</f>
        <v>2318.0100000000002</v>
      </c>
      <c r="L209" s="119">
        <f>IF(OR($I209="Ganada",$I209="Perdida",$I209="Medio Ganada",$I209="Medio Perdida"),IF($G209=0,"",J209/$G209),"")</f>
        <v>0.82</v>
      </c>
      <c r="M209" s="120">
        <f>IF(OR($A209="",$B209=""),"",COUNTIFS($A$5:A209,A209,$B$5:B209,B209))</f>
        <v>4</v>
      </c>
      <c r="N209" s="120">
        <f>IF($A209="","",COUNTA($A$5:$A209))</f>
        <v>205</v>
      </c>
      <c r="O209" s="120">
        <f>IF($A209="","",COUNTA($A$5:$A209))</f>
        <v>205</v>
      </c>
      <c r="P209" s="118">
        <f>IF($K209="","",MAX($K$5:K209))</f>
        <v>2403.3000000000002</v>
      </c>
      <c r="Q209" s="117">
        <f>IF($K209="","",K209-P209)</f>
        <v>-85.289999999999964</v>
      </c>
      <c r="R209" s="118"/>
      <c r="S209" s="2">
        <f>IF(OR($A209="",$F209=""),"",IF($I209="Pendiente","",ROUND($G209*($F209*0.609-1),2)))</f>
        <v>2.38</v>
      </c>
      <c r="T209" s="2">
        <f>IF($A209="","",IFERROR(SUM($S$5:S209),0))</f>
        <v>289.95</v>
      </c>
    </row>
    <row r="210" spans="1:20" ht="22.5" customHeight="1">
      <c r="A210" s="110">
        <v>46206</v>
      </c>
      <c r="B210" s="111" t="s">
        <v>30</v>
      </c>
      <c r="C210" s="133" t="s">
        <v>416</v>
      </c>
      <c r="D210" s="113" t="s">
        <v>95</v>
      </c>
      <c r="E210" s="138" t="s">
        <v>417</v>
      </c>
      <c r="F210" s="115">
        <v>2.06</v>
      </c>
      <c r="G210" s="116">
        <v>18</v>
      </c>
      <c r="H210" s="120" t="s">
        <v>69</v>
      </c>
      <c r="I210" s="120" t="s">
        <v>70</v>
      </c>
      <c r="J210" s="117">
        <f>IF($A210="","",IF($I210="Ganada",ROUND($G210*($F210-1),2),IF($I210="Medio Ganada",ROUND($G210/2*($F210-1),2),IF($I210="Perdida",IF($H210="Free Bet",0,-$G210),IF($I210="Medio Perdida",IF($H210="Free Bet",0,-$G210/2),IF($I210="Reembolso",IF($R210="","",ROUND($R210-$G210,2)),IF($I210="Anulada",0,"")))))))</f>
        <v>19.079999999999998</v>
      </c>
      <c r="K210" s="118">
        <f>IF(J210="","",2000+SUM(J$5:J210))</f>
        <v>2337.09</v>
      </c>
      <c r="L210" s="119">
        <f>IF(OR($I210="Ganada",$I210="Perdida",$I210="Medio Ganada",$I210="Medio Perdida"),IF($G210=0,"",J210/$G210),"")</f>
        <v>1.0599999999999998</v>
      </c>
      <c r="M210" s="120">
        <f>IF(OR($A210="",$B210=""),"",COUNTIFS($A$5:A210,A210,$B$5:B210,B210))</f>
        <v>1</v>
      </c>
      <c r="N210" s="120">
        <f>IF($A210="","",COUNTA($A$5:$A210))</f>
        <v>206</v>
      </c>
      <c r="O210" s="120">
        <f>IF($A210="","",COUNTA($A$5:$A210))</f>
        <v>206</v>
      </c>
      <c r="P210" s="118">
        <f>IF($K210="","",MAX($K$5:K210))</f>
        <v>2403.3000000000002</v>
      </c>
      <c r="Q210" s="117">
        <f>IF($K210="","",K210-P210)</f>
        <v>-66.210000000000036</v>
      </c>
      <c r="R210" s="118"/>
      <c r="S210" s="2">
        <f>IF(OR($A210="",$F210=""),"",IF($I210="Pendiente","",ROUND($G210*($F210*0.609-1),2)))</f>
        <v>4.58</v>
      </c>
      <c r="T210" s="2">
        <f>IF($A210="","",IFERROR(SUM($S$5:S210),0))</f>
        <v>294.52999999999997</v>
      </c>
    </row>
    <row r="211" spans="1:20" ht="22.5" customHeight="1">
      <c r="A211" s="110">
        <v>46206</v>
      </c>
      <c r="B211" s="152" t="s">
        <v>32</v>
      </c>
      <c r="C211" s="136" t="s">
        <v>418</v>
      </c>
      <c r="D211" s="113" t="s">
        <v>76</v>
      </c>
      <c r="E211" s="137" t="s">
        <v>419</v>
      </c>
      <c r="F211" s="115">
        <v>2.2000000000000002</v>
      </c>
      <c r="G211" s="116">
        <v>18</v>
      </c>
      <c r="H211" s="120" t="s">
        <v>69</v>
      </c>
      <c r="I211" s="120" t="s">
        <v>75</v>
      </c>
      <c r="J211" s="117">
        <f>IF($A211="","",IF($I211="Ganada",ROUND($G211*($F211-1),2),IF($I211="Medio Ganada",ROUND($G211/2*($F211-1),2),IF($I211="Perdida",IF($H211="Free Bet",0,-$G211),IF($I211="Medio Perdida",IF($H211="Free Bet",0,-$G211/2),IF($I211="Reembolso",IF($R211="","",ROUND($R211-$G211,2)),IF($I211="Anulada",0,"")))))))</f>
        <v>-18</v>
      </c>
      <c r="K211" s="118">
        <f>IF(J211="","",2000+SUM(J$5:J211))</f>
        <v>2319.09</v>
      </c>
      <c r="L211" s="119">
        <f>IF(OR($I211="Ganada",$I211="Perdida",$I211="Medio Ganada",$I211="Medio Perdida"),IF($G211=0,"",J211/$G211),"")</f>
        <v>-1</v>
      </c>
      <c r="M211" s="120">
        <f>IF(OR($A211="",$B211=""),"",COUNTIFS($A$5:A211,A211,$B$5:B211,B211))</f>
        <v>1</v>
      </c>
      <c r="N211" s="120">
        <f>IF($A211="","",COUNTA($A$5:$A211))</f>
        <v>207</v>
      </c>
      <c r="O211" s="120">
        <f>IF($A211="","",COUNTA($A$5:$A211))</f>
        <v>207</v>
      </c>
      <c r="P211" s="118">
        <f>IF($K211="","",MAX($K$5:K211))</f>
        <v>2403.3000000000002</v>
      </c>
      <c r="Q211" s="117">
        <f>IF($K211="","",K211-P211)</f>
        <v>-84.210000000000036</v>
      </c>
      <c r="R211" s="118"/>
      <c r="S211" s="2">
        <f>IF(OR($A211="",$F211=""),"",IF($I211="Pendiente","",ROUND($G211*($F211*0.609-1),2)))</f>
        <v>6.12</v>
      </c>
      <c r="T211" s="2">
        <f>IF($A211="","",IFERROR(SUM($S$5:S211),0))</f>
        <v>300.64999999999998</v>
      </c>
    </row>
    <row r="212" spans="1:20" ht="22.5" customHeight="1">
      <c r="A212" s="110">
        <v>46206</v>
      </c>
      <c r="B212" s="152" t="s">
        <v>32</v>
      </c>
      <c r="C212" s="136" t="s">
        <v>420</v>
      </c>
      <c r="D212" s="113" t="s">
        <v>95</v>
      </c>
      <c r="E212" s="138" t="s">
        <v>421</v>
      </c>
      <c r="F212" s="115">
        <v>1.85</v>
      </c>
      <c r="G212" s="116">
        <v>18</v>
      </c>
      <c r="H212" s="120" t="s">
        <v>69</v>
      </c>
      <c r="I212" s="120" t="s">
        <v>70</v>
      </c>
      <c r="J212" s="117">
        <f>IF($A212="","",IF($I212="Ganada",ROUND($G212*($F212-1),2),IF($I212="Medio Ganada",ROUND($G212/2*($F212-1),2),IF($I212="Perdida",IF($H212="Free Bet",0,-$G212),IF($I212="Medio Perdida",IF($H212="Free Bet",0,-$G212/2),IF($I212="Reembolso",IF($R212="","",ROUND($R212-$G212,2)),IF($I212="Anulada",0,"")))))))</f>
        <v>15.3</v>
      </c>
      <c r="K212" s="118">
        <f>IF(J212="","",2000+SUM(J$5:J212))</f>
        <v>2334.39</v>
      </c>
      <c r="L212" s="119">
        <f>IF(OR($I212="Ganada",$I212="Perdida",$I212="Medio Ganada",$I212="Medio Perdida"),IF($G212=0,"",J212/$G212),"")</f>
        <v>0.85000000000000009</v>
      </c>
      <c r="M212" s="120">
        <f>IF(OR($A212="",$B212=""),"",COUNTIFS($A$5:A212,A212,$B$5:B212,B212))</f>
        <v>2</v>
      </c>
      <c r="N212" s="120">
        <f>IF($A212="","",COUNTA($A$5:$A212))</f>
        <v>208</v>
      </c>
      <c r="O212" s="120">
        <f>IF($A212="","",COUNTA($A$5:$A212))</f>
        <v>208</v>
      </c>
      <c r="P212" s="118">
        <f>IF($K212="","",MAX($K$5:K212))</f>
        <v>2403.3000000000002</v>
      </c>
      <c r="Q212" s="117">
        <f>IF($K212="","",K212-P212)</f>
        <v>-68.910000000000309</v>
      </c>
      <c r="R212" s="118"/>
      <c r="S212" s="2">
        <f>IF(OR($A212="",$F212=""),"",IF($I212="Pendiente","",ROUND($G212*($F212*0.609-1),2)))</f>
        <v>2.2799999999999998</v>
      </c>
      <c r="T212" s="2">
        <f>IF($A212="","",IFERROR(SUM($S$5:S212),0))</f>
        <v>302.92999999999995</v>
      </c>
    </row>
    <row r="213" spans="1:20" ht="22.5" customHeight="1">
      <c r="A213" s="110">
        <v>46206</v>
      </c>
      <c r="B213" s="152" t="s">
        <v>32</v>
      </c>
      <c r="C213" s="136" t="s">
        <v>422</v>
      </c>
      <c r="D213" s="113" t="s">
        <v>76</v>
      </c>
      <c r="E213" s="138" t="s">
        <v>423</v>
      </c>
      <c r="F213" s="115">
        <v>1.4</v>
      </c>
      <c r="G213" s="116">
        <v>22</v>
      </c>
      <c r="H213" s="120" t="s">
        <v>69</v>
      </c>
      <c r="I213" s="120" t="s">
        <v>75</v>
      </c>
      <c r="J213" s="117">
        <f>IF($A213="","",IF($I213="Ganada",ROUND($G213*($F213-1),2),IF($I213="Medio Ganada",ROUND($G213/2*($F213-1),2),IF($I213="Perdida",IF($H213="Free Bet",0,-$G213),IF($I213="Medio Perdida",IF($H213="Free Bet",0,-$G213/2),IF($I213="Reembolso",IF($R213="","",ROUND($R213-$G213,2)),IF($I213="Anulada",0,"")))))))</f>
        <v>-22</v>
      </c>
      <c r="K213" s="118">
        <f>IF(J213="","",2000+SUM(J$5:J213))</f>
        <v>2312.39</v>
      </c>
      <c r="L213" s="119">
        <f>IF(OR($I213="Ganada",$I213="Perdida",$I213="Medio Ganada",$I213="Medio Perdida"),IF($G213=0,"",J213/$G213),"")</f>
        <v>-1</v>
      </c>
      <c r="M213" s="120">
        <f>IF(OR($A213="",$B213=""),"",COUNTIFS($A$5:A213,A213,$B$5:B213,B213))</f>
        <v>3</v>
      </c>
      <c r="N213" s="120">
        <f>IF($A213="","",COUNTA($A$5:$A213))</f>
        <v>209</v>
      </c>
      <c r="O213" s="120">
        <f>IF($A213="","",COUNTA($A$5:$A213))</f>
        <v>209</v>
      </c>
      <c r="P213" s="118">
        <f>IF($K213="","",MAX($K$5:K213))</f>
        <v>2403.3000000000002</v>
      </c>
      <c r="Q213" s="117">
        <f>IF($K213="","",K213-P213)</f>
        <v>-90.910000000000309</v>
      </c>
      <c r="R213" s="118"/>
      <c r="S213" s="2">
        <f>IF(OR($A213="",$F213=""),"",IF($I213="Pendiente","",ROUND($G213*($F213*0.609-1),2)))</f>
        <v>-3.24</v>
      </c>
      <c r="T213" s="2">
        <f>IF($A213="","",IFERROR(SUM($S$5:S213),0))</f>
        <v>299.68999999999994</v>
      </c>
    </row>
    <row r="214" spans="1:20" ht="22.5" customHeight="1">
      <c r="A214" s="110">
        <v>46206</v>
      </c>
      <c r="B214" s="152" t="s">
        <v>32</v>
      </c>
      <c r="C214" s="133" t="s">
        <v>424</v>
      </c>
      <c r="D214" s="113" t="s">
        <v>95</v>
      </c>
      <c r="E214" s="138" t="s">
        <v>421</v>
      </c>
      <c r="F214" s="115">
        <v>1.6659999999999999</v>
      </c>
      <c r="G214" s="116">
        <v>22</v>
      </c>
      <c r="H214" s="120" t="s">
        <v>69</v>
      </c>
      <c r="I214" s="120" t="s">
        <v>70</v>
      </c>
      <c r="J214" s="117">
        <f>IF($A214="","",IF($I214="Ganada",ROUND($G214*($F214-1),2),IF($I214="Medio Ganada",ROUND($G214/2*($F214-1),2),IF($I214="Perdida",IF($H214="Free Bet",0,-$G214),IF($I214="Medio Perdida",IF($H214="Free Bet",0,-$G214/2),IF($I214="Reembolso",IF($R214="","",ROUND($R214-$G214,2)),IF($I214="Anulada",0,"")))))))</f>
        <v>14.65</v>
      </c>
      <c r="K214" s="118">
        <f>IF(J214="","",2000+SUM(J$5:J214))</f>
        <v>2327.04</v>
      </c>
      <c r="L214" s="119">
        <f>IF(OR($I214="Ganada",$I214="Perdida",$I214="Medio Ganada",$I214="Medio Perdida"),IF($G214=0,"",J214/$G214),"")</f>
        <v>0.66590909090909089</v>
      </c>
      <c r="M214" s="120">
        <f>IF(OR($A214="",$B214=""),"",COUNTIFS($A$5:A214,A214,$B$5:B214,B214))</f>
        <v>4</v>
      </c>
      <c r="N214" s="120">
        <f>IF($A214="","",COUNTA($A$5:$A214))</f>
        <v>210</v>
      </c>
      <c r="O214" s="120">
        <f>IF($A214="","",COUNTA($A$5:$A214))</f>
        <v>210</v>
      </c>
      <c r="P214" s="118">
        <f>IF($K214="","",MAX($K$5:K214))</f>
        <v>2403.3000000000002</v>
      </c>
      <c r="Q214" s="117">
        <f>IF($K214="","",K214-P214)</f>
        <v>-76.260000000000218</v>
      </c>
      <c r="R214" s="118"/>
      <c r="S214" s="2">
        <f>IF(OR($A214="",$F214=""),"",IF($I214="Pendiente","",ROUND($G214*($F214*0.609-1),2)))</f>
        <v>0.32</v>
      </c>
      <c r="T214" s="2">
        <f>IF($A214="","",IFERROR(SUM($S$5:S214),0))</f>
        <v>300.00999999999993</v>
      </c>
    </row>
    <row r="215" spans="1:20" ht="22.5" customHeight="1">
      <c r="A215" s="110">
        <v>46206</v>
      </c>
      <c r="B215" s="129" t="s">
        <v>31</v>
      </c>
      <c r="C215" s="136" t="s">
        <v>425</v>
      </c>
      <c r="D215" s="113" t="s">
        <v>95</v>
      </c>
      <c r="E215" s="138" t="s">
        <v>426</v>
      </c>
      <c r="F215" s="115">
        <v>1.7</v>
      </c>
      <c r="G215" s="116">
        <v>12</v>
      </c>
      <c r="H215" s="120" t="s">
        <v>69</v>
      </c>
      <c r="I215" s="120" t="s">
        <v>75</v>
      </c>
      <c r="J215" s="117">
        <f>IF($A215="","",IF($I215="Ganada",ROUND($G215*($F215-1),2),IF($I215="Medio Ganada",ROUND($G215/2*($F215-1),2),IF($I215="Perdida",IF($H215="Free Bet",0,-$G215),IF($I215="Medio Perdida",IF($H215="Free Bet",0,-$G215/2),IF($I215="Reembolso",IF($R215="","",ROUND($R215-$G215,2)),IF($I215="Anulada",0,"")))))))</f>
        <v>-12</v>
      </c>
      <c r="K215" s="118">
        <f>IF(J215="","",2000+SUM(J$5:J215))</f>
        <v>2315.04</v>
      </c>
      <c r="L215" s="119">
        <f>IF(OR($I215="Ganada",$I215="Perdida",$I215="Medio Ganada",$I215="Medio Perdida"),IF($G215=0,"",J215/$G215),"")</f>
        <v>-1</v>
      </c>
      <c r="M215" s="120">
        <f>IF(OR($A215="",$B215=""),"",COUNTIFS($A$5:A215,A215,$B$5:B215,B215))</f>
        <v>1</v>
      </c>
      <c r="N215" s="120">
        <f>IF($A215="","",COUNTA($A$5:$A215))</f>
        <v>211</v>
      </c>
      <c r="O215" s="120">
        <f>IF($A215="","",COUNTA($A$5:$A215))</f>
        <v>211</v>
      </c>
      <c r="P215" s="118">
        <f>IF($K215="","",MAX($K$5:K215))</f>
        <v>2403.3000000000002</v>
      </c>
      <c r="Q215" s="117">
        <f>IF($K215="","",K215-P215)</f>
        <v>-88.260000000000218</v>
      </c>
      <c r="R215" s="118"/>
      <c r="S215" s="2">
        <f>IF(OR($A215="",$F215=""),"",IF($I215="Pendiente","",ROUND($G215*($F215*0.609-1),2)))</f>
        <v>0.42</v>
      </c>
      <c r="T215" s="2">
        <f>IF($A215="","",IFERROR(SUM($S$5:S215),0))</f>
        <v>300.42999999999995</v>
      </c>
    </row>
    <row r="216" spans="1:20" ht="22.5" customHeight="1">
      <c r="A216" s="110">
        <v>46206</v>
      </c>
      <c r="B216" s="111" t="s">
        <v>30</v>
      </c>
      <c r="C216" s="154" t="s">
        <v>427</v>
      </c>
      <c r="D216" s="113" t="s">
        <v>67</v>
      </c>
      <c r="E216" s="138" t="s">
        <v>428</v>
      </c>
      <c r="F216" s="115">
        <v>1.63</v>
      </c>
      <c r="G216" s="116">
        <v>22</v>
      </c>
      <c r="H216" s="120" t="s">
        <v>69</v>
      </c>
      <c r="I216" s="120" t="s">
        <v>70</v>
      </c>
      <c r="J216" s="117">
        <f>IF($A216="","",IF($I216="Ganada",ROUND($G216*($F216-1),2),IF($I216="Medio Ganada",ROUND($G216/2*($F216-1),2),IF($I216="Perdida",IF($H216="Free Bet",0,-$G216),IF($I216="Medio Perdida",IF($H216="Free Bet",0,-$G216/2),IF($I216="Reembolso",IF($R216="","",ROUND($R216-$G216,2)),IF($I216="Anulada",0,"")))))))</f>
        <v>13.86</v>
      </c>
      <c r="K216" s="118">
        <f>IF(J216="","",2000+SUM(J$5:J216))</f>
        <v>2328.9</v>
      </c>
      <c r="L216" s="119">
        <f>IF(OR($I216="Ganada",$I216="Perdida",$I216="Medio Ganada",$I216="Medio Perdida"),IF($G216=0,"",J216/$G216),"")</f>
        <v>0.63</v>
      </c>
      <c r="M216" s="120">
        <f>IF(OR($A216="",$B216=""),"",COUNTIFS($A$5:A216,A216,$B$5:B216,B216))</f>
        <v>2</v>
      </c>
      <c r="N216" s="120">
        <f>IF($A216="","",COUNTA($A$5:$A216))</f>
        <v>212</v>
      </c>
      <c r="O216" s="120">
        <f>IF($A216="","",COUNTA($A$5:$A216))</f>
        <v>212</v>
      </c>
      <c r="P216" s="118">
        <f>IF($K216="","",MAX($K$5:K216))</f>
        <v>2403.3000000000002</v>
      </c>
      <c r="Q216" s="117">
        <f>IF($K216="","",K216-P216)</f>
        <v>-74.400000000000091</v>
      </c>
      <c r="R216" s="118"/>
      <c r="S216" s="2">
        <f>IF(OR($A216="",$F216=""),"",IF($I216="Pendiente","",ROUND($G216*($F216*0.609-1),2)))</f>
        <v>-0.16</v>
      </c>
      <c r="T216" s="2">
        <f>IF($A216="","",IFERROR(SUM($S$5:S216),0))</f>
        <v>300.26999999999992</v>
      </c>
    </row>
    <row r="217" spans="1:20" ht="33" customHeight="1">
      <c r="A217" s="110">
        <v>46206</v>
      </c>
      <c r="B217" s="129" t="s">
        <v>31</v>
      </c>
      <c r="C217" s="133" t="s">
        <v>429</v>
      </c>
      <c r="D217" s="113" t="s">
        <v>90</v>
      </c>
      <c r="E217" s="138" t="s">
        <v>430</v>
      </c>
      <c r="F217" s="115">
        <v>1.44</v>
      </c>
      <c r="G217" s="116">
        <v>10</v>
      </c>
      <c r="H217" s="120" t="s">
        <v>69</v>
      </c>
      <c r="I217" s="120" t="s">
        <v>75</v>
      </c>
      <c r="J217" s="117">
        <f>IF($A217="","",IF($I217="Ganada",ROUND($G217*($F217-1),2),IF($I217="Medio Ganada",ROUND($G217/2*($F217-1),2),IF($I217="Perdida",IF($H217="Free Bet",0,-$G217),IF($I217="Medio Perdida",IF($H217="Free Bet",0,-$G217/2),IF($I217="Reembolso",IF($R217="","",ROUND($R217-$G217,2)),IF($I217="Anulada",0,"")))))))</f>
        <v>-10</v>
      </c>
      <c r="K217" s="118">
        <f>IF(J217="","",2000+SUM(J$5:J217))</f>
        <v>2318.9</v>
      </c>
      <c r="L217" s="119">
        <f>IF(OR($I217="Ganada",$I217="Perdida",$I217="Medio Ganada",$I217="Medio Perdida"),IF($G217=0,"",J217/$G217),"")</f>
        <v>-1</v>
      </c>
      <c r="M217" s="120">
        <f>IF(OR($A217="",$B217=""),"",COUNTIFS($A$5:A217,A217,$B$5:B217,B217))</f>
        <v>2</v>
      </c>
      <c r="N217" s="120">
        <f>IF($A217="","",COUNTA($A$5:$A217))</f>
        <v>213</v>
      </c>
      <c r="O217" s="120">
        <f>IF($A217="","",COUNTA($A$5:$A217))</f>
        <v>213</v>
      </c>
      <c r="P217" s="118">
        <f>IF($K217="","",MAX($K$5:K217))</f>
        <v>2403.3000000000002</v>
      </c>
      <c r="Q217" s="117">
        <f>IF($K217="","",K217-P217)</f>
        <v>-84.400000000000091</v>
      </c>
      <c r="R217" s="118"/>
      <c r="S217" s="2">
        <f>IF(OR($A217="",$F217=""),"",IF($I217="Pendiente","",ROUND($G217*($F217*0.609-1),2)))</f>
        <v>-1.23</v>
      </c>
      <c r="T217" s="2">
        <f>IF($A217="","",IFERROR(SUM($S$5:S217),0))</f>
        <v>299.03999999999991</v>
      </c>
    </row>
    <row r="218" spans="1:20" ht="22.5" customHeight="1">
      <c r="A218" s="110">
        <v>46207</v>
      </c>
      <c r="B218" s="152" t="s">
        <v>32</v>
      </c>
      <c r="C218" s="136" t="s">
        <v>431</v>
      </c>
      <c r="D218" s="113" t="s">
        <v>95</v>
      </c>
      <c r="E218" s="138" t="s">
        <v>432</v>
      </c>
      <c r="F218" s="115">
        <v>1.5329999999999999</v>
      </c>
      <c r="G218" s="116">
        <v>22</v>
      </c>
      <c r="H218" s="120" t="s">
        <v>69</v>
      </c>
      <c r="I218" s="120" t="s">
        <v>70</v>
      </c>
      <c r="J218" s="117">
        <f>IF($A218="","",IF($I218="Ganada",ROUND($G218*($F218-1),2),IF($I218="Medio Ganada",ROUND($G218/2*($F218-1),2),IF($I218="Perdida",IF($H218="Free Bet",0,-$G218),IF($I218="Medio Perdida",IF($H218="Free Bet",0,-$G218/2),IF($I218="Reembolso",IF($R218="","",ROUND($R218-$G218,2)),IF($I218="Anulada",0,"")))))))</f>
        <v>11.73</v>
      </c>
      <c r="K218" s="118">
        <f>IF(J218="","",2000+SUM(J$5:J218))</f>
        <v>2330.63</v>
      </c>
      <c r="L218" s="119">
        <f>IF(OR($I218="Ganada",$I218="Perdida",$I218="Medio Ganada",$I218="Medio Perdida"),IF($G218=0,"",J218/$G218),"")</f>
        <v>0.5331818181818182</v>
      </c>
      <c r="M218" s="120">
        <f>IF(OR($A218="",$B218=""),"",COUNTIFS($A$5:A218,A218,$B$5:B218,B218))</f>
        <v>1</v>
      </c>
      <c r="N218" s="120">
        <f>IF($A218="","",COUNTA($A$5:$A218))</f>
        <v>214</v>
      </c>
      <c r="O218" s="120">
        <f>IF($A218="","",COUNTA($A$5:$A218))</f>
        <v>214</v>
      </c>
      <c r="P218" s="118">
        <f>IF($K218="","",MAX($K$5:K218))</f>
        <v>2403.3000000000002</v>
      </c>
      <c r="Q218" s="117">
        <f>IF($K218="","",K218-P218)</f>
        <v>-72.670000000000073</v>
      </c>
      <c r="R218" s="118"/>
      <c r="S218" s="2">
        <f>IF(OR($A218="",$F218=""),"",IF($I218="Pendiente","",ROUND($G218*($F218*0.609-1),2)))</f>
        <v>-1.46</v>
      </c>
      <c r="T218" s="2">
        <f>IF($A218="","",IFERROR(SUM($S$5:S218),0))</f>
        <v>297.57999999999993</v>
      </c>
    </row>
    <row r="219" spans="1:20" ht="22.5" customHeight="1">
      <c r="A219" s="110">
        <v>46207</v>
      </c>
      <c r="B219" s="111" t="s">
        <v>30</v>
      </c>
      <c r="C219" s="136" t="s">
        <v>433</v>
      </c>
      <c r="D219" s="113" t="s">
        <v>67</v>
      </c>
      <c r="E219" s="138" t="s">
        <v>434</v>
      </c>
      <c r="F219" s="115">
        <v>1.74</v>
      </c>
      <c r="G219" s="116">
        <v>21</v>
      </c>
      <c r="H219" s="120" t="s">
        <v>69</v>
      </c>
      <c r="I219" s="120" t="s">
        <v>75</v>
      </c>
      <c r="J219" s="117">
        <f>IF($A219="","",IF($I219="Ganada",ROUND($G219*($F219-1),2),IF($I219="Medio Ganada",ROUND($G219/2*($F219-1),2),IF($I219="Perdida",IF($H219="Free Bet",0,-$G219),IF($I219="Medio Perdida",IF($H219="Free Bet",0,-$G219/2),IF($I219="Reembolso",IF($R219="","",ROUND($R219-$G219,2)),IF($I219="Anulada",0,"")))))))</f>
        <v>-21</v>
      </c>
      <c r="K219" s="118">
        <f>IF(J219="","",2000+SUM(J$5:J219))</f>
        <v>2309.63</v>
      </c>
      <c r="L219" s="119">
        <f>IF(OR($I219="Ganada",$I219="Perdida",$I219="Medio Ganada",$I219="Medio Perdida"),IF($G219=0,"",J219/$G219),"")</f>
        <v>-1</v>
      </c>
      <c r="M219" s="120">
        <f>IF(OR($A219="",$B219=""),"",COUNTIFS($A$5:A219,A219,$B$5:B219,B219))</f>
        <v>1</v>
      </c>
      <c r="N219" s="120">
        <f>IF($A219="","",COUNTA($A$5:$A219))</f>
        <v>215</v>
      </c>
      <c r="O219" s="120">
        <f>IF($A219="","",COUNTA($A$5:$A219))</f>
        <v>215</v>
      </c>
      <c r="P219" s="118">
        <f>IF($K219="","",MAX($K$5:K219))</f>
        <v>2403.3000000000002</v>
      </c>
      <c r="Q219" s="117">
        <f>IF($K219="","",K219-P219)</f>
        <v>-93.670000000000073</v>
      </c>
      <c r="R219" s="118"/>
      <c r="S219" s="2">
        <f>IF(OR($A219="",$F219=""),"",IF($I219="Pendiente","",ROUND($G219*($F219*0.609-1),2)))</f>
        <v>1.25</v>
      </c>
      <c r="T219" s="2">
        <f>IF($A219="","",IFERROR(SUM($S$5:S219),0))</f>
        <v>298.82999999999993</v>
      </c>
    </row>
    <row r="220" spans="1:20" ht="22.5" customHeight="1">
      <c r="A220" s="110">
        <v>46207</v>
      </c>
      <c r="B220" s="152" t="s">
        <v>32</v>
      </c>
      <c r="C220" s="136" t="s">
        <v>435</v>
      </c>
      <c r="D220" s="113" t="s">
        <v>76</v>
      </c>
      <c r="E220" s="137">
        <v>1</v>
      </c>
      <c r="F220" s="115">
        <v>1.8</v>
      </c>
      <c r="G220" s="116">
        <v>18</v>
      </c>
      <c r="H220" s="120" t="s">
        <v>69</v>
      </c>
      <c r="I220" s="120" t="s">
        <v>75</v>
      </c>
      <c r="J220" s="117">
        <f>IF($A220="","",IF($I220="Ganada",ROUND($G220*($F220-1),2),IF($I220="Medio Ganada",ROUND($G220/2*($F220-1),2),IF($I220="Perdida",IF($H220="Free Bet",0,-$G220),IF($I220="Medio Perdida",IF($H220="Free Bet",0,-$G220/2),IF($I220="Reembolso",IF($R220="","",ROUND($R220-$G220,2)),IF($I220="Anulada",0,"")))))))</f>
        <v>-18</v>
      </c>
      <c r="K220" s="118">
        <f>IF(J220="","",2000+SUM(J$5:J220))</f>
        <v>2291.63</v>
      </c>
      <c r="L220" s="119">
        <f>IF(OR($I220="Ganada",$I220="Perdida",$I220="Medio Ganada",$I220="Medio Perdida"),IF($G220=0,"",J220/$G220),"")</f>
        <v>-1</v>
      </c>
      <c r="M220" s="120">
        <f>IF(OR($A220="",$B220=""),"",COUNTIFS($A$5:A220,A220,$B$5:B220,B220))</f>
        <v>2</v>
      </c>
      <c r="N220" s="120">
        <f>IF($A220="","",COUNTA($A$5:$A220))</f>
        <v>216</v>
      </c>
      <c r="O220" s="120">
        <f>IF($A220="","",COUNTA($A$5:$A220))</f>
        <v>216</v>
      </c>
      <c r="P220" s="118">
        <f>IF($K220="","",MAX($K$5:K220))</f>
        <v>2403.3000000000002</v>
      </c>
      <c r="Q220" s="117">
        <f>IF($K220="","",K220-P220)</f>
        <v>-111.67000000000007</v>
      </c>
      <c r="R220" s="118"/>
      <c r="S220" s="2">
        <f>IF(OR($A220="",$F220=""),"",IF($I220="Pendiente","",ROUND($G220*($F220*0.609-1),2)))</f>
        <v>1.73</v>
      </c>
      <c r="T220" s="2">
        <f>IF($A220="","",IFERROR(SUM($S$5:S220),0))</f>
        <v>300.55999999999995</v>
      </c>
    </row>
    <row r="221" spans="1:20" ht="24.75" customHeight="1">
      <c r="A221" s="110">
        <v>46207</v>
      </c>
      <c r="B221" s="129" t="s">
        <v>31</v>
      </c>
      <c r="C221" s="156" t="s">
        <v>436</v>
      </c>
      <c r="D221" s="113" t="s">
        <v>76</v>
      </c>
      <c r="E221" s="137">
        <v>2</v>
      </c>
      <c r="F221" s="115">
        <v>1.95</v>
      </c>
      <c r="G221" s="116">
        <v>12</v>
      </c>
      <c r="H221" s="120" t="s">
        <v>69</v>
      </c>
      <c r="I221" s="120" t="s">
        <v>70</v>
      </c>
      <c r="J221" s="117">
        <f>IF($A221="","",IF($I221="Ganada",ROUND($G221*($F221-1),2),IF($I221="Medio Ganada",ROUND($G221/2*($F221-1),2),IF($I221="Perdida",IF($H221="Free Bet",0,-$G221),IF($I221="Medio Perdida",IF($H221="Free Bet",0,-$G221/2),IF($I221="Reembolso",IF($R221="","",ROUND($R221-$G221,2)),IF($I221="Anulada",0,"")))))))</f>
        <v>11.4</v>
      </c>
      <c r="K221" s="118">
        <f>IF(J221="","",2000+SUM(J$5:J221))</f>
        <v>2303.0300000000002</v>
      </c>
      <c r="L221" s="119">
        <f>IF(OR($I221="Ganada",$I221="Perdida",$I221="Medio Ganada",$I221="Medio Perdida"),IF($G221=0,"",J221/$G221),"")</f>
        <v>0.95000000000000007</v>
      </c>
      <c r="M221" s="120">
        <f>IF(OR($A221="",$B221=""),"",COUNTIFS($A$5:A221,A221,$B$5:B221,B221))</f>
        <v>1</v>
      </c>
      <c r="N221" s="120">
        <f>IF($A221="","",COUNTA($A$5:$A221))</f>
        <v>217</v>
      </c>
      <c r="O221" s="120">
        <f>IF($A221="","",COUNTA($A$5:$A221))</f>
        <v>217</v>
      </c>
      <c r="P221" s="118">
        <f>IF($K221="","",MAX($K$5:K221))</f>
        <v>2403.3000000000002</v>
      </c>
      <c r="Q221" s="117">
        <f>IF($K221="","",K221-P221)</f>
        <v>-100.26999999999998</v>
      </c>
      <c r="R221" s="118"/>
      <c r="S221" s="2">
        <f>IF(OR($A221="",$F221=""),"",IF($I221="Pendiente","",ROUND($G221*($F221*0.609-1),2)))</f>
        <v>2.25</v>
      </c>
      <c r="T221" s="2">
        <f>IF($A221="","",IFERROR(SUM($S$5:S221),0))</f>
        <v>302.80999999999995</v>
      </c>
    </row>
    <row r="222" spans="1:20" ht="22.5" customHeight="1">
      <c r="A222" s="110">
        <v>46207</v>
      </c>
      <c r="B222" s="152" t="s">
        <v>32</v>
      </c>
      <c r="C222" s="136" t="s">
        <v>437</v>
      </c>
      <c r="D222" s="113" t="s">
        <v>90</v>
      </c>
      <c r="E222" s="138" t="s">
        <v>438</v>
      </c>
      <c r="F222" s="115">
        <v>1.7689999999999999</v>
      </c>
      <c r="G222" s="116">
        <v>22</v>
      </c>
      <c r="H222" s="120" t="s">
        <v>69</v>
      </c>
      <c r="I222" s="120" t="s">
        <v>70</v>
      </c>
      <c r="J222" s="117">
        <f>IF($A222="","",IF($I222="Ganada",ROUND($G222*($F222-1),2),IF($I222="Medio Ganada",ROUND($G222/2*($F222-1),2),IF($I222="Perdida",IF($H222="Free Bet",0,-$G222),IF($I222="Medio Perdida",IF($H222="Free Bet",0,-$G222/2),IF($I222="Reembolso",IF($R222="","",ROUND($R222-$G222,2)),IF($I222="Anulada",0,"")))))))</f>
        <v>16.920000000000002</v>
      </c>
      <c r="K222" s="118">
        <f>IF(J222="","",2000+SUM(J$5:J222))</f>
        <v>2319.9499999999998</v>
      </c>
      <c r="L222" s="119">
        <f>IF(OR($I222="Ganada",$I222="Perdida",$I222="Medio Ganada",$I222="Medio Perdida"),IF($G222=0,"",J222/$G222),"")</f>
        <v>0.76909090909090916</v>
      </c>
      <c r="M222" s="120">
        <f>IF(OR($A222="",$B222=""),"",COUNTIFS($A$5:A222,A222,$B$5:B222,B222))</f>
        <v>3</v>
      </c>
      <c r="N222" s="120">
        <f>IF($A222="","",COUNTA($A$5:$A222))</f>
        <v>218</v>
      </c>
      <c r="O222" s="120">
        <f>IF($A222="","",COUNTA($A$5:$A222))</f>
        <v>218</v>
      </c>
      <c r="P222" s="118">
        <f>IF($K222="","",MAX($K$5:K222))</f>
        <v>2403.3000000000002</v>
      </c>
      <c r="Q222" s="117">
        <f>IF($K222="","",K222-P222)</f>
        <v>-83.350000000000364</v>
      </c>
      <c r="R222" s="118"/>
      <c r="S222" s="2">
        <f>IF(OR($A222="",$F222=""),"",IF($I222="Pendiente","",ROUND($G222*($F222*0.609-1),2)))</f>
        <v>1.7</v>
      </c>
      <c r="T222" s="2">
        <f>IF($A222="","",IFERROR(SUM($S$5:S222),0))</f>
        <v>304.50999999999993</v>
      </c>
    </row>
    <row r="223" spans="1:20" ht="22.5" customHeight="1">
      <c r="A223" s="110">
        <v>46207</v>
      </c>
      <c r="B223" s="111" t="s">
        <v>30</v>
      </c>
      <c r="C223" s="136" t="s">
        <v>439</v>
      </c>
      <c r="D223" s="113" t="s">
        <v>67</v>
      </c>
      <c r="E223" s="138" t="s">
        <v>412</v>
      </c>
      <c r="F223" s="115">
        <v>1.6</v>
      </c>
      <c r="G223" s="116">
        <v>22</v>
      </c>
      <c r="H223" s="120" t="s">
        <v>69</v>
      </c>
      <c r="I223" s="120" t="s">
        <v>70</v>
      </c>
      <c r="J223" s="117">
        <f>IF($A223="","",IF($I223="Ganada",ROUND($G223*($F223-1),2),IF($I223="Medio Ganada",ROUND($G223/2*($F223-1),2),IF($I223="Perdida",IF($H223="Free Bet",0,-$G223),IF($I223="Medio Perdida",IF($H223="Free Bet",0,-$G223/2),IF($I223="Reembolso",IF($R223="","",ROUND($R223-$G223,2)),IF($I223="Anulada",0,"")))))))</f>
        <v>13.2</v>
      </c>
      <c r="K223" s="118">
        <f>IF(J223="","",2000+SUM(J$5:J223))</f>
        <v>2333.15</v>
      </c>
      <c r="L223" s="119">
        <f>IF(OR($I223="Ganada",$I223="Perdida",$I223="Medio Ganada",$I223="Medio Perdida"),IF($G223=0,"",J223/$G223),"")</f>
        <v>0.6</v>
      </c>
      <c r="M223" s="120">
        <f>IF(OR($A223="",$B223=""),"",COUNTIFS($A$5:A223,A223,$B$5:B223,B223))</f>
        <v>2</v>
      </c>
      <c r="N223" s="120">
        <f>IF($A223="","",COUNTA($A$5:$A223))</f>
        <v>219</v>
      </c>
      <c r="O223" s="120">
        <f>IF($A223="","",COUNTA($A$5:$A223))</f>
        <v>219</v>
      </c>
      <c r="P223" s="118">
        <f>IF($K223="","",MAX($K$5:K223))</f>
        <v>2403.3000000000002</v>
      </c>
      <c r="Q223" s="117">
        <f>IF($K223="","",K223-P223)</f>
        <v>-70.150000000000091</v>
      </c>
      <c r="R223" s="118"/>
      <c r="S223" s="2">
        <f>IF(OR($A223="",$F223=""),"",IF($I223="Pendiente","",ROUND($G223*($F223*0.609-1),2)))</f>
        <v>-0.56000000000000005</v>
      </c>
      <c r="T223" s="2">
        <f>IF($A223="","",IFERROR(SUM($S$5:S223),0))</f>
        <v>303.94999999999993</v>
      </c>
    </row>
    <row r="224" spans="1:20" ht="22.5" customHeight="1">
      <c r="A224" s="110">
        <v>46207</v>
      </c>
      <c r="B224" s="111" t="s">
        <v>30</v>
      </c>
      <c r="C224" s="136" t="s">
        <v>440</v>
      </c>
      <c r="D224" s="113" t="s">
        <v>67</v>
      </c>
      <c r="E224" s="137">
        <v>1</v>
      </c>
      <c r="F224" s="115">
        <v>1.66</v>
      </c>
      <c r="G224" s="116">
        <v>22</v>
      </c>
      <c r="H224" s="120" t="s">
        <v>69</v>
      </c>
      <c r="I224" s="120" t="s">
        <v>70</v>
      </c>
      <c r="J224" s="117">
        <f>IF($A224="","",IF($I224="Ganada",ROUND($G224*($F224-1),2),IF($I224="Medio Ganada",ROUND($G224/2*($F224-1),2),IF($I224="Perdida",IF($H224="Free Bet",0,-$G224),IF($I224="Medio Perdida",IF($H224="Free Bet",0,-$G224/2),IF($I224="Reembolso",IF($R224="","",ROUND($R224-$G224,2)),IF($I224="Anulada",0,"")))))))</f>
        <v>14.52</v>
      </c>
      <c r="K224" s="118">
        <f>IF(J224="","",2000+SUM(J$5:J224))</f>
        <v>2347.67</v>
      </c>
      <c r="L224" s="119">
        <f>IF(OR($I224="Ganada",$I224="Perdida",$I224="Medio Ganada",$I224="Medio Perdida"),IF($G224=0,"",J224/$G224),"")</f>
        <v>0.66</v>
      </c>
      <c r="M224" s="120">
        <f>IF(OR($A224="",$B224=""),"",COUNTIFS($A$5:A224,A224,$B$5:B224,B224))</f>
        <v>3</v>
      </c>
      <c r="N224" s="120">
        <f>IF($A224="","",COUNTA($A$5:$A224))</f>
        <v>220</v>
      </c>
      <c r="O224" s="120">
        <f>IF($A224="","",COUNTA($A$5:$A224))</f>
        <v>220</v>
      </c>
      <c r="P224" s="118">
        <f>IF($K224="","",MAX($K$5:K224))</f>
        <v>2403.3000000000002</v>
      </c>
      <c r="Q224" s="117">
        <f>IF($K224="","",K224-P224)</f>
        <v>-55.630000000000109</v>
      </c>
      <c r="R224" s="118"/>
      <c r="S224" s="2">
        <f>IF(OR($A224="",$F224=""),"",IF($I224="Pendiente","",ROUND($G224*($F224*0.609-1),2)))</f>
        <v>0.24</v>
      </c>
      <c r="T224" s="2">
        <f>IF($A224="","",IFERROR(SUM($S$5:S224),0))</f>
        <v>304.18999999999994</v>
      </c>
    </row>
    <row r="225" spans="1:20" ht="22.5" customHeight="1">
      <c r="A225" s="110">
        <v>46207</v>
      </c>
      <c r="B225" s="111" t="s">
        <v>30</v>
      </c>
      <c r="C225" s="133" t="s">
        <v>441</v>
      </c>
      <c r="D225" s="113" t="s">
        <v>67</v>
      </c>
      <c r="E225" s="138" t="s">
        <v>246</v>
      </c>
      <c r="F225" s="115">
        <v>2.12</v>
      </c>
      <c r="G225" s="116">
        <v>14</v>
      </c>
      <c r="H225" s="120" t="s">
        <v>69</v>
      </c>
      <c r="I225" s="120" t="s">
        <v>70</v>
      </c>
      <c r="J225" s="117">
        <f>IF($A225="","",IF($I225="Ganada",ROUND($G225*($F225-1),2),IF($I225="Medio Ganada",ROUND($G225/2*($F225-1),2),IF($I225="Perdida",IF($H225="Free Bet",0,-$G225),IF($I225="Medio Perdida",IF($H225="Free Bet",0,-$G225/2),IF($I225="Reembolso",IF($R225="","",ROUND($R225-$G225,2)),IF($I225="Anulada",0,"")))))))</f>
        <v>15.68</v>
      </c>
      <c r="K225" s="118">
        <f>IF(J225="","",2000+SUM(J$5:J225))</f>
        <v>2363.35</v>
      </c>
      <c r="L225" s="119">
        <f>IF(OR($I225="Ganada",$I225="Perdida",$I225="Medio Ganada",$I225="Medio Perdida"),IF($G225=0,"",J225/$G225),"")</f>
        <v>1.1199999999999999</v>
      </c>
      <c r="M225" s="120">
        <f>IF(OR($A225="",$B225=""),"",COUNTIFS($A$5:A225,A225,$B$5:B225,B225))</f>
        <v>4</v>
      </c>
      <c r="N225" s="120">
        <f>IF($A225="","",COUNTA($A$5:$A225))</f>
        <v>221</v>
      </c>
      <c r="O225" s="120">
        <f>IF($A225="","",COUNTA($A$5:$A225))</f>
        <v>221</v>
      </c>
      <c r="P225" s="118">
        <f>IF($K225="","",MAX($K$5:K225))</f>
        <v>2403.3000000000002</v>
      </c>
      <c r="Q225" s="117">
        <f>IF($K225="","",K225-P225)</f>
        <v>-39.950000000000273</v>
      </c>
      <c r="R225" s="118"/>
      <c r="S225" s="2">
        <f>IF(OR($A225="",$F225=""),"",IF($I225="Pendiente","",ROUND($G225*($F225*0.609-1),2)))</f>
        <v>4.08</v>
      </c>
      <c r="T225" s="2">
        <f>IF($A225="","",IFERROR(SUM($S$5:S225),0))</f>
        <v>308.26999999999992</v>
      </c>
    </row>
    <row r="226" spans="1:20" ht="15" customHeight="1">
      <c r="A226" s="110">
        <v>46207</v>
      </c>
      <c r="B226" s="111" t="s">
        <v>30</v>
      </c>
      <c r="C226" s="154" t="s">
        <v>442</v>
      </c>
      <c r="D226" s="113" t="s">
        <v>76</v>
      </c>
      <c r="E226" s="137">
        <v>2</v>
      </c>
      <c r="F226" s="115">
        <v>2.2999999999999998</v>
      </c>
      <c r="G226" s="116">
        <v>12</v>
      </c>
      <c r="H226" s="120" t="s">
        <v>69</v>
      </c>
      <c r="I226" s="120" t="s">
        <v>70</v>
      </c>
      <c r="J226" s="117">
        <f>IF($A226="","",IF($I226="Ganada",ROUND($G226*($F226-1),2),IF($I226="Medio Ganada",ROUND($G226/2*($F226-1),2),IF($I226="Perdida",IF($H226="Free Bet",0,-$G226),IF($I226="Medio Perdida",IF($H226="Free Bet",0,-$G226/2),IF($I226="Reembolso",IF($R226="","",ROUND($R226-$G226,2)),IF($I226="Anulada",0,"")))))))</f>
        <v>15.6</v>
      </c>
      <c r="K226" s="118">
        <f>IF(J226="","",2000+SUM(J$5:J226))</f>
        <v>2378.9499999999998</v>
      </c>
      <c r="L226" s="119">
        <f>IF(OR($I226="Ganada",$I226="Perdida",$I226="Medio Ganada",$I226="Medio Perdida"),IF($G226=0,"",J226/$G226),"")</f>
        <v>1.3</v>
      </c>
      <c r="M226" s="120">
        <f>IF(OR($A226="",$B226=""),"",COUNTIFS($A$5:A226,A226,$B$5:B226,B226))</f>
        <v>5</v>
      </c>
      <c r="N226" s="120">
        <f>IF($A226="","",COUNTA($A$5:$A226))</f>
        <v>222</v>
      </c>
      <c r="O226" s="120">
        <f>IF($A226="","",COUNTA($A$5:$A226))</f>
        <v>222</v>
      </c>
      <c r="P226" s="118">
        <f>IF($K226="","",MAX($K$5:K226))</f>
        <v>2403.3000000000002</v>
      </c>
      <c r="Q226" s="117">
        <f>IF($K226="","",K226-P226)</f>
        <v>-24.350000000000364</v>
      </c>
      <c r="R226" s="118"/>
      <c r="S226" s="2">
        <f>IF(OR($A226="",$F226=""),"",IF($I226="Pendiente","",ROUND($G226*($F226*0.609-1),2)))</f>
        <v>4.8099999999999996</v>
      </c>
      <c r="T226" s="2">
        <f>IF($A226="","",IFERROR(SUM($S$5:S226),0))</f>
        <v>313.07999999999993</v>
      </c>
    </row>
    <row r="227" spans="1:20" ht="22.5" customHeight="1">
      <c r="A227" s="110">
        <v>46207</v>
      </c>
      <c r="B227" s="111" t="s">
        <v>30</v>
      </c>
      <c r="C227" s="136" t="s">
        <v>443</v>
      </c>
      <c r="D227" s="113" t="s">
        <v>76</v>
      </c>
      <c r="E227" s="137">
        <v>1</v>
      </c>
      <c r="F227" s="115">
        <v>1.95</v>
      </c>
      <c r="G227" s="116">
        <v>18</v>
      </c>
      <c r="H227" s="120" t="s">
        <v>69</v>
      </c>
      <c r="I227" s="120" t="s">
        <v>75</v>
      </c>
      <c r="J227" s="117">
        <f>IF($A227="","",IF($I227="Ganada",ROUND($G227*($F227-1),2),IF($I227="Medio Ganada",ROUND($G227/2*($F227-1),2),IF($I227="Perdida",IF($H227="Free Bet",0,-$G227),IF($I227="Medio Perdida",IF($H227="Free Bet",0,-$G227/2),IF($I227="Reembolso",IF($R227="","",ROUND($R227-$G227,2)),IF($I227="Anulada",0,"")))))))</f>
        <v>-18</v>
      </c>
      <c r="K227" s="118">
        <f>IF(J227="","",2000+SUM(J$5:J227))</f>
        <v>2360.9499999999998</v>
      </c>
      <c r="L227" s="119">
        <f>IF(OR($I227="Ganada",$I227="Perdida",$I227="Medio Ganada",$I227="Medio Perdida"),IF($G227=0,"",J227/$G227),"")</f>
        <v>-1</v>
      </c>
      <c r="M227" s="120">
        <f>IF(OR($A227="",$B227=""),"",COUNTIFS($A$5:A227,A227,$B$5:B227,B227))</f>
        <v>6</v>
      </c>
      <c r="N227" s="120">
        <f>IF($A227="","",COUNTA($A$5:$A227))</f>
        <v>223</v>
      </c>
      <c r="O227" s="120">
        <f>IF($A227="","",COUNTA($A$5:$A227))</f>
        <v>223</v>
      </c>
      <c r="P227" s="118">
        <f>IF($K227="","",MAX($K$5:K227))</f>
        <v>2403.3000000000002</v>
      </c>
      <c r="Q227" s="117">
        <f>IF($K227="","",K227-P227)</f>
        <v>-42.350000000000364</v>
      </c>
      <c r="R227" s="118"/>
      <c r="S227" s="2">
        <f>IF(OR($A227="",$F227=""),"",IF($I227="Pendiente","",ROUND($G227*($F227*0.609-1),2)))</f>
        <v>3.38</v>
      </c>
      <c r="T227" s="2">
        <f>IF($A227="","",IFERROR(SUM($S$5:S227),0))</f>
        <v>316.45999999999992</v>
      </c>
    </row>
    <row r="228" spans="1:20" ht="22.5" customHeight="1">
      <c r="A228" s="110">
        <v>46207</v>
      </c>
      <c r="B228" s="129" t="s">
        <v>31</v>
      </c>
      <c r="C228" s="136" t="s">
        <v>444</v>
      </c>
      <c r="D228" s="113" t="s">
        <v>76</v>
      </c>
      <c r="E228" s="137">
        <v>2</v>
      </c>
      <c r="F228" s="115">
        <v>1.47</v>
      </c>
      <c r="G228" s="116">
        <v>22</v>
      </c>
      <c r="H228" s="120" t="s">
        <v>69</v>
      </c>
      <c r="I228" s="120" t="s">
        <v>75</v>
      </c>
      <c r="J228" s="117">
        <f>IF($A228="","",IF($I228="Ganada",ROUND($G228*($F228-1),2),IF($I228="Medio Ganada",ROUND($G228/2*($F228-1),2),IF($I228="Perdida",IF($H228="Free Bet",0,-$G228),IF($I228="Medio Perdida",IF($H228="Free Bet",0,-$G228/2),IF($I228="Reembolso",IF($R228="","",ROUND($R228-$G228,2)),IF($I228="Anulada",0,"")))))))</f>
        <v>-22</v>
      </c>
      <c r="K228" s="118">
        <f>IF(J228="","",2000+SUM(J$5:J228))</f>
        <v>2338.9499999999998</v>
      </c>
      <c r="L228" s="119">
        <f>IF(OR($I228="Ganada",$I228="Perdida",$I228="Medio Ganada",$I228="Medio Perdida"),IF($G228=0,"",J228/$G228),"")</f>
        <v>-1</v>
      </c>
      <c r="M228" s="120">
        <f>IF(OR($A228="",$B228=""),"",COUNTIFS($A$5:A228,A228,$B$5:B228,B228))</f>
        <v>2</v>
      </c>
      <c r="N228" s="120">
        <f>IF($A228="","",COUNTA($A$5:$A228))</f>
        <v>224</v>
      </c>
      <c r="O228" s="120">
        <f>IF($A228="","",COUNTA($A$5:$A228))</f>
        <v>224</v>
      </c>
      <c r="P228" s="118">
        <f>IF($K228="","",MAX($K$5:K228))</f>
        <v>2403.3000000000002</v>
      </c>
      <c r="Q228" s="117">
        <f>IF($K228="","",K228-P228)</f>
        <v>-64.350000000000364</v>
      </c>
      <c r="R228" s="118"/>
      <c r="S228" s="2">
        <f>IF(OR($A228="",$F228=""),"",IF($I228="Pendiente","",ROUND($G228*($F228*0.609-1),2)))</f>
        <v>-2.2999999999999998</v>
      </c>
      <c r="T228" s="2">
        <f>IF($A228="","",IFERROR(SUM($S$5:S228),0))</f>
        <v>314.15999999999991</v>
      </c>
    </row>
    <row r="229" spans="1:20" ht="22.5" customHeight="1">
      <c r="A229" s="110">
        <v>46207</v>
      </c>
      <c r="B229" s="111" t="s">
        <v>30</v>
      </c>
      <c r="C229" s="136" t="s">
        <v>445</v>
      </c>
      <c r="D229" s="113" t="s">
        <v>67</v>
      </c>
      <c r="E229" s="138" t="s">
        <v>232</v>
      </c>
      <c r="F229" s="115">
        <v>2.04</v>
      </c>
      <c r="G229" s="116">
        <v>14</v>
      </c>
      <c r="H229" s="120" t="s">
        <v>69</v>
      </c>
      <c r="I229" s="120" t="s">
        <v>70</v>
      </c>
      <c r="J229" s="117">
        <f>IF($A229="","",IF($I229="Ganada",ROUND($G229*($F229-1),2),IF($I229="Medio Ganada",ROUND($G229/2*($F229-1),2),IF($I229="Perdida",IF($H229="Free Bet",0,-$G229),IF($I229="Medio Perdida",IF($H229="Free Bet",0,-$G229/2),IF($I229="Reembolso",IF($R229="","",ROUND($R229-$G229,2)),IF($I229="Anulada",0,"")))))))</f>
        <v>14.56</v>
      </c>
      <c r="K229" s="118">
        <f>IF(J229="","",2000+SUM(J$5:J229))</f>
        <v>2353.5100000000002</v>
      </c>
      <c r="L229" s="119">
        <f>IF(OR($I229="Ganada",$I229="Perdida",$I229="Medio Ganada",$I229="Medio Perdida"),IF($G229=0,"",J229/$G229),"")</f>
        <v>1.04</v>
      </c>
      <c r="M229" s="120">
        <f>IF(OR($A229="",$B229=""),"",COUNTIFS($A$5:A229,A229,$B$5:B229,B229))</f>
        <v>7</v>
      </c>
      <c r="N229" s="120">
        <f>IF($A229="","",COUNTA($A$5:$A229))</f>
        <v>225</v>
      </c>
      <c r="O229" s="120">
        <f>IF($A229="","",COUNTA($A$5:$A229))</f>
        <v>225</v>
      </c>
      <c r="P229" s="118">
        <f>IF($K229="","",MAX($K$5:K229))</f>
        <v>2403.3000000000002</v>
      </c>
      <c r="Q229" s="117">
        <f>IF($K229="","",K229-P229)</f>
        <v>-49.789999999999964</v>
      </c>
      <c r="R229" s="118"/>
      <c r="S229" s="2">
        <f>IF(OR($A229="",$F229=""),"",IF($I229="Pendiente","",ROUND($G229*($F229*0.609-1),2)))</f>
        <v>3.39</v>
      </c>
      <c r="T229" s="2">
        <f>IF($A229="","",IFERROR(SUM($S$5:S229),0))</f>
        <v>317.5499999999999</v>
      </c>
    </row>
    <row r="230" spans="1:20" ht="15" customHeight="1">
      <c r="A230" s="110">
        <v>46207</v>
      </c>
      <c r="B230" s="111" t="s">
        <v>30</v>
      </c>
      <c r="C230" s="133" t="s">
        <v>446</v>
      </c>
      <c r="D230" s="113" t="s">
        <v>67</v>
      </c>
      <c r="E230" s="130" t="s">
        <v>136</v>
      </c>
      <c r="F230" s="115">
        <v>2</v>
      </c>
      <c r="G230" s="116">
        <v>18</v>
      </c>
      <c r="H230" s="120" t="s">
        <v>69</v>
      </c>
      <c r="I230" s="120" t="s">
        <v>70</v>
      </c>
      <c r="J230" s="117">
        <f>IF($A230="","",IF($I230="Ganada",ROUND($G230*($F230-1),2),IF($I230="Medio Ganada",ROUND($G230/2*($F230-1),2),IF($I230="Perdida",IF($H230="Free Bet",0,-$G230),IF($I230="Medio Perdida",IF($H230="Free Bet",0,-$G230/2),IF($I230="Reembolso",IF($R230="","",ROUND($R230-$G230,2)),IF($I230="Anulada",0,"")))))))</f>
        <v>18</v>
      </c>
      <c r="K230" s="118">
        <f>IF(J230="","",2000+SUM(J$5:J230))</f>
        <v>2371.5100000000002</v>
      </c>
      <c r="L230" s="119">
        <f>IF(OR($I230="Ganada",$I230="Perdida",$I230="Medio Ganada",$I230="Medio Perdida"),IF($G230=0,"",J230/$G230),"")</f>
        <v>1</v>
      </c>
      <c r="M230" s="120">
        <f>IF(OR($A230="",$B230=""),"",COUNTIFS($A$5:A230,A230,$B$5:B230,B230))</f>
        <v>8</v>
      </c>
      <c r="N230" s="120">
        <f>IF($A230="","",COUNTA($A$5:$A230))</f>
        <v>226</v>
      </c>
      <c r="O230" s="120">
        <f>IF($A230="","",COUNTA($A$5:$A230))</f>
        <v>226</v>
      </c>
      <c r="P230" s="118">
        <f>IF($K230="","",MAX($K$5:K230))</f>
        <v>2403.3000000000002</v>
      </c>
      <c r="Q230" s="117">
        <f>IF($K230="","",K230-P230)</f>
        <v>-31.789999999999964</v>
      </c>
      <c r="R230" s="118"/>
      <c r="S230" s="2">
        <f>IF(OR($A230="",$F230=""),"",IF($I230="Pendiente","",ROUND($G230*($F230*0.609-1),2)))</f>
        <v>3.92</v>
      </c>
      <c r="T230" s="2">
        <f>IF($A230="","",IFERROR(SUM($S$5:S230),0))</f>
        <v>321.46999999999991</v>
      </c>
    </row>
    <row r="231" spans="1:20" ht="22.5" customHeight="1">
      <c r="A231" s="110">
        <v>46207</v>
      </c>
      <c r="B231" s="129" t="s">
        <v>31</v>
      </c>
      <c r="C231" s="156" t="s">
        <v>447</v>
      </c>
      <c r="D231" s="113" t="s">
        <v>67</v>
      </c>
      <c r="E231" s="138" t="s">
        <v>448</v>
      </c>
      <c r="F231" s="115">
        <v>1.57</v>
      </c>
      <c r="G231" s="116">
        <v>14</v>
      </c>
      <c r="H231" s="120" t="s">
        <v>69</v>
      </c>
      <c r="I231" s="120" t="s">
        <v>75</v>
      </c>
      <c r="J231" s="117">
        <f>IF($A231="","",IF($I231="Ganada",ROUND($G231*($F231-1),2),IF($I231="Medio Ganada",ROUND($G231/2*($F231-1),2),IF($I231="Perdida",IF($H231="Free Bet",0,-$G231),IF($I231="Medio Perdida",IF($H231="Free Bet",0,-$G231/2),IF($I231="Reembolso",IF($R231="","",ROUND($R231-$G231,2)),IF($I231="Anulada",0,"")))))))</f>
        <v>-14</v>
      </c>
      <c r="K231" s="118">
        <f>IF(J231="","",2000+SUM(J$5:J231))</f>
        <v>2357.5100000000002</v>
      </c>
      <c r="L231" s="119">
        <f>IF(OR($I231="Ganada",$I231="Perdida",$I231="Medio Ganada",$I231="Medio Perdida"),IF($G231=0,"",J231/$G231),"")</f>
        <v>-1</v>
      </c>
      <c r="M231" s="120">
        <f>IF(OR($A231="",$B231=""),"",COUNTIFS($A$5:A231,A231,$B$5:B231,B231))</f>
        <v>3</v>
      </c>
      <c r="N231" s="120">
        <f>IF($A231="","",COUNTA($A$5:$A231))</f>
        <v>227</v>
      </c>
      <c r="O231" s="120">
        <f>IF($A231="","",COUNTA($A$5:$A231))</f>
        <v>227</v>
      </c>
      <c r="P231" s="118">
        <f>IF($K231="","",MAX($K$5:K231))</f>
        <v>2403.3000000000002</v>
      </c>
      <c r="Q231" s="117">
        <f>IF($K231="","",K231-P231)</f>
        <v>-45.789999999999964</v>
      </c>
      <c r="R231" s="118"/>
      <c r="S231" s="2">
        <f>IF(OR($A231="",$F231=""),"",IF($I231="Pendiente","",ROUND($G231*($F231*0.609-1),2)))</f>
        <v>-0.61</v>
      </c>
      <c r="T231" s="2">
        <f>IF($A231="","",IFERROR(SUM($S$5:S231),0))</f>
        <v>320.8599999999999</v>
      </c>
    </row>
    <row r="232" spans="1:20" ht="15" customHeight="1">
      <c r="A232" s="110">
        <v>46207</v>
      </c>
      <c r="B232" s="152" t="s">
        <v>32</v>
      </c>
      <c r="C232" s="136" t="s">
        <v>449</v>
      </c>
      <c r="D232" s="113" t="s">
        <v>76</v>
      </c>
      <c r="E232" s="137" t="s">
        <v>272</v>
      </c>
      <c r="F232" s="115">
        <v>1.571</v>
      </c>
      <c r="G232" s="116">
        <v>22</v>
      </c>
      <c r="H232" s="120" t="s">
        <v>69</v>
      </c>
      <c r="I232" s="120" t="s">
        <v>75</v>
      </c>
      <c r="J232" s="117">
        <f>IF($A232="","",IF($I232="Ganada",ROUND($G232*($F232-1),2),IF($I232="Medio Ganada",ROUND($G232/2*($F232-1),2),IF($I232="Perdida",IF($H232="Free Bet",0,-$G232),IF($I232="Medio Perdida",IF($H232="Free Bet",0,-$G232/2),IF($I232="Reembolso",IF($R232="","",ROUND($R232-$G232,2)),IF($I232="Anulada",0,"")))))))</f>
        <v>-22</v>
      </c>
      <c r="K232" s="118">
        <f>IF(J232="","",2000+SUM(J$5:J232))</f>
        <v>2335.5100000000002</v>
      </c>
      <c r="L232" s="119">
        <f>IF(OR($I232="Ganada",$I232="Perdida",$I232="Medio Ganada",$I232="Medio Perdida"),IF($G232=0,"",J232/$G232),"")</f>
        <v>-1</v>
      </c>
      <c r="M232" s="120">
        <f>IF(OR($A232="",$B232=""),"",COUNTIFS($A$5:A232,A232,$B$5:B232,B232))</f>
        <v>4</v>
      </c>
      <c r="N232" s="120">
        <f>IF($A232="","",COUNTA($A$5:$A232))</f>
        <v>228</v>
      </c>
      <c r="O232" s="120">
        <f>IF($A232="","",COUNTA($A$5:$A232))</f>
        <v>228</v>
      </c>
      <c r="P232" s="118">
        <f>IF($K232="","",MAX($K$5:K232))</f>
        <v>2403.3000000000002</v>
      </c>
      <c r="Q232" s="117">
        <f>IF($K232="","",K232-P232)</f>
        <v>-67.789999999999964</v>
      </c>
      <c r="R232" s="118"/>
      <c r="S232" s="2">
        <f>IF(OR($A232="",$F232=""),"",IF($I232="Pendiente","",ROUND($G232*($F232*0.609-1),2)))</f>
        <v>-0.95</v>
      </c>
      <c r="T232" s="2">
        <f>IF($A232="","",IFERROR(SUM($S$5:S232),0))</f>
        <v>319.90999999999991</v>
      </c>
    </row>
    <row r="233" spans="1:20" ht="15" customHeight="1">
      <c r="A233" s="110">
        <v>46207</v>
      </c>
      <c r="B233" s="148" t="s">
        <v>36</v>
      </c>
      <c r="C233" s="133" t="s">
        <v>450</v>
      </c>
      <c r="D233" s="113" t="s">
        <v>76</v>
      </c>
      <c r="E233" s="137">
        <v>1</v>
      </c>
      <c r="F233" s="115">
        <v>2.35</v>
      </c>
      <c r="G233" s="116">
        <v>18</v>
      </c>
      <c r="H233" s="120" t="s">
        <v>69</v>
      </c>
      <c r="I233" s="120" t="s">
        <v>75</v>
      </c>
      <c r="J233" s="117">
        <f>IF($A233="","",IF($I233="Ganada",ROUND($G233*($F233-1),2),IF($I233="Medio Ganada",ROUND($G233/2*($F233-1),2),IF($I233="Perdida",IF($H233="Free Bet",0,-$G233),IF($I233="Medio Perdida",IF($H233="Free Bet",0,-$G233/2),IF($I233="Reembolso",IF($R233="","",ROUND($R233-$G233,2)),IF($I233="Anulada",0,"")))))))</f>
        <v>-18</v>
      </c>
      <c r="K233" s="118">
        <f>IF(J233="","",2000+SUM(J$5:J233))</f>
        <v>2317.5100000000002</v>
      </c>
      <c r="L233" s="119">
        <f>IF(OR($I233="Ganada",$I233="Perdida",$I233="Medio Ganada",$I233="Medio Perdida"),IF($G233=0,"",J233/$G233),"")</f>
        <v>-1</v>
      </c>
      <c r="M233" s="120">
        <f>IF(OR($A233="",$B233=""),"",COUNTIFS($A$5:A233,A233,$B$5:B233,B233))</f>
        <v>1</v>
      </c>
      <c r="N233" s="120">
        <f>IF($A233="","",COUNTA($A$5:$A233))</f>
        <v>229</v>
      </c>
      <c r="O233" s="120">
        <f>IF($A233="","",COUNTA($A$5:$A233))</f>
        <v>229</v>
      </c>
      <c r="P233" s="118">
        <f>IF($K233="","",MAX($K$5:K233))</f>
        <v>2403.3000000000002</v>
      </c>
      <c r="Q233" s="117">
        <f>IF($K233="","",K233-P233)</f>
        <v>-85.789999999999964</v>
      </c>
      <c r="R233" s="118"/>
      <c r="S233" s="2">
        <f>IF(OR($A233="",$F233=""),"",IF($I233="Pendiente","",ROUND($G233*($F233*0.609-1),2)))</f>
        <v>7.76</v>
      </c>
      <c r="T233" s="2">
        <f>IF($A233="","",IFERROR(SUM($S$5:S233),0))</f>
        <v>327.6699999999999</v>
      </c>
    </row>
    <row r="234" spans="1:20" ht="22.5" customHeight="1">
      <c r="A234" s="110">
        <v>46207</v>
      </c>
      <c r="B234" s="148" t="s">
        <v>36</v>
      </c>
      <c r="C234" s="156" t="s">
        <v>451</v>
      </c>
      <c r="D234" s="113" t="s">
        <v>90</v>
      </c>
      <c r="E234" s="138" t="s">
        <v>119</v>
      </c>
      <c r="F234" s="115">
        <v>1.48</v>
      </c>
      <c r="G234" s="116">
        <v>22</v>
      </c>
      <c r="H234" s="120" t="s">
        <v>69</v>
      </c>
      <c r="I234" s="120" t="s">
        <v>70</v>
      </c>
      <c r="J234" s="117">
        <f>IF($A234="","",IF($I234="Ganada",ROUND($G234*($F234-1),2),IF($I234="Medio Ganada",ROUND($G234/2*($F234-1),2),IF($I234="Perdida",IF($H234="Free Bet",0,-$G234),IF($I234="Medio Perdida",IF($H234="Free Bet",0,-$G234/2),IF($I234="Reembolso",IF($R234="","",ROUND($R234-$G234,2)),IF($I234="Anulada",0,"")))))))</f>
        <v>10.56</v>
      </c>
      <c r="K234" s="118">
        <f>IF(J234="","",2000+SUM(J$5:J234))</f>
        <v>2328.0700000000002</v>
      </c>
      <c r="L234" s="119">
        <f>IF(OR($I234="Ganada",$I234="Perdida",$I234="Medio Ganada",$I234="Medio Perdida"),IF($G234=0,"",J234/$G234),"")</f>
        <v>0.48000000000000004</v>
      </c>
      <c r="M234" s="120">
        <f>IF(OR($A234="",$B234=""),"",COUNTIFS($A$5:A234,A234,$B$5:B234,B234))</f>
        <v>2</v>
      </c>
      <c r="N234" s="120">
        <f>IF($A234="","",COUNTA($A$5:$A234))</f>
        <v>230</v>
      </c>
      <c r="O234" s="120">
        <f>IF($A234="","",COUNTA($A$5:$A234))</f>
        <v>230</v>
      </c>
      <c r="P234" s="118">
        <f>IF($K234="","",MAX($K$5:K234))</f>
        <v>2403.3000000000002</v>
      </c>
      <c r="Q234" s="117">
        <f>IF($K234="","",K234-P234)</f>
        <v>-75.230000000000018</v>
      </c>
      <c r="R234" s="118"/>
      <c r="S234" s="2">
        <f>IF(OR($A234="",$F234=""),"",IF($I234="Pendiente","",ROUND($G234*($F234*0.609-1),2)))</f>
        <v>-2.17</v>
      </c>
      <c r="T234" s="2">
        <f>IF($A234="","",IFERROR(SUM($S$5:S234),0))</f>
        <v>325.49999999999989</v>
      </c>
    </row>
    <row r="235" spans="1:20" ht="22.5" customHeight="1">
      <c r="A235" s="110">
        <v>46207</v>
      </c>
      <c r="B235" s="148" t="s">
        <v>36</v>
      </c>
      <c r="C235" s="154" t="s">
        <v>452</v>
      </c>
      <c r="D235" s="113" t="s">
        <v>67</v>
      </c>
      <c r="E235" s="138" t="s">
        <v>412</v>
      </c>
      <c r="F235" s="115">
        <v>1.63</v>
      </c>
      <c r="G235" s="116">
        <v>22</v>
      </c>
      <c r="H235" s="120" t="s">
        <v>69</v>
      </c>
      <c r="I235" s="120" t="s">
        <v>75</v>
      </c>
      <c r="J235" s="117">
        <f>IF($A235="","",IF($I235="Ganada",ROUND($G235*($F235-1),2),IF($I235="Medio Ganada",ROUND($G235/2*($F235-1),2),IF($I235="Perdida",IF($H235="Free Bet",0,-$G235),IF($I235="Medio Perdida",IF($H235="Free Bet",0,-$G235/2),IF($I235="Reembolso",IF($R235="","",ROUND($R235-$G235,2)),IF($I235="Anulada",0,"")))))))</f>
        <v>-22</v>
      </c>
      <c r="K235" s="118">
        <f>IF(J235="","",2000+SUM(J$5:J235))</f>
        <v>2306.0700000000002</v>
      </c>
      <c r="L235" s="119">
        <f>IF(OR($I235="Ganada",$I235="Perdida",$I235="Medio Ganada",$I235="Medio Perdida"),IF($G235=0,"",J235/$G235),"")</f>
        <v>-1</v>
      </c>
      <c r="M235" s="120">
        <f>IF(OR($A235="",$B235=""),"",COUNTIFS($A$5:A235,A235,$B$5:B235,B235))</f>
        <v>3</v>
      </c>
      <c r="N235" s="120">
        <f>IF($A235="","",COUNTA($A$5:$A235))</f>
        <v>231</v>
      </c>
      <c r="O235" s="120">
        <f>IF($A235="","",COUNTA($A$5:$A235))</f>
        <v>231</v>
      </c>
      <c r="P235" s="118">
        <f>IF($K235="","",MAX($K$5:K235))</f>
        <v>2403.3000000000002</v>
      </c>
      <c r="Q235" s="117">
        <f>IF($K235="","",K235-P235)</f>
        <v>-97.230000000000018</v>
      </c>
      <c r="R235" s="118"/>
      <c r="S235" s="2">
        <f>IF(OR($A235="",$F235=""),"",IF($I235="Pendiente","",ROUND($G235*($F235*0.609-1),2)))</f>
        <v>-0.16</v>
      </c>
      <c r="T235" s="2">
        <f>IF($A235="","",IFERROR(SUM($S$5:S235),0))</f>
        <v>325.33999999999986</v>
      </c>
    </row>
    <row r="236" spans="1:20" ht="22.5" customHeight="1">
      <c r="A236" s="110">
        <v>46208</v>
      </c>
      <c r="B236" s="150" t="s">
        <v>33</v>
      </c>
      <c r="C236" s="136" t="s">
        <v>453</v>
      </c>
      <c r="D236" s="113" t="s">
        <v>76</v>
      </c>
      <c r="E236" s="137">
        <v>1</v>
      </c>
      <c r="F236" s="115">
        <v>1.37</v>
      </c>
      <c r="G236" s="116">
        <v>23</v>
      </c>
      <c r="H236" s="120" t="s">
        <v>69</v>
      </c>
      <c r="I236" s="120" t="s">
        <v>70</v>
      </c>
      <c r="J236" s="117">
        <f>IF($A236="","",IF($I236="Ganada",ROUND($G236*($F236-1),2),IF($I236="Medio Ganada",ROUND($G236/2*($F236-1),2),IF($I236="Perdida",IF($H236="Free Bet",0,-$G236),IF($I236="Medio Perdida",IF($H236="Free Bet",0,-$G236/2),IF($I236="Reembolso",IF($R236="","",ROUND($R236-$G236,2)),IF($I236="Anulada",0,"")))))))</f>
        <v>8.51</v>
      </c>
      <c r="K236" s="118">
        <f>IF(J236="","",2000+SUM(J$5:J236))</f>
        <v>2314.58</v>
      </c>
      <c r="L236" s="119">
        <f>IF(OR($I236="Ganada",$I236="Perdida",$I236="Medio Ganada",$I236="Medio Perdida"),IF($G236=0,"",J236/$G236),"")</f>
        <v>0.37</v>
      </c>
      <c r="M236" s="120">
        <f>IF(OR($A236="",$B236=""),"",COUNTIFS($A$5:A236,A236,$B$5:B236,B236))</f>
        <v>1</v>
      </c>
      <c r="N236" s="120">
        <f>IF($A236="","",COUNTA($A$5:$A236))</f>
        <v>232</v>
      </c>
      <c r="O236" s="120">
        <f>IF($A236="","",COUNTA($A$5:$A236))</f>
        <v>232</v>
      </c>
      <c r="P236" s="118">
        <f>IF($K236="","",MAX($K$5:K236))</f>
        <v>2403.3000000000002</v>
      </c>
      <c r="Q236" s="117">
        <f>IF($K236="","",K236-P236)</f>
        <v>-88.720000000000255</v>
      </c>
      <c r="R236" s="118"/>
      <c r="S236" s="2">
        <f>IF(OR($A236="",$F236=""),"",IF($I236="Pendiente","",ROUND($G236*($F236*0.609-1),2)))</f>
        <v>-3.81</v>
      </c>
      <c r="T236" s="2">
        <f>IF($A236="","",IFERROR(SUM($S$5:S236),0))</f>
        <v>321.52999999999986</v>
      </c>
    </row>
    <row r="237" spans="1:20" ht="22.5" customHeight="1">
      <c r="A237" s="110">
        <v>46208</v>
      </c>
      <c r="B237" s="150" t="s">
        <v>33</v>
      </c>
      <c r="C237" s="136" t="s">
        <v>454</v>
      </c>
      <c r="D237" s="113" t="s">
        <v>76</v>
      </c>
      <c r="E237" s="138" t="s">
        <v>455</v>
      </c>
      <c r="F237" s="115">
        <v>1.93</v>
      </c>
      <c r="G237" s="116">
        <v>18</v>
      </c>
      <c r="H237" s="120" t="s">
        <v>69</v>
      </c>
      <c r="I237" s="120" t="s">
        <v>70</v>
      </c>
      <c r="J237" s="117">
        <f>IF($A237="","",IF($I237="Ganada",ROUND($G237*($F237-1),2),IF($I237="Medio Ganada",ROUND($G237/2*($F237-1),2),IF($I237="Perdida",IF($H237="Free Bet",0,-$G237),IF($I237="Medio Perdida",IF($H237="Free Bet",0,-$G237/2),IF($I237="Reembolso",IF($R237="","",ROUND($R237-$G237,2)),IF($I237="Anulada",0,"")))))))</f>
        <v>16.739999999999998</v>
      </c>
      <c r="K237" s="118">
        <f>IF(J237="","",2000+SUM(J$5:J237))</f>
        <v>2331.3200000000002</v>
      </c>
      <c r="L237" s="119">
        <f>IF(OR($I237="Ganada",$I237="Perdida",$I237="Medio Ganada",$I237="Medio Perdida"),IF($G237=0,"",J237/$G237),"")</f>
        <v>0.92999999999999994</v>
      </c>
      <c r="M237" s="120">
        <f>IF(OR($A237="",$B237=""),"",COUNTIFS($A$5:A237,A237,$B$5:B237,B237))</f>
        <v>2</v>
      </c>
      <c r="N237" s="120">
        <f>IF($A237="","",COUNTA($A$5:$A237))</f>
        <v>233</v>
      </c>
      <c r="O237" s="120">
        <f>IF($A237="","",COUNTA($A$5:$A237))</f>
        <v>233</v>
      </c>
      <c r="P237" s="118">
        <f>IF($K237="","",MAX($K$5:K237))</f>
        <v>2403.3000000000002</v>
      </c>
      <c r="Q237" s="117">
        <f>IF($K237="","",K237-P237)</f>
        <v>-71.980000000000018</v>
      </c>
      <c r="R237" s="118"/>
      <c r="S237" s="2">
        <f>IF(OR($A237="",$F237=""),"",IF($I237="Pendiente","",ROUND($G237*($F237*0.609-1),2)))</f>
        <v>3.16</v>
      </c>
      <c r="T237" s="2">
        <f>IF($A237="","",IFERROR(SUM($S$5:S237),0))</f>
        <v>324.68999999999988</v>
      </c>
    </row>
    <row r="238" spans="1:20" ht="22.5" customHeight="1">
      <c r="A238" s="110">
        <v>46208</v>
      </c>
      <c r="B238" s="152" t="s">
        <v>32</v>
      </c>
      <c r="C238" s="136" t="s">
        <v>456</v>
      </c>
      <c r="D238" s="113" t="s">
        <v>76</v>
      </c>
      <c r="E238" s="138" t="s">
        <v>457</v>
      </c>
      <c r="F238" s="115">
        <v>1.3640000000000001</v>
      </c>
      <c r="G238" s="116">
        <v>23</v>
      </c>
      <c r="H238" s="120" t="s">
        <v>69</v>
      </c>
      <c r="I238" s="120" t="s">
        <v>70</v>
      </c>
      <c r="J238" s="117">
        <f>IF($A238="","",IF($I238="Ganada",ROUND($G238*($F238-1),2),IF($I238="Medio Ganada",ROUND($G238/2*($F238-1),2),IF($I238="Perdida",IF($H238="Free Bet",0,-$G238),IF($I238="Medio Perdida",IF($H238="Free Bet",0,-$G238/2),IF($I238="Reembolso",IF($R238="","",ROUND($R238-$G238,2)),IF($I238="Anulada",0,"")))))))</f>
        <v>8.3699999999999992</v>
      </c>
      <c r="K238" s="118">
        <f>IF(J238="","",2000+SUM(J$5:J238))</f>
        <v>2339.69</v>
      </c>
      <c r="L238" s="119">
        <f>IF(OR($I238="Ganada",$I238="Perdida",$I238="Medio Ganada",$I238="Medio Perdida"),IF($G238=0,"",J238/$G238),"")</f>
        <v>0.36391304347826081</v>
      </c>
      <c r="M238" s="120">
        <f>IF(OR($A238="",$B238=""),"",COUNTIFS($A$5:A238,A238,$B$5:B238,B238))</f>
        <v>1</v>
      </c>
      <c r="N238" s="120">
        <f>IF($A238="","",COUNTA($A$5:$A238))</f>
        <v>234</v>
      </c>
      <c r="O238" s="120">
        <f>IF($A238="","",COUNTA($A$5:$A238))</f>
        <v>234</v>
      </c>
      <c r="P238" s="118">
        <f>IF($K238="","",MAX($K$5:K238))</f>
        <v>2403.3000000000002</v>
      </c>
      <c r="Q238" s="117">
        <f>IF($K238="","",K238-P238)</f>
        <v>-63.610000000000127</v>
      </c>
      <c r="R238" s="118"/>
      <c r="S238" s="2">
        <f>IF(OR($A238="",$F238=""),"",IF($I238="Pendiente","",ROUND($G238*($F238*0.609-1),2)))</f>
        <v>-3.89</v>
      </c>
      <c r="T238" s="2">
        <f>IF($A238="","",IFERROR(SUM($S$5:S238),0))</f>
        <v>320.7999999999999</v>
      </c>
    </row>
    <row r="239" spans="1:20" ht="22.5" customHeight="1">
      <c r="A239" s="110">
        <v>46208</v>
      </c>
      <c r="B239" s="150" t="s">
        <v>33</v>
      </c>
      <c r="C239" s="136" t="s">
        <v>458</v>
      </c>
      <c r="D239" s="113" t="s">
        <v>67</v>
      </c>
      <c r="E239" s="138" t="s">
        <v>459</v>
      </c>
      <c r="F239" s="115">
        <v>1.64</v>
      </c>
      <c r="G239" s="116">
        <v>22</v>
      </c>
      <c r="H239" s="120" t="s">
        <v>69</v>
      </c>
      <c r="I239" s="120" t="s">
        <v>70</v>
      </c>
      <c r="J239" s="117">
        <f>IF($A239="","",IF($I239="Ganada",ROUND($G239*($F239-1),2),IF($I239="Medio Ganada",ROUND($G239/2*($F239-1),2),IF($I239="Perdida",IF($H239="Free Bet",0,-$G239),IF($I239="Medio Perdida",IF($H239="Free Bet",0,-$G239/2),IF($I239="Reembolso",IF($R239="","",ROUND($R239-$G239,2)),IF($I239="Anulada",0,"")))))))</f>
        <v>14.08</v>
      </c>
      <c r="K239" s="118">
        <f>IF(J239="","",2000+SUM(J$5:J239))</f>
        <v>2353.77</v>
      </c>
      <c r="L239" s="119">
        <f>IF(OR($I239="Ganada",$I239="Perdida",$I239="Medio Ganada",$I239="Medio Perdida"),IF($G239=0,"",J239/$G239),"")</f>
        <v>0.64</v>
      </c>
      <c r="M239" s="120">
        <f>IF(OR($A239="",$B239=""),"",COUNTIFS($A$5:A239,A239,$B$5:B239,B239))</f>
        <v>3</v>
      </c>
      <c r="N239" s="120">
        <f>IF($A239="","",COUNTA($A$5:$A239))</f>
        <v>235</v>
      </c>
      <c r="O239" s="120">
        <f>IF($A239="","",COUNTA($A$5:$A239))</f>
        <v>235</v>
      </c>
      <c r="P239" s="118">
        <f>IF($K239="","",MAX($K$5:K239))</f>
        <v>2403.3000000000002</v>
      </c>
      <c r="Q239" s="117">
        <f>IF($K239="","",K239-P239)</f>
        <v>-49.5300000000002</v>
      </c>
      <c r="R239" s="118"/>
      <c r="S239" s="2">
        <f>IF(OR($A239="",$F239=""),"",IF($I239="Pendiente","",ROUND($G239*($F239*0.609-1),2)))</f>
        <v>-0.03</v>
      </c>
      <c r="T239" s="2">
        <f>IF($A239="","",IFERROR(SUM($S$5:S239),0))</f>
        <v>320.76999999999992</v>
      </c>
    </row>
    <row r="240" spans="1:20" ht="22.5" customHeight="1">
      <c r="A240" s="110">
        <v>46208</v>
      </c>
      <c r="B240" s="150" t="s">
        <v>33</v>
      </c>
      <c r="C240" s="133" t="s">
        <v>460</v>
      </c>
      <c r="D240" s="113" t="s">
        <v>67</v>
      </c>
      <c r="E240" s="138" t="s">
        <v>461</v>
      </c>
      <c r="F240" s="115">
        <v>1.57</v>
      </c>
      <c r="G240" s="116">
        <v>23</v>
      </c>
      <c r="H240" s="120" t="s">
        <v>69</v>
      </c>
      <c r="I240" s="120" t="s">
        <v>70</v>
      </c>
      <c r="J240" s="117">
        <f>IF($A240="","",IF($I240="Ganada",ROUND($G240*($F240-1),2),IF($I240="Medio Ganada",ROUND($G240/2*($F240-1),2),IF($I240="Perdida",IF($H240="Free Bet",0,-$G240),IF($I240="Medio Perdida",IF($H240="Free Bet",0,-$G240/2),IF($I240="Reembolso",IF($R240="","",ROUND($R240-$G240,2)),IF($I240="Anulada",0,"")))))))</f>
        <v>13.11</v>
      </c>
      <c r="K240" s="118">
        <f>IF(J240="","",2000+SUM(J$5:J240))</f>
        <v>2366.88</v>
      </c>
      <c r="L240" s="119">
        <f>IF(OR($I240="Ganada",$I240="Perdida",$I240="Medio Ganada",$I240="Medio Perdida"),IF($G240=0,"",J240/$G240),"")</f>
        <v>0.56999999999999995</v>
      </c>
      <c r="M240" s="120">
        <f>IF(OR($A240="",$B240=""),"",COUNTIFS($A$5:A240,A240,$B$5:B240,B240))</f>
        <v>4</v>
      </c>
      <c r="N240" s="120">
        <f>IF($A240="","",COUNTA($A$5:$A240))</f>
        <v>236</v>
      </c>
      <c r="O240" s="120">
        <f>IF($A240="","",COUNTA($A$5:$A240))</f>
        <v>236</v>
      </c>
      <c r="P240" s="118">
        <f>IF($K240="","",MAX($K$5:K240))</f>
        <v>2403.3000000000002</v>
      </c>
      <c r="Q240" s="117">
        <f>IF($K240="","",K240-P240)</f>
        <v>-36.420000000000073</v>
      </c>
      <c r="R240" s="118"/>
      <c r="S240" s="2">
        <f>IF(OR($A240="",$F240=""),"",IF($I240="Pendiente","",ROUND($G240*($F240*0.609-1),2)))</f>
        <v>-1.01</v>
      </c>
      <c r="T240" s="2">
        <f>IF($A240="","",IFERROR(SUM($S$5:S240),0))</f>
        <v>319.75999999999993</v>
      </c>
    </row>
    <row r="241" spans="1:20" ht="15" customHeight="1">
      <c r="A241" s="110">
        <v>46208</v>
      </c>
      <c r="B241" s="152" t="s">
        <v>32</v>
      </c>
      <c r="C241" s="136" t="s">
        <v>462</v>
      </c>
      <c r="D241" s="113" t="s">
        <v>95</v>
      </c>
      <c r="E241" s="138" t="s">
        <v>463</v>
      </c>
      <c r="F241" s="115">
        <v>1.909</v>
      </c>
      <c r="G241" s="116">
        <v>17</v>
      </c>
      <c r="H241" s="120" t="s">
        <v>69</v>
      </c>
      <c r="I241" s="120" t="s">
        <v>75</v>
      </c>
      <c r="J241" s="117">
        <f>IF($A241="","",IF($I241="Ganada",ROUND($G241*($F241-1),2),IF($I241="Medio Ganada",ROUND($G241/2*($F241-1),2),IF($I241="Perdida",IF($H241="Free Bet",0,-$G241),IF($I241="Medio Perdida",IF($H241="Free Bet",0,-$G241/2),IF($I241="Reembolso",IF($R241="","",ROUND($R241-$G241,2)),IF($I241="Anulada",0,"")))))))</f>
        <v>-17</v>
      </c>
      <c r="K241" s="118">
        <f>IF(J241="","",2000+SUM(J$5:J241))</f>
        <v>2349.88</v>
      </c>
      <c r="L241" s="119">
        <f>IF(OR($I241="Ganada",$I241="Perdida",$I241="Medio Ganada",$I241="Medio Perdida"),IF($G241=0,"",J241/$G241),"")</f>
        <v>-1</v>
      </c>
      <c r="M241" s="120">
        <f>IF(OR($A241="",$B241=""),"",COUNTIFS($A$5:A241,A241,$B$5:B241,B241))</f>
        <v>2</v>
      </c>
      <c r="N241" s="120">
        <f>IF($A241="","",COUNTA($A$5:$A241))</f>
        <v>237</v>
      </c>
      <c r="O241" s="120">
        <f>IF($A241="","",COUNTA($A$5:$A241))</f>
        <v>237</v>
      </c>
      <c r="P241" s="118">
        <f>IF($K241="","",MAX($K$5:K241))</f>
        <v>2403.3000000000002</v>
      </c>
      <c r="Q241" s="117">
        <f>IF($K241="","",K241-P241)</f>
        <v>-53.420000000000073</v>
      </c>
      <c r="R241" s="118"/>
      <c r="S241" s="2">
        <f>IF(OR($A241="",$F241=""),"",IF($I241="Pendiente","",ROUND($G241*($F241*0.609-1),2)))</f>
        <v>2.76</v>
      </c>
      <c r="T241" s="2">
        <f>IF($A241="","",IFERROR(SUM($S$5:S241),0))</f>
        <v>322.51999999999992</v>
      </c>
    </row>
    <row r="242" spans="1:20" ht="24.75" customHeight="1">
      <c r="A242" s="110">
        <v>46208</v>
      </c>
      <c r="B242" s="124" t="s">
        <v>28</v>
      </c>
      <c r="C242" s="126" t="s">
        <v>464</v>
      </c>
      <c r="D242" s="113" t="s">
        <v>90</v>
      </c>
      <c r="E242" s="137" t="s">
        <v>465</v>
      </c>
      <c r="F242" s="115">
        <v>1.45</v>
      </c>
      <c r="G242" s="116">
        <v>23</v>
      </c>
      <c r="H242" s="120" t="s">
        <v>69</v>
      </c>
      <c r="I242" s="120" t="s">
        <v>75</v>
      </c>
      <c r="J242" s="117">
        <f>IF($A242="","",IF($I242="Ganada",ROUND($G242*($F242-1),2),IF($I242="Medio Ganada",ROUND($G242/2*($F242-1),2),IF($I242="Perdida",IF($H242="Free Bet",0,-$G242),IF($I242="Medio Perdida",IF($H242="Free Bet",0,-$G242/2),IF($I242="Reembolso",IF($R242="","",ROUND($R242-$G242,2)),IF($I242="Anulada",0,"")))))))</f>
        <v>-23</v>
      </c>
      <c r="K242" s="118">
        <f>IF(J242="","",2000+SUM(J$5:J242))</f>
        <v>2326.88</v>
      </c>
      <c r="L242" s="119">
        <f>IF(OR($I242="Ganada",$I242="Perdida",$I242="Medio Ganada",$I242="Medio Perdida"),IF($G242=0,"",J242/$G242),"")</f>
        <v>-1</v>
      </c>
      <c r="M242" s="120">
        <f>IF(OR($A242="",$B242=""),"",COUNTIFS($A$5:A242,A242,$B$5:B242,B242))</f>
        <v>1</v>
      </c>
      <c r="N242" s="120">
        <f>IF($A242="","",COUNTA($A$5:$A242))</f>
        <v>238</v>
      </c>
      <c r="O242" s="120">
        <f>IF($A242="","",COUNTA($A$5:$A242))</f>
        <v>238</v>
      </c>
      <c r="P242" s="118">
        <f>IF($K242="","",MAX($K$5:K242))</f>
        <v>2403.3000000000002</v>
      </c>
      <c r="Q242" s="117">
        <f>IF($K242="","",K242-P242)</f>
        <v>-76.420000000000073</v>
      </c>
      <c r="R242" s="118"/>
      <c r="S242" s="2">
        <f>IF(OR($A242="",$F242=""),"",IF($I242="Pendiente","",ROUND($G242*($F242*0.609-1),2)))</f>
        <v>-2.69</v>
      </c>
      <c r="T242" s="2">
        <f>IF($A242="","",IFERROR(SUM($S$5:S242),0))</f>
        <v>319.82999999999993</v>
      </c>
    </row>
    <row r="243" spans="1:20" ht="22.5" customHeight="1">
      <c r="A243" s="110">
        <v>46208</v>
      </c>
      <c r="B243" s="150" t="s">
        <v>33</v>
      </c>
      <c r="C243" s="133" t="s">
        <v>466</v>
      </c>
      <c r="D243" s="113" t="s">
        <v>67</v>
      </c>
      <c r="E243" s="138" t="s">
        <v>467</v>
      </c>
      <c r="F243" s="115">
        <v>1.62</v>
      </c>
      <c r="G243" s="116">
        <v>23</v>
      </c>
      <c r="H243" s="120" t="s">
        <v>69</v>
      </c>
      <c r="I243" s="120" t="s">
        <v>75</v>
      </c>
      <c r="J243" s="117">
        <f>IF($A243="","",IF($I243="Ganada",ROUND($G243*($F243-1),2),IF($I243="Medio Ganada",ROUND($G243/2*($F243-1),2),IF($I243="Perdida",IF($H243="Free Bet",0,-$G243),IF($I243="Medio Perdida",IF($H243="Free Bet",0,-$G243/2),IF($I243="Reembolso",IF($R243="","",ROUND($R243-$G243,2)),IF($I243="Anulada",0,"")))))))</f>
        <v>-23</v>
      </c>
      <c r="K243" s="118">
        <f>IF(J243="","",2000+SUM(J$5:J243))</f>
        <v>2303.88</v>
      </c>
      <c r="L243" s="119">
        <f>IF(OR($I243="Ganada",$I243="Perdida",$I243="Medio Ganada",$I243="Medio Perdida"),IF($G243=0,"",J243/$G243),"")</f>
        <v>-1</v>
      </c>
      <c r="M243" s="120">
        <f>IF(OR($A243="",$B243=""),"",COUNTIFS($A$5:A243,A243,$B$5:B243,B243))</f>
        <v>5</v>
      </c>
      <c r="N243" s="120">
        <f>IF($A243="","",COUNTA($A$5:$A243))</f>
        <v>239</v>
      </c>
      <c r="O243" s="120">
        <f>IF($A243="","",COUNTA($A$5:$A243))</f>
        <v>239</v>
      </c>
      <c r="P243" s="118">
        <f>IF($K243="","",MAX($K$5:K243))</f>
        <v>2403.3000000000002</v>
      </c>
      <c r="Q243" s="117">
        <f>IF($K243="","",K243-P243)</f>
        <v>-99.420000000000073</v>
      </c>
      <c r="R243" s="118"/>
      <c r="S243" s="2">
        <f>IF(OR($A243="",$F243=""),"",IF($I243="Pendiente","",ROUND($G243*($F243*0.609-1),2)))</f>
        <v>-0.31</v>
      </c>
      <c r="T243" s="2">
        <f>IF($A243="","",IFERROR(SUM($S$5:S243),0))</f>
        <v>319.51999999999992</v>
      </c>
    </row>
    <row r="244" spans="1:20" ht="15" customHeight="1">
      <c r="A244" s="110">
        <v>46208</v>
      </c>
      <c r="B244" s="124" t="s">
        <v>28</v>
      </c>
      <c r="C244" s="133" t="s">
        <v>468</v>
      </c>
      <c r="D244" s="113" t="s">
        <v>90</v>
      </c>
      <c r="E244" s="137" t="s">
        <v>366</v>
      </c>
      <c r="F244" s="115">
        <v>1.54</v>
      </c>
      <c r="G244" s="116">
        <v>23</v>
      </c>
      <c r="H244" s="120" t="s">
        <v>69</v>
      </c>
      <c r="I244" s="120" t="s">
        <v>88</v>
      </c>
      <c r="J244" s="117">
        <f>IF($A244="","",IF($I244="Ganada",ROUND($G244*($F244-1),2),IF($I244="Medio Ganada",ROUND($G244/2*($F244-1),2),IF($I244="Perdida",IF($H244="Free Bet",0,-$G244),IF($I244="Medio Perdida",IF($H244="Free Bet",0,-$G244/2),IF($I244="Reembolso",IF($R244="","",ROUND($R244-$G244,2)),IF($I244="Anulada",0,"")))))))</f>
        <v>0</v>
      </c>
      <c r="K244" s="118">
        <f>IF(J244="","",2000+SUM(J$5:J244))</f>
        <v>2303.88</v>
      </c>
      <c r="L244" s="119" t="str">
        <f>IF(OR($I244="Ganada",$I244="Perdida",$I244="Medio Ganada",$I244="Medio Perdida"),IF($G244=0,"",J244/$G244),"")</f>
        <v/>
      </c>
      <c r="M244" s="120">
        <f>IF(OR($A244="",$B244=""),"",COUNTIFS($A$5:A244,A244,$B$5:B244,B244))</f>
        <v>2</v>
      </c>
      <c r="N244" s="120">
        <f>IF($A244="","",COUNTA($A$5:$A244))</f>
        <v>240</v>
      </c>
      <c r="O244" s="120">
        <f>IF($A244="","",COUNTA($A$5:$A244))</f>
        <v>240</v>
      </c>
      <c r="P244" s="118">
        <f>IF($K244="","",MAX($K$5:K244))</f>
        <v>2403.3000000000002</v>
      </c>
      <c r="Q244" s="117">
        <f>IF($K244="","",K244-P244)</f>
        <v>-99.420000000000073</v>
      </c>
      <c r="R244" s="118"/>
      <c r="S244" s="2">
        <f>IF(OR($A244="",$F244=""),"",IF($I244="Pendiente","",ROUND($G244*($F244*0.609-1),2)))</f>
        <v>-1.43</v>
      </c>
      <c r="T244" s="2">
        <f>IF($A244="","",IFERROR(SUM($S$5:S244),0))</f>
        <v>318.08999999999992</v>
      </c>
    </row>
    <row r="245" spans="1:20" ht="22.5" customHeight="1">
      <c r="A245" s="110">
        <v>46208</v>
      </c>
      <c r="B245" s="150" t="s">
        <v>33</v>
      </c>
      <c r="C245" s="133" t="s">
        <v>469</v>
      </c>
      <c r="D245" s="113" t="s">
        <v>67</v>
      </c>
      <c r="E245" s="138" t="s">
        <v>333</v>
      </c>
      <c r="F245" s="115">
        <v>1.57</v>
      </c>
      <c r="G245" s="116">
        <v>23</v>
      </c>
      <c r="H245" s="120" t="s">
        <v>69</v>
      </c>
      <c r="I245" s="120" t="s">
        <v>75</v>
      </c>
      <c r="J245" s="117">
        <f>IF($A245="","",IF($I245="Ganada",ROUND($G245*($F245-1),2),IF($I245="Medio Ganada",ROUND($G245/2*($F245-1),2),IF($I245="Perdida",IF($H245="Free Bet",0,-$G245),IF($I245="Medio Perdida",IF($H245="Free Bet",0,-$G245/2),IF($I245="Reembolso",IF($R245="","",ROUND($R245-$G245,2)),IF($I245="Anulada",0,"")))))))</f>
        <v>-23</v>
      </c>
      <c r="K245" s="118">
        <f>IF(J245="","",2000+SUM(J$5:J245))</f>
        <v>2280.88</v>
      </c>
      <c r="L245" s="119">
        <f>IF(OR($I245="Ganada",$I245="Perdida",$I245="Medio Ganada",$I245="Medio Perdida"),IF($G245=0,"",J245/$G245),"")</f>
        <v>-1</v>
      </c>
      <c r="M245" s="120">
        <f>IF(OR($A245="",$B245=""),"",COUNTIFS($A$5:A245,A245,$B$5:B245,B245))</f>
        <v>6</v>
      </c>
      <c r="N245" s="120">
        <f>IF($A245="","",COUNTA($A$5:$A245))</f>
        <v>241</v>
      </c>
      <c r="O245" s="120">
        <f>IF($A245="","",COUNTA($A$5:$A245))</f>
        <v>241</v>
      </c>
      <c r="P245" s="118">
        <f>IF($K245="","",MAX($K$5:K245))</f>
        <v>2403.3000000000002</v>
      </c>
      <c r="Q245" s="117">
        <f>IF($K245="","",K245-P245)</f>
        <v>-122.42000000000007</v>
      </c>
      <c r="R245" s="118"/>
      <c r="S245" s="2">
        <f>IF(OR($A245="",$F245=""),"",IF($I245="Pendiente","",ROUND($G245*($F245*0.609-1),2)))</f>
        <v>-1.01</v>
      </c>
      <c r="T245" s="2">
        <f>IF($A245="","",IFERROR(SUM($S$5:S245),0))</f>
        <v>317.07999999999993</v>
      </c>
    </row>
    <row r="246" spans="1:20" ht="15" customHeight="1">
      <c r="A246" s="110">
        <v>46208</v>
      </c>
      <c r="B246" s="152" t="s">
        <v>32</v>
      </c>
      <c r="C246" s="133" t="s">
        <v>470</v>
      </c>
      <c r="D246" s="113" t="s">
        <v>67</v>
      </c>
      <c r="E246" s="137" t="s">
        <v>258</v>
      </c>
      <c r="F246" s="115">
        <v>1.48</v>
      </c>
      <c r="G246" s="116">
        <v>23</v>
      </c>
      <c r="H246" s="120" t="s">
        <v>69</v>
      </c>
      <c r="I246" s="120" t="s">
        <v>75</v>
      </c>
      <c r="J246" s="117">
        <f>IF($A246="","",IF($I246="Ganada",ROUND($G246*($F246-1),2),IF($I246="Medio Ganada",ROUND($G246/2*($F246-1),2),IF($I246="Perdida",IF($H246="Free Bet",0,-$G246),IF($I246="Medio Perdida",IF($H246="Free Bet",0,-$G246/2),IF($I246="Reembolso",IF($R246="","",ROUND($R246-$G246,2)),IF($I246="Anulada",0,"")))))))</f>
        <v>-23</v>
      </c>
      <c r="K246" s="118">
        <f>IF(J246="","",2000+SUM(J$5:J246))</f>
        <v>2257.88</v>
      </c>
      <c r="L246" s="119">
        <f>IF(OR($I246="Ganada",$I246="Perdida",$I246="Medio Ganada",$I246="Medio Perdida"),IF($G246=0,"",J246/$G246),"")</f>
        <v>-1</v>
      </c>
      <c r="M246" s="120">
        <f>IF(OR($A246="",$B246=""),"",COUNTIFS($A$5:A246,A246,$B$5:B246,B246))</f>
        <v>3</v>
      </c>
      <c r="N246" s="120">
        <f>IF($A246="","",COUNTA($A$5:$A246))</f>
        <v>242</v>
      </c>
      <c r="O246" s="120">
        <f>IF($A246="","",COUNTA($A$5:$A246))</f>
        <v>242</v>
      </c>
      <c r="P246" s="118">
        <f>IF($K246="","",MAX($K$5:K246))</f>
        <v>2403.3000000000002</v>
      </c>
      <c r="Q246" s="117">
        <f>IF($K246="","",K246-P246)</f>
        <v>-145.42000000000007</v>
      </c>
      <c r="R246" s="118"/>
      <c r="S246" s="2">
        <f>IF(OR($A246="",$F246=""),"",IF($I246="Pendiente","",ROUND($G246*($F246*0.609-1),2)))</f>
        <v>-2.27</v>
      </c>
      <c r="T246" s="2">
        <f>IF($A246="","",IFERROR(SUM($S$5:S246),0))</f>
        <v>314.80999999999995</v>
      </c>
    </row>
    <row r="247" spans="1:20" ht="15" customHeight="1">
      <c r="A247" s="110">
        <v>46208</v>
      </c>
      <c r="B247" s="150" t="s">
        <v>33</v>
      </c>
      <c r="C247" s="133" t="s">
        <v>471</v>
      </c>
      <c r="D247" s="113" t="s">
        <v>76</v>
      </c>
      <c r="E247" s="137">
        <v>1</v>
      </c>
      <c r="F247" s="115">
        <v>2.2000000000000002</v>
      </c>
      <c r="G247" s="116">
        <v>12</v>
      </c>
      <c r="H247" s="120" t="s">
        <v>69</v>
      </c>
      <c r="I247" s="120" t="s">
        <v>70</v>
      </c>
      <c r="J247" s="117">
        <f>IF($A247="","",IF($I247="Ganada",ROUND($G247*($F247-1),2),IF($I247="Medio Ganada",ROUND($G247/2*($F247-1),2),IF($I247="Perdida",IF($H247="Free Bet",0,-$G247),IF($I247="Medio Perdida",IF($H247="Free Bet",0,-$G247/2),IF($I247="Reembolso",IF($R247="","",ROUND($R247-$G247,2)),IF($I247="Anulada",0,"")))))))</f>
        <v>14.4</v>
      </c>
      <c r="K247" s="118">
        <f>IF(J247="","",2000+SUM(J$5:J247))</f>
        <v>2272.2800000000002</v>
      </c>
      <c r="L247" s="119">
        <f>IF(OR($I247="Ganada",$I247="Perdida",$I247="Medio Ganada",$I247="Medio Perdida"),IF($G247=0,"",J247/$G247),"")</f>
        <v>1.2</v>
      </c>
      <c r="M247" s="120">
        <f>IF(OR($A247="",$B247=""),"",COUNTIFS($A$5:A247,A247,$B$5:B247,B247))</f>
        <v>7</v>
      </c>
      <c r="N247" s="120">
        <f>IF($A247="","",COUNTA($A$5:$A247))</f>
        <v>243</v>
      </c>
      <c r="O247" s="120">
        <f>IF($A247="","",COUNTA($A$5:$A247))</f>
        <v>243</v>
      </c>
      <c r="P247" s="118">
        <f>IF($K247="","",MAX($K$5:K247))</f>
        <v>2403.3000000000002</v>
      </c>
      <c r="Q247" s="117">
        <f>IF($K247="","",K247-P247)</f>
        <v>-131.01999999999998</v>
      </c>
      <c r="R247" s="118"/>
      <c r="S247" s="2">
        <f>IF(OR($A247="",$F247=""),"",IF($I247="Pendiente","",ROUND($G247*($F247*0.609-1),2)))</f>
        <v>4.08</v>
      </c>
      <c r="T247" s="2">
        <f>IF($A247="","",IFERROR(SUM($S$5:S247),0))</f>
        <v>318.88999999999993</v>
      </c>
    </row>
    <row r="248" spans="1:20" ht="22.5" customHeight="1">
      <c r="A248" s="110">
        <v>46208</v>
      </c>
      <c r="B248" s="150" t="s">
        <v>33</v>
      </c>
      <c r="C248" s="133" t="s">
        <v>472</v>
      </c>
      <c r="D248" s="113" t="s">
        <v>67</v>
      </c>
      <c r="E248" s="138" t="s">
        <v>473</v>
      </c>
      <c r="F248" s="115">
        <v>2.2799999999999998</v>
      </c>
      <c r="G248" s="116">
        <v>12</v>
      </c>
      <c r="H248" s="120" t="s">
        <v>69</v>
      </c>
      <c r="I248" s="120" t="s">
        <v>75</v>
      </c>
      <c r="J248" s="117">
        <f>IF($A248="","",IF($I248="Ganada",ROUND($G248*($F248-1),2),IF($I248="Medio Ganada",ROUND($G248/2*($F248-1),2),IF($I248="Perdida",IF($H248="Free Bet",0,-$G248),IF($I248="Medio Perdida",IF($H248="Free Bet",0,-$G248/2),IF($I248="Reembolso",IF($R248="","",ROUND($R248-$G248,2)),IF($I248="Anulada",0,"")))))))</f>
        <v>-12</v>
      </c>
      <c r="K248" s="118">
        <f>IF(J248="","",2000+SUM(J$5:J248))</f>
        <v>2260.2800000000002</v>
      </c>
      <c r="L248" s="119">
        <f>IF(OR($I248="Ganada",$I248="Perdida",$I248="Medio Ganada",$I248="Medio Perdida"),IF($G248=0,"",J248/$G248),"")</f>
        <v>-1</v>
      </c>
      <c r="M248" s="120">
        <f>IF(OR($A248="",$B248=""),"",COUNTIFS($A$5:A248,A248,$B$5:B248,B248))</f>
        <v>8</v>
      </c>
      <c r="N248" s="120">
        <f>IF($A248="","",COUNTA($A$5:$A248))</f>
        <v>244</v>
      </c>
      <c r="O248" s="120">
        <f>IF($A248="","",COUNTA($A$5:$A248))</f>
        <v>244</v>
      </c>
      <c r="P248" s="118">
        <f>IF($K248="","",MAX($K$5:K248))</f>
        <v>2403.3000000000002</v>
      </c>
      <c r="Q248" s="117">
        <f>IF($K248="","",K248-P248)</f>
        <v>-143.01999999999998</v>
      </c>
      <c r="R248" s="118"/>
      <c r="S248" s="2">
        <f>IF(OR($A248="",$F248=""),"",IF($I248="Pendiente","",ROUND($G248*($F248*0.609-1),2)))</f>
        <v>4.66</v>
      </c>
      <c r="T248" s="2">
        <f>IF($A248="","",IFERROR(SUM($S$5:S248),0))</f>
        <v>323.54999999999995</v>
      </c>
    </row>
    <row r="249" spans="1:20" ht="22.5" customHeight="1">
      <c r="A249" s="110">
        <v>46208</v>
      </c>
      <c r="B249" s="152" t="s">
        <v>32</v>
      </c>
      <c r="C249" s="136" t="s">
        <v>474</v>
      </c>
      <c r="D249" s="113" t="s">
        <v>95</v>
      </c>
      <c r="E249" s="138" t="s">
        <v>475</v>
      </c>
      <c r="F249" s="115">
        <v>1.65</v>
      </c>
      <c r="G249" s="116">
        <v>23</v>
      </c>
      <c r="H249" s="120" t="s">
        <v>69</v>
      </c>
      <c r="I249" s="120" t="s">
        <v>70</v>
      </c>
      <c r="J249" s="117">
        <f>IF($A249="","",IF($I249="Ganada",ROUND($G249*($F249-1),2),IF($I249="Medio Ganada",ROUND($G249/2*($F249-1),2),IF($I249="Perdida",IF($H249="Free Bet",0,-$G249),IF($I249="Medio Perdida",IF($H249="Free Bet",0,-$G249/2),IF($I249="Reembolso",IF($R249="","",ROUND($R249-$G249,2)),IF($I249="Anulada",0,"")))))))</f>
        <v>14.95</v>
      </c>
      <c r="K249" s="118">
        <f>IF(J249="","",2000+SUM(J$5:J249))</f>
        <v>2275.23</v>
      </c>
      <c r="L249" s="119">
        <f>IF(OR($I249="Ganada",$I249="Perdida",$I249="Medio Ganada",$I249="Medio Perdida"),IF($G249=0,"",J249/$G249),"")</f>
        <v>0.65</v>
      </c>
      <c r="M249" s="120">
        <f>IF(OR($A249="",$B249=""),"",COUNTIFS($A$5:A249,A249,$B$5:B249,B249))</f>
        <v>4</v>
      </c>
      <c r="N249" s="120">
        <f>IF($A249="","",COUNTA($A$5:$A249))</f>
        <v>245</v>
      </c>
      <c r="O249" s="120">
        <f>IF($A249="","",COUNTA($A$5:$A249))</f>
        <v>245</v>
      </c>
      <c r="P249" s="118">
        <f>IF($K249="","",MAX($K$5:K249))</f>
        <v>2403.3000000000002</v>
      </c>
      <c r="Q249" s="117">
        <f>IF($K249="","",K249-P249)</f>
        <v>-128.07000000000016</v>
      </c>
      <c r="R249" s="118"/>
      <c r="S249" s="2">
        <f>IF(OR($A249="",$F249=""),"",IF($I249="Pendiente","",ROUND($G249*($F249*0.609-1),2)))</f>
        <v>0.11</v>
      </c>
      <c r="T249" s="2">
        <f>IF($A249="","",IFERROR(SUM($S$5:S249),0))</f>
        <v>323.65999999999997</v>
      </c>
    </row>
    <row r="250" spans="1:20" ht="22.5" customHeight="1">
      <c r="A250" s="110">
        <v>46208</v>
      </c>
      <c r="B250" s="150" t="s">
        <v>33</v>
      </c>
      <c r="C250" s="136" t="s">
        <v>476</v>
      </c>
      <c r="D250" s="113" t="s">
        <v>76</v>
      </c>
      <c r="E250" s="138" t="s">
        <v>477</v>
      </c>
      <c r="F250" s="115">
        <v>1.26</v>
      </c>
      <c r="G250" s="116">
        <v>35</v>
      </c>
      <c r="H250" s="120" t="s">
        <v>69</v>
      </c>
      <c r="I250" s="120" t="s">
        <v>70</v>
      </c>
      <c r="J250" s="117">
        <f>IF($A250="","",IF($I250="Ganada",ROUND($G250*($F250-1),2),IF($I250="Medio Ganada",ROUND($G250/2*($F250-1),2),IF($I250="Perdida",IF($H250="Free Bet",0,-$G250),IF($I250="Medio Perdida",IF($H250="Free Bet",0,-$G250/2),IF($I250="Reembolso",IF($R250="","",ROUND($R250-$G250,2)),IF($I250="Anulada",0,"")))))))</f>
        <v>9.1</v>
      </c>
      <c r="K250" s="118">
        <f>IF(J250="","",2000+SUM(J$5:J250))</f>
        <v>2284.33</v>
      </c>
      <c r="L250" s="119">
        <f>IF(OR($I250="Ganada",$I250="Perdida",$I250="Medio Ganada",$I250="Medio Perdida"),IF($G250=0,"",J250/$G250),"")</f>
        <v>0.26</v>
      </c>
      <c r="M250" s="120">
        <f>IF(OR($A250="",$B250=""),"",COUNTIFS($A$5:A250,A250,$B$5:B250,B250))</f>
        <v>9</v>
      </c>
      <c r="N250" s="120">
        <f>IF($A250="","",COUNTA($A$5:$A250))</f>
        <v>246</v>
      </c>
      <c r="O250" s="120">
        <f>IF($A250="","",COUNTA($A$5:$A250))</f>
        <v>246</v>
      </c>
      <c r="P250" s="118">
        <f>IF($K250="","",MAX($K$5:K250))</f>
        <v>2403.3000000000002</v>
      </c>
      <c r="Q250" s="117">
        <f>IF($K250="","",K250-P250)</f>
        <v>-118.97000000000025</v>
      </c>
      <c r="R250" s="118"/>
      <c r="S250" s="2">
        <f>IF(OR($A250="",$F250=""),"",IF($I250="Pendiente","",ROUND($G250*($F250*0.609-1),2)))</f>
        <v>-8.14</v>
      </c>
      <c r="T250" s="2">
        <f>IF($A250="","",IFERROR(SUM($S$5:S250),0))</f>
        <v>315.52</v>
      </c>
    </row>
    <row r="251" spans="1:20" ht="22.5" customHeight="1">
      <c r="A251" s="110">
        <v>46208</v>
      </c>
      <c r="B251" s="150" t="s">
        <v>33</v>
      </c>
      <c r="C251" s="133" t="s">
        <v>478</v>
      </c>
      <c r="D251" s="113" t="s">
        <v>67</v>
      </c>
      <c r="E251" s="138" t="s">
        <v>370</v>
      </c>
      <c r="F251" s="115">
        <v>2.2000000000000002</v>
      </c>
      <c r="G251" s="116">
        <v>16</v>
      </c>
      <c r="H251" s="120" t="s">
        <v>69</v>
      </c>
      <c r="I251" s="120" t="s">
        <v>70</v>
      </c>
      <c r="J251" s="117">
        <f>IF($A251="","",IF($I251="Ganada",ROUND($G251*($F251-1),2),IF($I251="Medio Ganada",ROUND($G251/2*($F251-1),2),IF($I251="Perdida",IF($H251="Free Bet",0,-$G251),IF($I251="Medio Perdida",IF($H251="Free Bet",0,-$G251/2),IF($I251="Reembolso",IF($R251="","",ROUND($R251-$G251,2)),IF($I251="Anulada",0,"")))))))</f>
        <v>19.2</v>
      </c>
      <c r="K251" s="118">
        <f>IF(J251="","",2000+SUM(J$5:J251))</f>
        <v>2303.5300000000002</v>
      </c>
      <c r="L251" s="119">
        <f>IF(OR($I251="Ganada",$I251="Perdida",$I251="Medio Ganada",$I251="Medio Perdida"),IF($G251=0,"",J251/$G251),"")</f>
        <v>1.2</v>
      </c>
      <c r="M251" s="120">
        <f>IF(OR($A251="",$B251=""),"",COUNTIFS($A$5:A251,A251,$B$5:B251,B251))</f>
        <v>10</v>
      </c>
      <c r="N251" s="120">
        <f>IF($A251="","",COUNTA($A$5:$A251))</f>
        <v>247</v>
      </c>
      <c r="O251" s="120">
        <f>IF($A251="","",COUNTA($A$5:$A251))</f>
        <v>247</v>
      </c>
      <c r="P251" s="118">
        <f>IF($K251="","",MAX($K$5:K251))</f>
        <v>2403.3000000000002</v>
      </c>
      <c r="Q251" s="117">
        <f>IF($K251="","",K251-P251)</f>
        <v>-99.769999999999982</v>
      </c>
      <c r="R251" s="118"/>
      <c r="S251" s="2">
        <f>IF(OR($A251="",$F251=""),"",IF($I251="Pendiente","",ROUND($G251*($F251*0.609-1),2)))</f>
        <v>5.44</v>
      </c>
      <c r="T251" s="2">
        <f>IF($A251="","",IFERROR(SUM($S$5:S251),0))</f>
        <v>320.95999999999998</v>
      </c>
    </row>
    <row r="252" spans="1:20" ht="22.5" customHeight="1">
      <c r="A252" s="110">
        <v>46208</v>
      </c>
      <c r="B252" s="124" t="s">
        <v>28</v>
      </c>
      <c r="C252" s="136" t="s">
        <v>479</v>
      </c>
      <c r="D252" s="113" t="s">
        <v>250</v>
      </c>
      <c r="E252" s="137" t="s">
        <v>480</v>
      </c>
      <c r="F252" s="115">
        <v>1.78</v>
      </c>
      <c r="G252" s="116">
        <v>23</v>
      </c>
      <c r="H252" s="120" t="s">
        <v>69</v>
      </c>
      <c r="I252" s="120" t="s">
        <v>70</v>
      </c>
      <c r="J252" s="117">
        <f>IF($A252="","",IF($I252="Ganada",ROUND($G252*($F252-1),2),IF($I252="Medio Ganada",ROUND($G252/2*($F252-1),2),IF($I252="Perdida",IF($H252="Free Bet",0,-$G252),IF($I252="Medio Perdida",IF($H252="Free Bet",0,-$G252/2),IF($I252="Reembolso",IF($R252="","",ROUND($R252-$G252,2)),IF($I252="Anulada",0,"")))))))</f>
        <v>17.940000000000001</v>
      </c>
      <c r="K252" s="118">
        <f>IF(J252="","",2000+SUM(J$5:J252))</f>
        <v>2321.4700000000003</v>
      </c>
      <c r="L252" s="119">
        <f>IF(OR($I252="Ganada",$I252="Perdida",$I252="Medio Ganada",$I252="Medio Perdida"),IF($G252=0,"",J252/$G252),"")</f>
        <v>0.78</v>
      </c>
      <c r="M252" s="120">
        <f>IF(OR($A252="",$B252=""),"",COUNTIFS($A$5:A252,A252,$B$5:B252,B252))</f>
        <v>3</v>
      </c>
      <c r="N252" s="120">
        <f>IF($A252="","",COUNTA($A$5:$A252))</f>
        <v>248</v>
      </c>
      <c r="O252" s="120">
        <f>IF($A252="","",COUNTA($A$5:$A252))</f>
        <v>248</v>
      </c>
      <c r="P252" s="118">
        <f>IF($K252="","",MAX($K$5:K252))</f>
        <v>2403.3000000000002</v>
      </c>
      <c r="Q252" s="117">
        <f>IF($K252="","",K252-P252)</f>
        <v>-81.829999999999927</v>
      </c>
      <c r="R252" s="118"/>
      <c r="S252" s="2">
        <f>IF(OR($A252="",$F252=""),"",IF($I252="Pendiente","",ROUND($G252*($F252*0.609-1),2)))</f>
        <v>1.93</v>
      </c>
      <c r="T252" s="2">
        <f>IF($A252="","",IFERROR(SUM($S$5:S252),0))</f>
        <v>322.89</v>
      </c>
    </row>
    <row r="253" spans="1:20" ht="22.5" customHeight="1">
      <c r="A253" s="110">
        <v>46208</v>
      </c>
      <c r="B253" s="124" t="s">
        <v>28</v>
      </c>
      <c r="C253" s="136" t="s">
        <v>481</v>
      </c>
      <c r="D253" s="113" t="s">
        <v>76</v>
      </c>
      <c r="E253" s="137" t="s">
        <v>482</v>
      </c>
      <c r="F253" s="115">
        <v>1.64</v>
      </c>
      <c r="G253" s="116">
        <v>29</v>
      </c>
      <c r="H253" s="120" t="s">
        <v>69</v>
      </c>
      <c r="I253" s="120" t="s">
        <v>70</v>
      </c>
      <c r="J253" s="117">
        <f>IF($A253="","",IF($I253="Ganada",ROUND($G253*($F253-1),2),IF($I253="Medio Ganada",ROUND($G253/2*($F253-1),2),IF($I253="Perdida",IF($H253="Free Bet",0,-$G253),IF($I253="Medio Perdida",IF($H253="Free Bet",0,-$G253/2),IF($I253="Reembolso",IF($R253="","",ROUND($R253-$G253,2)),IF($I253="Anulada",0,"")))))))</f>
        <v>18.559999999999999</v>
      </c>
      <c r="K253" s="118">
        <f>IF(J253="","",2000+SUM(J$5:J253))</f>
        <v>2340.0300000000002</v>
      </c>
      <c r="L253" s="119">
        <f>IF(OR($I253="Ganada",$I253="Perdida",$I253="Medio Ganada",$I253="Medio Perdida"),IF($G253=0,"",J253/$G253),"")</f>
        <v>0.6399999999999999</v>
      </c>
      <c r="M253" s="120">
        <f>IF(OR($A253="",$B253=""),"",COUNTIFS($A$5:A253,A253,$B$5:B253,B253))</f>
        <v>4</v>
      </c>
      <c r="N253" s="120">
        <f>IF($A253="","",COUNTA($A$5:$A253))</f>
        <v>249</v>
      </c>
      <c r="O253" s="120">
        <f>IF($A253="","",COUNTA($A$5:$A253))</f>
        <v>249</v>
      </c>
      <c r="P253" s="118">
        <f>IF($K253="","",MAX($K$5:K253))</f>
        <v>2403.3000000000002</v>
      </c>
      <c r="Q253" s="117">
        <f>IF($K253="","",K253-P253)</f>
        <v>-63.269999999999982</v>
      </c>
      <c r="R253" s="118"/>
      <c r="S253" s="2">
        <f>IF(OR($A253="",$F253=""),"",IF($I253="Pendiente","",ROUND($G253*($F253*0.609-1),2)))</f>
        <v>-0.04</v>
      </c>
      <c r="T253" s="2">
        <f>IF($A253="","",IFERROR(SUM($S$5:S253),0))</f>
        <v>322.84999999999997</v>
      </c>
    </row>
    <row r="254" spans="1:20" ht="15" customHeight="1">
      <c r="A254" s="110">
        <v>46208</v>
      </c>
      <c r="B254" s="148" t="s">
        <v>36</v>
      </c>
      <c r="C254" s="133" t="s">
        <v>483</v>
      </c>
      <c r="D254" s="113" t="s">
        <v>67</v>
      </c>
      <c r="E254" s="137" t="s">
        <v>258</v>
      </c>
      <c r="F254" s="115">
        <v>1.52</v>
      </c>
      <c r="G254" s="116">
        <v>23</v>
      </c>
      <c r="H254" s="120" t="s">
        <v>69</v>
      </c>
      <c r="I254" s="120" t="s">
        <v>75</v>
      </c>
      <c r="J254" s="117">
        <f>IF($A254="","",IF($I254="Ganada",ROUND($G254*($F254-1),2),IF($I254="Medio Ganada",ROUND($G254/2*($F254-1),2),IF($I254="Perdida",IF($H254="Free Bet",0,-$G254),IF($I254="Medio Perdida",IF($H254="Free Bet",0,-$G254/2),IF($I254="Reembolso",IF($R254="","",ROUND($R254-$G254,2)),IF($I254="Anulada",0,"")))))))</f>
        <v>-23</v>
      </c>
      <c r="K254" s="118">
        <f>IF(J254="","",2000+SUM(J$5:J254))</f>
        <v>2317.0300000000002</v>
      </c>
      <c r="L254" s="119">
        <f>IF(OR($I254="Ganada",$I254="Perdida",$I254="Medio Ganada",$I254="Medio Perdida"),IF($G254=0,"",J254/$G254),"")</f>
        <v>-1</v>
      </c>
      <c r="M254" s="120">
        <f>IF(OR($A254="",$B254=""),"",COUNTIFS($A$5:A254,A254,$B$5:B254,B254))</f>
        <v>1</v>
      </c>
      <c r="N254" s="120">
        <f>IF($A254="","",COUNTA($A$5:$A254))</f>
        <v>250</v>
      </c>
      <c r="O254" s="120">
        <f>IF($A254="","",COUNTA($A$5:$A254))</f>
        <v>250</v>
      </c>
      <c r="P254" s="118">
        <f>IF($K254="","",MAX($K$5:K254))</f>
        <v>2403.3000000000002</v>
      </c>
      <c r="Q254" s="117">
        <f>IF($K254="","",K254-P254)</f>
        <v>-86.269999999999982</v>
      </c>
      <c r="R254" s="118"/>
      <c r="S254" s="2">
        <f>IF(OR($A254="",$F254=""),"",IF($I254="Pendiente","",ROUND($G254*($F254*0.609-1),2)))</f>
        <v>-1.71</v>
      </c>
      <c r="T254" s="2">
        <f>IF($A254="","",IFERROR(SUM($S$5:S254),0))</f>
        <v>321.14</v>
      </c>
    </row>
    <row r="255" spans="1:20" ht="15" customHeight="1">
      <c r="A255" s="110">
        <v>46208</v>
      </c>
      <c r="B255" s="152" t="s">
        <v>32</v>
      </c>
      <c r="C255" s="133" t="s">
        <v>484</v>
      </c>
      <c r="D255" s="113" t="s">
        <v>76</v>
      </c>
      <c r="E255" s="137" t="s">
        <v>485</v>
      </c>
      <c r="F255" s="115">
        <v>1.6659999999999999</v>
      </c>
      <c r="G255" s="116">
        <v>23</v>
      </c>
      <c r="H255" s="120" t="s">
        <v>69</v>
      </c>
      <c r="I255" s="120" t="s">
        <v>75</v>
      </c>
      <c r="J255" s="117">
        <f>IF($A255="","",IF($I255="Ganada",ROUND($G255*($F255-1),2),IF($I255="Medio Ganada",ROUND($G255/2*($F255-1),2),IF($I255="Perdida",IF($H255="Free Bet",0,-$G255),IF($I255="Medio Perdida",IF($H255="Free Bet",0,-$G255/2),IF($I255="Reembolso",IF($R255="","",ROUND($R255-$G255,2)),IF($I255="Anulada",0,"")))))))</f>
        <v>-23</v>
      </c>
      <c r="K255" s="118">
        <f>IF(J255="","",2000+SUM(J$5:J255))</f>
        <v>2294.0300000000002</v>
      </c>
      <c r="L255" s="119">
        <f>IF(OR($I255="Ganada",$I255="Perdida",$I255="Medio Ganada",$I255="Medio Perdida"),IF($G255=0,"",J255/$G255),"")</f>
        <v>-1</v>
      </c>
      <c r="M255" s="120">
        <f>IF(OR($A255="",$B255=""),"",COUNTIFS($A$5:A255,A255,$B$5:B255,B255))</f>
        <v>5</v>
      </c>
      <c r="N255" s="120">
        <f>IF($A255="","",COUNTA($A$5:$A255))</f>
        <v>251</v>
      </c>
      <c r="O255" s="120">
        <f>IF($A255="","",COUNTA($A$5:$A255))</f>
        <v>251</v>
      </c>
      <c r="P255" s="118">
        <f>IF($K255="","",MAX($K$5:K255))</f>
        <v>2403.3000000000002</v>
      </c>
      <c r="Q255" s="117">
        <f>IF($K255="","",K255-P255)</f>
        <v>-109.26999999999998</v>
      </c>
      <c r="R255" s="118"/>
      <c r="S255" s="2">
        <f>IF(OR($A255="",$F255=""),"",IF($I255="Pendiente","",ROUND($G255*($F255*0.609-1),2)))</f>
        <v>0.34</v>
      </c>
      <c r="T255" s="2">
        <f>IF($A255="","",IFERROR(SUM($S$5:S255),0))</f>
        <v>321.47999999999996</v>
      </c>
    </row>
    <row r="256" spans="1:20" ht="22.5" customHeight="1">
      <c r="A256" s="110">
        <v>46208</v>
      </c>
      <c r="B256" s="148" t="s">
        <v>36</v>
      </c>
      <c r="C256" s="133" t="s">
        <v>486</v>
      </c>
      <c r="D256" s="113" t="s">
        <v>67</v>
      </c>
      <c r="E256" s="138" t="s">
        <v>487</v>
      </c>
      <c r="F256" s="115">
        <v>1.83</v>
      </c>
      <c r="G256" s="116">
        <v>17</v>
      </c>
      <c r="H256" s="120" t="s">
        <v>69</v>
      </c>
      <c r="I256" s="120" t="s">
        <v>70</v>
      </c>
      <c r="J256" s="117">
        <f>IF($A256="","",IF($I256="Ganada",ROUND($G256*($F256-1),2),IF($I256="Medio Ganada",ROUND($G256/2*($F256-1),2),IF($I256="Perdida",IF($H256="Free Bet",0,-$G256),IF($I256="Medio Perdida",IF($H256="Free Bet",0,-$G256/2),IF($I256="Reembolso",IF($R256="","",ROUND($R256-$G256,2)),IF($I256="Anulada",0,"")))))))</f>
        <v>14.11</v>
      </c>
      <c r="K256" s="118">
        <f>IF(J256="","",2000+SUM(J$5:J256))</f>
        <v>2308.14</v>
      </c>
      <c r="L256" s="119">
        <f>IF(OR($I256="Ganada",$I256="Perdida",$I256="Medio Ganada",$I256="Medio Perdida"),IF($G256=0,"",J256/$G256),"")</f>
        <v>0.83</v>
      </c>
      <c r="M256" s="120">
        <f>IF(OR($A256="",$B256=""),"",COUNTIFS($A$5:A256,A256,$B$5:B256,B256))</f>
        <v>2</v>
      </c>
      <c r="N256" s="120">
        <f>IF($A256="","",COUNTA($A$5:$A256))</f>
        <v>252</v>
      </c>
      <c r="O256" s="120">
        <f>IF($A256="","",COUNTA($A$5:$A256))</f>
        <v>252</v>
      </c>
      <c r="P256" s="118">
        <f>IF($K256="","",MAX($K$5:K256))</f>
        <v>2403.3000000000002</v>
      </c>
      <c r="Q256" s="117">
        <f>IF($K256="","",K256-P256)</f>
        <v>-95.160000000000309</v>
      </c>
      <c r="R256" s="118"/>
      <c r="S256" s="2">
        <f>IF(OR($A256="",$F256=""),"",IF($I256="Pendiente","",ROUND($G256*($F256*0.609-1),2)))</f>
        <v>1.95</v>
      </c>
      <c r="T256" s="2">
        <f>IF($A256="","",IFERROR(SUM($S$5:S256),0))</f>
        <v>323.42999999999995</v>
      </c>
    </row>
    <row r="257" spans="1:20" ht="15" customHeight="1">
      <c r="A257" s="110">
        <v>46208</v>
      </c>
      <c r="B257" s="148" t="s">
        <v>36</v>
      </c>
      <c r="C257" s="154" t="s">
        <v>488</v>
      </c>
      <c r="D257" s="113" t="s">
        <v>76</v>
      </c>
      <c r="E257" s="137" t="s">
        <v>489</v>
      </c>
      <c r="F257" s="115">
        <v>2.14</v>
      </c>
      <c r="G257" s="116">
        <v>17</v>
      </c>
      <c r="H257" s="120" t="s">
        <v>69</v>
      </c>
      <c r="I257" s="120" t="s">
        <v>70</v>
      </c>
      <c r="J257" s="117">
        <f>IF($A257="","",IF($I257="Ganada",ROUND($G257*($F257-1),2),IF($I257="Medio Ganada",ROUND($G257/2*($F257-1),2),IF($I257="Perdida",IF($H257="Free Bet",0,-$G257),IF($I257="Medio Perdida",IF($H257="Free Bet",0,-$G257/2),IF($I257="Reembolso",IF($R257="","",ROUND($R257-$G257,2)),IF($I257="Anulada",0,"")))))))</f>
        <v>19.38</v>
      </c>
      <c r="K257" s="118">
        <f>IF(J257="","",2000+SUM(J$5:J257))</f>
        <v>2327.52</v>
      </c>
      <c r="L257" s="119">
        <f>IF(OR($I257="Ganada",$I257="Perdida",$I257="Medio Ganada",$I257="Medio Perdida"),IF($G257=0,"",J257/$G257),"")</f>
        <v>1.1399999999999999</v>
      </c>
      <c r="M257" s="120">
        <f>IF(OR($A257="",$B257=""),"",COUNTIFS($A$5:A257,A257,$B$5:B257,B257))</f>
        <v>3</v>
      </c>
      <c r="N257" s="120">
        <f>IF($A257="","",COUNTA($A$5:$A257))</f>
        <v>253</v>
      </c>
      <c r="O257" s="120">
        <f>IF($A257="","",COUNTA($A$5:$A257))</f>
        <v>253</v>
      </c>
      <c r="P257" s="118">
        <f>IF($K257="","",MAX($K$5:K257))</f>
        <v>2403.3000000000002</v>
      </c>
      <c r="Q257" s="117">
        <f>IF($K257="","",K257-P257)</f>
        <v>-75.7800000000002</v>
      </c>
      <c r="R257" s="118"/>
      <c r="S257" s="2">
        <f>IF(OR($A257="",$F257=""),"",IF($I257="Pendiente","",ROUND($G257*($F257*0.609-1),2)))</f>
        <v>5.16</v>
      </c>
      <c r="T257" s="2">
        <f>IF($A257="","",IFERROR(SUM($S$5:S257),0))</f>
        <v>328.59</v>
      </c>
    </row>
    <row r="258" spans="1:20" ht="25.5" customHeight="1">
      <c r="A258" s="110">
        <v>46208</v>
      </c>
      <c r="B258" s="152" t="s">
        <v>32</v>
      </c>
      <c r="C258" s="136" t="s">
        <v>490</v>
      </c>
      <c r="D258" s="113" t="s">
        <v>95</v>
      </c>
      <c r="E258" s="138" t="s">
        <v>145</v>
      </c>
      <c r="F258" s="115">
        <v>2</v>
      </c>
      <c r="G258" s="116">
        <v>17</v>
      </c>
      <c r="H258" s="120" t="s">
        <v>69</v>
      </c>
      <c r="I258" s="120" t="s">
        <v>75</v>
      </c>
      <c r="J258" s="117">
        <f>IF($A258="","",IF($I258="Ganada",ROUND($G258*($F258-1),2),IF($I258="Medio Ganada",ROUND($G258/2*($F258-1),2),IF($I258="Perdida",IF($H258="Free Bet",0,-$G258),IF($I258="Medio Perdida",IF($H258="Free Bet",0,-$G258/2),IF($I258="Reembolso",IF($R258="","",ROUND($R258-$G258,2)),IF($I258="Anulada",0,"")))))))</f>
        <v>-17</v>
      </c>
      <c r="K258" s="118">
        <f>IF(J258="","",2000+SUM(J$5:J258))</f>
        <v>2310.52</v>
      </c>
      <c r="L258" s="119">
        <f>IF(OR($I258="Ganada",$I258="Perdida",$I258="Medio Ganada",$I258="Medio Perdida"),IF($G258=0,"",J258/$G258),"")</f>
        <v>-1</v>
      </c>
      <c r="M258" s="120">
        <f>IF(OR($A258="",$B258=""),"",COUNTIFS($A$5:A258,A258,$B$5:B258,B258))</f>
        <v>6</v>
      </c>
      <c r="N258" s="120">
        <f>IF($A258="","",COUNTA($A$5:$A258))</f>
        <v>254</v>
      </c>
      <c r="O258" s="120">
        <f>IF($A258="","",COUNTA($A$5:$A258))</f>
        <v>254</v>
      </c>
      <c r="P258" s="118">
        <f>IF($K258="","",MAX($K$5:K258))</f>
        <v>2403.3000000000002</v>
      </c>
      <c r="Q258" s="117">
        <f>IF($K258="","",K258-P258)</f>
        <v>-92.7800000000002</v>
      </c>
      <c r="R258" s="118"/>
      <c r="S258" s="2">
        <f>IF(OR($A258="",$F258=""),"",IF($I258="Pendiente","",ROUND($G258*($F258*0.609-1),2)))</f>
        <v>3.71</v>
      </c>
      <c r="T258" s="2">
        <f>IF($A258="","",IFERROR(SUM($S$5:S258),0))</f>
        <v>332.29999999999995</v>
      </c>
    </row>
    <row r="259" spans="1:20" ht="22.5" customHeight="1">
      <c r="A259" s="110">
        <v>46208</v>
      </c>
      <c r="B259" s="148" t="s">
        <v>36</v>
      </c>
      <c r="C259" s="136" t="s">
        <v>491</v>
      </c>
      <c r="D259" s="113" t="s">
        <v>67</v>
      </c>
      <c r="E259" s="137" t="s">
        <v>136</v>
      </c>
      <c r="F259" s="115">
        <v>1.92</v>
      </c>
      <c r="G259" s="116">
        <v>17</v>
      </c>
      <c r="H259" s="120" t="s">
        <v>69</v>
      </c>
      <c r="I259" s="120" t="s">
        <v>70</v>
      </c>
      <c r="J259" s="117">
        <f>IF($A259="","",IF($I259="Ganada",ROUND($G259*($F259-1),2),IF($I259="Medio Ganada",ROUND($G259/2*($F259-1),2),IF($I259="Perdida",IF($H259="Free Bet",0,-$G259),IF($I259="Medio Perdida",IF($H259="Free Bet",0,-$G259/2),IF($I259="Reembolso",IF($R259="","",ROUND($R259-$G259,2)),IF($I259="Anulada",0,"")))))))</f>
        <v>15.64</v>
      </c>
      <c r="K259" s="118">
        <f>IF(J259="","",2000+SUM(J$5:J259))</f>
        <v>2326.16</v>
      </c>
      <c r="L259" s="119">
        <f>IF(OR($I259="Ganada",$I259="Perdida",$I259="Medio Ganada",$I259="Medio Perdida"),IF($G259=0,"",J259/$G259),"")</f>
        <v>0.92</v>
      </c>
      <c r="M259" s="120">
        <f>IF(OR($A259="",$B259=""),"",COUNTIFS($A$5:A259,A259,$B$5:B259,B259))</f>
        <v>4</v>
      </c>
      <c r="N259" s="120">
        <f>IF($A259="","",COUNTA($A$5:$A259))</f>
        <v>255</v>
      </c>
      <c r="O259" s="120">
        <f>IF($A259="","",COUNTA($A$5:$A259))</f>
        <v>255</v>
      </c>
      <c r="P259" s="118">
        <f>IF($K259="","",MAX($K$5:K259))</f>
        <v>2403.3000000000002</v>
      </c>
      <c r="Q259" s="117">
        <f>IF($K259="","",K259-P259)</f>
        <v>-77.140000000000327</v>
      </c>
      <c r="R259" s="118"/>
      <c r="S259" s="2">
        <f>IF(OR($A259="",$F259=""),"",IF($I259="Pendiente","",ROUND($G259*($F259*0.609-1),2)))</f>
        <v>2.88</v>
      </c>
      <c r="T259" s="2">
        <f>IF($A259="","",IFERROR(SUM($S$5:S259),0))</f>
        <v>335.17999999999995</v>
      </c>
    </row>
    <row r="260" spans="1:20" ht="22.5" customHeight="1">
      <c r="A260" s="110">
        <v>46208</v>
      </c>
      <c r="B260" s="148" t="s">
        <v>36</v>
      </c>
      <c r="C260" s="136" t="s">
        <v>490</v>
      </c>
      <c r="D260" s="113" t="s">
        <v>67</v>
      </c>
      <c r="E260" s="138" t="s">
        <v>492</v>
      </c>
      <c r="F260" s="115">
        <v>1.64</v>
      </c>
      <c r="G260" s="116">
        <v>23</v>
      </c>
      <c r="H260" s="120" t="s">
        <v>69</v>
      </c>
      <c r="I260" s="120" t="s">
        <v>70</v>
      </c>
      <c r="J260" s="117">
        <f>IF($A260="","",IF($I260="Ganada",ROUND($G260*($F260-1),2),IF($I260="Medio Ganada",ROUND($G260/2*($F260-1),2),IF($I260="Perdida",IF($H260="Free Bet",0,-$G260),IF($I260="Medio Perdida",IF($H260="Free Bet",0,-$G260/2),IF($I260="Reembolso",IF($R260="","",ROUND($R260-$G260,2)),IF($I260="Anulada",0,"")))))))</f>
        <v>14.72</v>
      </c>
      <c r="K260" s="118">
        <f>IF(J260="","",2000+SUM(J$5:J260))</f>
        <v>2340.88</v>
      </c>
      <c r="L260" s="119">
        <f>IF(OR($I260="Ganada",$I260="Perdida",$I260="Medio Ganada",$I260="Medio Perdida"),IF($G260=0,"",J260/$G260),"")</f>
        <v>0.64</v>
      </c>
      <c r="M260" s="120">
        <f>IF(OR($A260="",$B260=""),"",COUNTIFS($A$5:A260,A260,$B$5:B260,B260))</f>
        <v>5</v>
      </c>
      <c r="N260" s="120">
        <f>IF($A260="","",COUNTA($A$5:$A260))</f>
        <v>256</v>
      </c>
      <c r="O260" s="120">
        <f>IF($A260="","",COUNTA($A$5:$A260))</f>
        <v>256</v>
      </c>
      <c r="P260" s="118">
        <f>IF($K260="","",MAX($K$5:K260))</f>
        <v>2403.3000000000002</v>
      </c>
      <c r="Q260" s="117">
        <f>IF($K260="","",K260-P260)</f>
        <v>-62.420000000000073</v>
      </c>
      <c r="R260" s="118"/>
      <c r="S260" s="2">
        <f>IF(OR($A260="",$F260=""),"",IF($I260="Pendiente","",ROUND($G260*($F260*0.609-1),2)))</f>
        <v>-0.03</v>
      </c>
      <c r="T260" s="2">
        <f>IF($A260="","",IFERROR(SUM($S$5:S260),0))</f>
        <v>335.15</v>
      </c>
    </row>
    <row r="261" spans="1:20" ht="22.5" customHeight="1">
      <c r="A261" s="110">
        <v>46208</v>
      </c>
      <c r="B261" s="152" t="s">
        <v>32</v>
      </c>
      <c r="C261" s="133" t="s">
        <v>493</v>
      </c>
      <c r="D261" s="113" t="s">
        <v>95</v>
      </c>
      <c r="E261" s="138" t="s">
        <v>494</v>
      </c>
      <c r="F261" s="115">
        <v>1.7689999999999999</v>
      </c>
      <c r="G261" s="116">
        <v>23</v>
      </c>
      <c r="H261" s="120" t="s">
        <v>69</v>
      </c>
      <c r="I261" s="120" t="s">
        <v>70</v>
      </c>
      <c r="J261" s="117">
        <f>IF($A261="","",IF($I261="Ganada",ROUND($G261*($F261-1),2),IF($I261="Medio Ganada",ROUND($G261/2*($F261-1),2),IF($I261="Perdida",IF($H261="Free Bet",0,-$G261),IF($I261="Medio Perdida",IF($H261="Free Bet",0,-$G261/2),IF($I261="Reembolso",IF($R261="","",ROUND($R261-$G261,2)),IF($I261="Anulada",0,"")))))))</f>
        <v>17.690000000000001</v>
      </c>
      <c r="K261" s="118">
        <f>IF(J261="","",2000+SUM(J$5:J261))</f>
        <v>2358.5700000000002</v>
      </c>
      <c r="L261" s="119">
        <f>IF(OR($I261="Ganada",$I261="Perdida",$I261="Medio Ganada",$I261="Medio Perdida"),IF($G261=0,"",J261/$G261),"")</f>
        <v>0.76913043478260879</v>
      </c>
      <c r="M261" s="120">
        <f>IF(OR($A261="",$B261=""),"",COUNTIFS($A$5:A261,A261,$B$5:B261,B261))</f>
        <v>7</v>
      </c>
      <c r="N261" s="120">
        <f>IF($A261="","",COUNTA($A$5:$A261))</f>
        <v>257</v>
      </c>
      <c r="O261" s="120">
        <f>IF($A261="","",COUNTA($A$5:$A261))</f>
        <v>257</v>
      </c>
      <c r="P261" s="118">
        <f>IF($K261="","",MAX($K$5:K261))</f>
        <v>2403.3000000000002</v>
      </c>
      <c r="Q261" s="117">
        <f>IF($K261="","",K261-P261)</f>
        <v>-44.730000000000018</v>
      </c>
      <c r="R261" s="118"/>
      <c r="S261" s="2">
        <f>IF(OR($A261="",$F261=""),"",IF($I261="Pendiente","",ROUND($G261*($F261*0.609-1),2)))</f>
        <v>1.78</v>
      </c>
      <c r="T261" s="2">
        <f>IF($A261="","",IFERROR(SUM($S$5:S261),0))</f>
        <v>336.92999999999995</v>
      </c>
    </row>
    <row r="262" spans="1:20" ht="22.5" customHeight="1">
      <c r="A262" s="110">
        <v>46208</v>
      </c>
      <c r="B262" s="148" t="s">
        <v>36</v>
      </c>
      <c r="C262" s="136" t="s">
        <v>495</v>
      </c>
      <c r="D262" s="113" t="s">
        <v>67</v>
      </c>
      <c r="E262" s="138" t="s">
        <v>496</v>
      </c>
      <c r="F262" s="115">
        <v>1.57</v>
      </c>
      <c r="G262" s="116">
        <v>23</v>
      </c>
      <c r="H262" s="120" t="s">
        <v>69</v>
      </c>
      <c r="I262" s="120" t="s">
        <v>75</v>
      </c>
      <c r="J262" s="117">
        <f>IF($A262="","",IF($I262="Ganada",ROUND($G262*($F262-1),2),IF($I262="Medio Ganada",ROUND($G262/2*($F262-1),2),IF($I262="Perdida",IF($H262="Free Bet",0,-$G262),IF($I262="Medio Perdida",IF($H262="Free Bet",0,-$G262/2),IF($I262="Reembolso",IF($R262="","",ROUND($R262-$G262,2)),IF($I262="Anulada",0,"")))))))</f>
        <v>-23</v>
      </c>
      <c r="K262" s="118">
        <f>IF(J262="","",2000+SUM(J$5:J262))</f>
        <v>2335.5700000000002</v>
      </c>
      <c r="L262" s="119">
        <f>IF(OR($I262="Ganada",$I262="Perdida",$I262="Medio Ganada",$I262="Medio Perdida"),IF($G262=0,"",J262/$G262),"")</f>
        <v>-1</v>
      </c>
      <c r="M262" s="120">
        <f>IF(OR($A262="",$B262=""),"",COUNTIFS($A$5:A262,A262,$B$5:B262,B262))</f>
        <v>6</v>
      </c>
      <c r="N262" s="120">
        <f>IF($A262="","",COUNTA($A$5:$A262))</f>
        <v>258</v>
      </c>
      <c r="O262" s="120">
        <f>IF($A262="","",COUNTA($A$5:$A262))</f>
        <v>258</v>
      </c>
      <c r="P262" s="118">
        <f>IF($K262="","",MAX($K$5:K262))</f>
        <v>2403.3000000000002</v>
      </c>
      <c r="Q262" s="117">
        <f>IF($K262="","",K262-P262)</f>
        <v>-67.730000000000018</v>
      </c>
      <c r="R262" s="118"/>
      <c r="S262" s="2">
        <f>IF(OR($A262="",$F262=""),"",IF($I262="Pendiente","",ROUND($G262*($F262*0.609-1),2)))</f>
        <v>-1.01</v>
      </c>
      <c r="T262" s="2">
        <f>IF($A262="","",IFERROR(SUM($S$5:S262),0))</f>
        <v>335.91999999999996</v>
      </c>
    </row>
    <row r="263" spans="1:20" ht="15" customHeight="1">
      <c r="A263" s="110">
        <v>46208</v>
      </c>
      <c r="B263" s="124" t="s">
        <v>28</v>
      </c>
      <c r="C263" s="133" t="s">
        <v>497</v>
      </c>
      <c r="D263" s="113" t="s">
        <v>76</v>
      </c>
      <c r="E263" s="137" t="s">
        <v>102</v>
      </c>
      <c r="F263" s="115">
        <v>1.98</v>
      </c>
      <c r="G263" s="116">
        <v>23</v>
      </c>
      <c r="H263" s="120" t="s">
        <v>69</v>
      </c>
      <c r="I263" s="120" t="s">
        <v>70</v>
      </c>
      <c r="J263" s="117">
        <f>IF($A263="","",IF($I263="Ganada",ROUND($G263*($F263-1),2),IF($I263="Medio Ganada",ROUND($G263/2*($F263-1),2),IF($I263="Perdida",IF($H263="Free Bet",0,-$G263),IF($I263="Medio Perdida",IF($H263="Free Bet",0,-$G263/2),IF($I263="Reembolso",IF($R263="","",ROUND($R263-$G263,2)),IF($I263="Anulada",0,"")))))))</f>
        <v>22.54</v>
      </c>
      <c r="K263" s="118">
        <f>IF(J263="","",2000+SUM(J$5:J263))</f>
        <v>2358.11</v>
      </c>
      <c r="L263" s="119">
        <f>IF(OR($I263="Ganada",$I263="Perdida",$I263="Medio Ganada",$I263="Medio Perdida"),IF($G263=0,"",J263/$G263),"")</f>
        <v>0.98</v>
      </c>
      <c r="M263" s="120">
        <f>IF(OR($A263="",$B263=""),"",COUNTIFS($A$5:A263,A263,$B$5:B263,B263))</f>
        <v>5</v>
      </c>
      <c r="N263" s="120">
        <f>IF($A263="","",COUNTA($A$5:$A263))</f>
        <v>259</v>
      </c>
      <c r="O263" s="120">
        <f>IF($A263="","",COUNTA($A$5:$A263))</f>
        <v>259</v>
      </c>
      <c r="P263" s="118">
        <f>IF($K263="","",MAX($K$5:K263))</f>
        <v>2403.3000000000002</v>
      </c>
      <c r="Q263" s="117">
        <f>IF($K263="","",K263-P263)</f>
        <v>-45.190000000000055</v>
      </c>
      <c r="R263" s="118"/>
      <c r="S263" s="2">
        <f>IF(OR($A263="",$F263=""),"",IF($I263="Pendiente","",ROUND($G263*($F263*0.609-1),2)))</f>
        <v>4.7300000000000004</v>
      </c>
      <c r="T263" s="2">
        <f>IF($A263="","",IFERROR(SUM($S$5:S263),0))</f>
        <v>340.65</v>
      </c>
    </row>
    <row r="264" spans="1:20" ht="22.5" customHeight="1">
      <c r="A264" s="110">
        <v>46208</v>
      </c>
      <c r="B264" s="148" t="s">
        <v>36</v>
      </c>
      <c r="C264" s="136" t="s">
        <v>498</v>
      </c>
      <c r="D264" s="113" t="s">
        <v>67</v>
      </c>
      <c r="E264" s="137" t="s">
        <v>136</v>
      </c>
      <c r="F264" s="115">
        <v>2.06</v>
      </c>
      <c r="G264" s="116">
        <v>17</v>
      </c>
      <c r="H264" s="120" t="s">
        <v>69</v>
      </c>
      <c r="I264" s="120" t="s">
        <v>75</v>
      </c>
      <c r="J264" s="117">
        <f>IF($A264="","",IF($I264="Ganada",ROUND($G264*($F264-1),2),IF($I264="Medio Ganada",ROUND($G264/2*($F264-1),2),IF($I264="Perdida",IF($H264="Free Bet",0,-$G264),IF($I264="Medio Perdida",IF($H264="Free Bet",0,-$G264/2),IF($I264="Reembolso",IF($R264="","",ROUND($R264-$G264,2)),IF($I264="Anulada",0,"")))))))</f>
        <v>-17</v>
      </c>
      <c r="K264" s="118">
        <f>IF(J264="","",2000+SUM(J$5:J264))</f>
        <v>2341.11</v>
      </c>
      <c r="L264" s="119">
        <f>IF(OR($I264="Ganada",$I264="Perdida",$I264="Medio Ganada",$I264="Medio Perdida"),IF($G264=0,"",J264/$G264),"")</f>
        <v>-1</v>
      </c>
      <c r="M264" s="120">
        <f>IF(OR($A264="",$B264=""),"",COUNTIFS($A$5:A264,A264,$B$5:B264,B264))</f>
        <v>7</v>
      </c>
      <c r="N264" s="120">
        <f>IF($A264="","",COUNTA($A$5:$A264))</f>
        <v>260</v>
      </c>
      <c r="O264" s="120">
        <f>IF($A264="","",COUNTA($A$5:$A264))</f>
        <v>260</v>
      </c>
      <c r="P264" s="118">
        <f>IF($K264="","",MAX($K$5:K264))</f>
        <v>2403.3000000000002</v>
      </c>
      <c r="Q264" s="117">
        <f>IF($K264="","",K264-P264)</f>
        <v>-62.190000000000055</v>
      </c>
      <c r="R264" s="118"/>
      <c r="S264" s="2">
        <f>IF(OR($A264="",$F264=""),"",IF($I264="Pendiente","",ROUND($G264*($F264*0.609-1),2)))</f>
        <v>4.33</v>
      </c>
      <c r="T264" s="2">
        <f>IF($A264="","",IFERROR(SUM($S$5:S264),0))</f>
        <v>344.97999999999996</v>
      </c>
    </row>
    <row r="265" spans="1:20" ht="22.5" customHeight="1">
      <c r="A265" s="110">
        <v>46208</v>
      </c>
      <c r="B265" s="148" t="s">
        <v>36</v>
      </c>
      <c r="C265" s="136" t="s">
        <v>499</v>
      </c>
      <c r="D265" s="113" t="s">
        <v>67</v>
      </c>
      <c r="E265" s="138" t="s">
        <v>500</v>
      </c>
      <c r="F265" s="115">
        <v>2.1</v>
      </c>
      <c r="G265" s="116">
        <v>17</v>
      </c>
      <c r="H265" s="120" t="s">
        <v>69</v>
      </c>
      <c r="I265" s="120" t="s">
        <v>75</v>
      </c>
      <c r="J265" s="117">
        <f>IF($A265="","",IF($I265="Ganada",ROUND($G265*($F265-1),2),IF($I265="Medio Ganada",ROUND($G265/2*($F265-1),2),IF($I265="Perdida",IF($H265="Free Bet",0,-$G265),IF($I265="Medio Perdida",IF($H265="Free Bet",0,-$G265/2),IF($I265="Reembolso",IF($R265="","",ROUND($R265-$G265,2)),IF($I265="Anulada",0,"")))))))</f>
        <v>-17</v>
      </c>
      <c r="K265" s="118">
        <f>IF(J265="","",2000+SUM(J$5:J265))</f>
        <v>2324.11</v>
      </c>
      <c r="L265" s="119">
        <f>IF(OR($I265="Ganada",$I265="Perdida",$I265="Medio Ganada",$I265="Medio Perdida"),IF($G265=0,"",J265/$G265),"")</f>
        <v>-1</v>
      </c>
      <c r="M265" s="120">
        <f>IF(OR($A265="",$B265=""),"",COUNTIFS($A$5:A265,A265,$B$5:B265,B265))</f>
        <v>8</v>
      </c>
      <c r="N265" s="120">
        <f>IF($A265="","",COUNTA($A$5:$A265))</f>
        <v>261</v>
      </c>
      <c r="O265" s="120">
        <f>IF($A265="","",COUNTA($A$5:$A265))</f>
        <v>261</v>
      </c>
      <c r="P265" s="118">
        <f>IF($K265="","",MAX($K$5:K265))</f>
        <v>2403.3000000000002</v>
      </c>
      <c r="Q265" s="117">
        <f>IF($K265="","",K265-P265)</f>
        <v>-79.190000000000055</v>
      </c>
      <c r="R265" s="118"/>
      <c r="S265" s="2">
        <f>IF(OR($A265="",$F265=""),"",IF($I265="Pendiente","",ROUND($G265*($F265*0.609-1),2)))</f>
        <v>4.74</v>
      </c>
      <c r="T265" s="2">
        <f>IF($A265="","",IFERROR(SUM($S$5:S265),0))</f>
        <v>349.71999999999997</v>
      </c>
    </row>
    <row r="266" spans="1:20" ht="22.5" customHeight="1">
      <c r="A266" s="110">
        <v>46208</v>
      </c>
      <c r="B266" s="148" t="s">
        <v>36</v>
      </c>
      <c r="C266" s="136" t="s">
        <v>501</v>
      </c>
      <c r="D266" s="113" t="s">
        <v>67</v>
      </c>
      <c r="E266" s="138" t="s">
        <v>500</v>
      </c>
      <c r="F266" s="115">
        <v>2.17</v>
      </c>
      <c r="G266" s="116">
        <v>17</v>
      </c>
      <c r="H266" s="120" t="s">
        <v>69</v>
      </c>
      <c r="I266" s="120" t="s">
        <v>75</v>
      </c>
      <c r="J266" s="117">
        <f>IF($A266="","",IF($I266="Ganada",ROUND($G266*($F266-1),2),IF($I266="Medio Ganada",ROUND($G266/2*($F266-1),2),IF($I266="Perdida",IF($H266="Free Bet",0,-$G266),IF($I266="Medio Perdida",IF($H266="Free Bet",0,-$G266/2),IF($I266="Reembolso",IF($R266="","",ROUND($R266-$G266,2)),IF($I266="Anulada",0,"")))))))</f>
        <v>-17</v>
      </c>
      <c r="K266" s="118">
        <f>IF(J266="","",2000+SUM(J$5:J266))</f>
        <v>2307.11</v>
      </c>
      <c r="L266" s="119">
        <f>IF(OR($I266="Ganada",$I266="Perdida",$I266="Medio Ganada",$I266="Medio Perdida"),IF($G266=0,"",J266/$G266),"")</f>
        <v>-1</v>
      </c>
      <c r="M266" s="120">
        <f>IF(OR($A266="",$B266=""),"",COUNTIFS($A$5:A266,A266,$B$5:B266,B266))</f>
        <v>9</v>
      </c>
      <c r="N266" s="120">
        <f>IF($A266="","",COUNTA($A$5:$A266))</f>
        <v>262</v>
      </c>
      <c r="O266" s="120">
        <f>IF($A266="","",COUNTA($A$5:$A266))</f>
        <v>262</v>
      </c>
      <c r="P266" s="118">
        <f>IF($K266="","",MAX($K$5:K266))</f>
        <v>2403.3000000000002</v>
      </c>
      <c r="Q266" s="117">
        <f>IF($K266="","",K266-P266)</f>
        <v>-96.190000000000055</v>
      </c>
      <c r="R266" s="118"/>
      <c r="S266" s="2">
        <f>IF(OR($A266="",$F266=""),"",IF($I266="Pendiente","",ROUND($G266*($F266*0.609-1),2)))</f>
        <v>5.47</v>
      </c>
      <c r="T266" s="2">
        <f>IF($A266="","",IFERROR(SUM($S$5:S266),0))</f>
        <v>355.19</v>
      </c>
    </row>
    <row r="267" spans="1:20" ht="22.5" customHeight="1">
      <c r="A267" s="110">
        <v>46208</v>
      </c>
      <c r="B267" s="148" t="s">
        <v>36</v>
      </c>
      <c r="C267" s="136" t="s">
        <v>502</v>
      </c>
      <c r="D267" s="113" t="s">
        <v>67</v>
      </c>
      <c r="E267" s="138" t="s">
        <v>503</v>
      </c>
      <c r="F267" s="115">
        <v>1.64</v>
      </c>
      <c r="G267" s="116">
        <v>23</v>
      </c>
      <c r="H267" s="120" t="s">
        <v>69</v>
      </c>
      <c r="I267" s="120" t="s">
        <v>70</v>
      </c>
      <c r="J267" s="117">
        <f>IF($A267="","",IF($I267="Ganada",ROUND($G267*($F267-1),2),IF($I267="Medio Ganada",ROUND($G267/2*($F267-1),2),IF($I267="Perdida",IF($H267="Free Bet",0,-$G267),IF($I267="Medio Perdida",IF($H267="Free Bet",0,-$G267/2),IF($I267="Reembolso",IF($R267="","",ROUND($R267-$G267,2)),IF($I267="Anulada",0,"")))))))</f>
        <v>14.72</v>
      </c>
      <c r="K267" s="118">
        <f>IF(J267="","",2000+SUM(J$5:J267))</f>
        <v>2321.83</v>
      </c>
      <c r="L267" s="119">
        <f>IF(OR($I267="Ganada",$I267="Perdida",$I267="Medio Ganada",$I267="Medio Perdida"),IF($G267=0,"",J267/$G267),"")</f>
        <v>0.64</v>
      </c>
      <c r="M267" s="120">
        <f>IF(OR($A267="",$B267=""),"",COUNTIFS($A$5:A267,A267,$B$5:B267,B267))</f>
        <v>10</v>
      </c>
      <c r="N267" s="120">
        <f>IF($A267="","",COUNTA($A$5:$A267))</f>
        <v>263</v>
      </c>
      <c r="O267" s="120">
        <f>IF($A267="","",COUNTA($A$5:$A267))</f>
        <v>263</v>
      </c>
      <c r="P267" s="118">
        <f>IF($K267="","",MAX($K$5:K267))</f>
        <v>2403.3000000000002</v>
      </c>
      <c r="Q267" s="117">
        <f>IF($K267="","",K267-P267)</f>
        <v>-81.470000000000255</v>
      </c>
      <c r="R267" s="118"/>
      <c r="S267" s="2">
        <f>IF(OR($A267="",$F267=""),"",IF($I267="Pendiente","",ROUND($G267*($F267*0.609-1),2)))</f>
        <v>-0.03</v>
      </c>
      <c r="T267" s="2">
        <f>IF($A267="","",IFERROR(SUM($S$5:S267),0))</f>
        <v>355.16</v>
      </c>
    </row>
    <row r="268" spans="1:20" ht="15" customHeight="1">
      <c r="A268" s="110">
        <v>46208</v>
      </c>
      <c r="B268" s="152" t="s">
        <v>32</v>
      </c>
      <c r="C268" s="136" t="s">
        <v>504</v>
      </c>
      <c r="D268" s="113" t="s">
        <v>95</v>
      </c>
      <c r="E268" s="137" t="s">
        <v>505</v>
      </c>
      <c r="F268" s="115">
        <v>1.5329999999999999</v>
      </c>
      <c r="G268" s="116">
        <v>23</v>
      </c>
      <c r="H268" s="120" t="s">
        <v>69</v>
      </c>
      <c r="I268" s="120" t="s">
        <v>70</v>
      </c>
      <c r="J268" s="117">
        <f>IF($A268="","",IF($I268="Ganada",ROUND($G268*($F268-1),2),IF($I268="Medio Ganada",ROUND($G268/2*($F268-1),2),IF($I268="Perdida",IF($H268="Free Bet",0,-$G268),IF($I268="Medio Perdida",IF($H268="Free Bet",0,-$G268/2),IF($I268="Reembolso",IF($R268="","",ROUND($R268-$G268,2)),IF($I268="Anulada",0,"")))))))</f>
        <v>12.26</v>
      </c>
      <c r="K268" s="118">
        <f>IF(J268="","",2000+SUM(J$5:J268))</f>
        <v>2334.09</v>
      </c>
      <c r="L268" s="119">
        <f>IF(OR($I268="Ganada",$I268="Perdida",$I268="Medio Ganada",$I268="Medio Perdida"),IF($G268=0,"",J268/$G268),"")</f>
        <v>0.53304347826086951</v>
      </c>
      <c r="M268" s="120">
        <f>IF(OR($A268="",$B268=""),"",COUNTIFS($A$5:A268,A268,$B$5:B268,B268))</f>
        <v>8</v>
      </c>
      <c r="N268" s="120">
        <f>IF($A268="","",COUNTA($A$5:$A268))</f>
        <v>264</v>
      </c>
      <c r="O268" s="120">
        <f>IF($A268="","",COUNTA($A$5:$A268))</f>
        <v>264</v>
      </c>
      <c r="P268" s="118">
        <f>IF($K268="","",MAX($K$5:K268))</f>
        <v>2403.3000000000002</v>
      </c>
      <c r="Q268" s="117">
        <f>IF($K268="","",K268-P268)</f>
        <v>-69.210000000000036</v>
      </c>
      <c r="R268" s="118"/>
      <c r="S268" s="2">
        <f>IF(OR($A268="",$F268=""),"",IF($I268="Pendiente","",ROUND($G268*($F268*0.609-1),2)))</f>
        <v>-1.53</v>
      </c>
      <c r="T268" s="2">
        <f>IF($A268="","",IFERROR(SUM($S$5:S268),0))</f>
        <v>353.63000000000005</v>
      </c>
    </row>
    <row r="269" spans="1:20" ht="15" customHeight="1">
      <c r="A269" s="110">
        <v>46208</v>
      </c>
      <c r="B269" s="111" t="s">
        <v>30</v>
      </c>
      <c r="C269" s="133" t="s">
        <v>506</v>
      </c>
      <c r="D269" s="113" t="s">
        <v>76</v>
      </c>
      <c r="E269" s="137">
        <v>1</v>
      </c>
      <c r="F269" s="115">
        <v>2.02</v>
      </c>
      <c r="G269" s="116">
        <v>17</v>
      </c>
      <c r="H269" s="120" t="s">
        <v>69</v>
      </c>
      <c r="I269" s="120" t="s">
        <v>75</v>
      </c>
      <c r="J269" s="117">
        <f>IF($A269="","",IF($I269="Ganada",ROUND($G269*($F269-1),2),IF($I269="Medio Ganada",ROUND($G269/2*($F269-1),2),IF($I269="Perdida",IF($H269="Free Bet",0,-$G269),IF($I269="Medio Perdida",IF($H269="Free Bet",0,-$G269/2),IF($I269="Reembolso",IF($R269="","",ROUND($R269-$G269,2)),IF($I269="Anulada",0,"")))))))</f>
        <v>-17</v>
      </c>
      <c r="K269" s="118">
        <f>IF(J269="","",2000+SUM(J$5:J269))</f>
        <v>2317.09</v>
      </c>
      <c r="L269" s="119">
        <f>IF(OR($I269="Ganada",$I269="Perdida",$I269="Medio Ganada",$I269="Medio Perdida"),IF($G269=0,"",J269/$G269),"")</f>
        <v>-1</v>
      </c>
      <c r="M269" s="120">
        <f>IF(OR($A269="",$B269=""),"",COUNTIFS($A$5:A269,A269,$B$5:B269,B269))</f>
        <v>1</v>
      </c>
      <c r="N269" s="120">
        <f>IF($A269="","",COUNTA($A$5:$A269))</f>
        <v>265</v>
      </c>
      <c r="O269" s="120">
        <f>IF($A269="","",COUNTA($A$5:$A269))</f>
        <v>265</v>
      </c>
      <c r="P269" s="118">
        <f>IF($K269="","",MAX($K$5:K269))</f>
        <v>2403.3000000000002</v>
      </c>
      <c r="Q269" s="117">
        <f>IF($K269="","",K269-P269)</f>
        <v>-86.210000000000036</v>
      </c>
      <c r="R269" s="118"/>
      <c r="S269" s="2">
        <f>IF(OR($A269="",$F269=""),"",IF($I269="Pendiente","",ROUND($G269*($F269*0.609-1),2)))</f>
        <v>3.91</v>
      </c>
      <c r="T269" s="2">
        <f>IF($A269="","",IFERROR(SUM($S$5:S269),0))</f>
        <v>357.54000000000008</v>
      </c>
    </row>
    <row r="270" spans="1:20" ht="24.75" customHeight="1">
      <c r="A270" s="110">
        <v>46208</v>
      </c>
      <c r="B270" s="111" t="s">
        <v>30</v>
      </c>
      <c r="C270" s="126" t="s">
        <v>507</v>
      </c>
      <c r="D270" s="113" t="s">
        <v>67</v>
      </c>
      <c r="E270" s="138" t="s">
        <v>277</v>
      </c>
      <c r="F270" s="115">
        <v>1.75</v>
      </c>
      <c r="G270" s="116">
        <v>21</v>
      </c>
      <c r="H270" s="120" t="s">
        <v>69</v>
      </c>
      <c r="I270" s="120" t="s">
        <v>70</v>
      </c>
      <c r="J270" s="117">
        <f>IF($A270="","",IF($I270="Ganada",ROUND($G270*($F270-1),2),IF($I270="Medio Ganada",ROUND($G270/2*($F270-1),2),IF($I270="Perdida",IF($H270="Free Bet",0,-$G270),IF($I270="Medio Perdida",IF($H270="Free Bet",0,-$G270/2),IF($I270="Reembolso",IF($R270="","",ROUND($R270-$G270,2)),IF($I270="Anulada",0,"")))))))</f>
        <v>15.75</v>
      </c>
      <c r="K270" s="118">
        <f>IF(J270="","",2000+SUM(J$5:J270))</f>
        <v>2332.84</v>
      </c>
      <c r="L270" s="119">
        <f>IF(OR($I270="Ganada",$I270="Perdida",$I270="Medio Ganada",$I270="Medio Perdida"),IF($G270=0,"",J270/$G270),"")</f>
        <v>0.75</v>
      </c>
      <c r="M270" s="120">
        <f>IF(OR($A270="",$B270=""),"",COUNTIFS($A$5:A270,A270,$B$5:B270,B270))</f>
        <v>2</v>
      </c>
      <c r="N270" s="120">
        <f>IF($A270="","",COUNTA($A$5:$A270))</f>
        <v>266</v>
      </c>
      <c r="O270" s="120">
        <f>IF($A270="","",COUNTA($A$5:$A270))</f>
        <v>266</v>
      </c>
      <c r="P270" s="118">
        <f>IF($K270="","",MAX($K$5:K270))</f>
        <v>2403.3000000000002</v>
      </c>
      <c r="Q270" s="117">
        <f>IF($K270="","",K270-P270)</f>
        <v>-70.460000000000036</v>
      </c>
      <c r="R270" s="118"/>
      <c r="S270" s="2">
        <f>IF(OR($A270="",$F270=""),"",IF($I270="Pendiente","",ROUND($G270*($F270*0.609-1),2)))</f>
        <v>1.38</v>
      </c>
      <c r="T270" s="2">
        <f>IF($A270="","",IFERROR(SUM($S$5:S270),0))</f>
        <v>358.92000000000007</v>
      </c>
    </row>
    <row r="271" spans="1:20" ht="22.5" customHeight="1">
      <c r="A271" s="110">
        <v>46208</v>
      </c>
      <c r="B271" s="152" t="s">
        <v>32</v>
      </c>
      <c r="C271" s="136" t="s">
        <v>508</v>
      </c>
      <c r="D271" s="113" t="s">
        <v>90</v>
      </c>
      <c r="E271" s="138" t="s">
        <v>119</v>
      </c>
      <c r="F271" s="115">
        <v>1.48</v>
      </c>
      <c r="G271" s="116">
        <v>23</v>
      </c>
      <c r="H271" s="120" t="s">
        <v>69</v>
      </c>
      <c r="I271" s="120" t="s">
        <v>88</v>
      </c>
      <c r="J271" s="117">
        <f>IF($A271="","",IF($I271="Ganada",ROUND($G271*($F271-1),2),IF($I271="Medio Ganada",ROUND($G271/2*($F271-1),2),IF($I271="Perdida",IF($H271="Free Bet",0,-$G271),IF($I271="Medio Perdida",IF($H271="Free Bet",0,-$G271/2),IF($I271="Reembolso",IF($R271="","",ROUND($R271-$G271,2)),IF($I271="Anulada",0,"")))))))</f>
        <v>0</v>
      </c>
      <c r="K271" s="118">
        <f>IF(J271="","",2000+SUM(J$5:J271))</f>
        <v>2332.84</v>
      </c>
      <c r="L271" s="119" t="str">
        <f>IF(OR($I271="Ganada",$I271="Perdida",$I271="Medio Ganada",$I271="Medio Perdida"),IF($G271=0,"",J271/$G271),"")</f>
        <v/>
      </c>
      <c r="M271" s="120">
        <f>IF(OR($A271="",$B271=""),"",COUNTIFS($A$5:A271,A271,$B$5:B271,B271))</f>
        <v>9</v>
      </c>
      <c r="N271" s="120">
        <f>IF($A271="","",COUNTA($A$5:$A271))</f>
        <v>267</v>
      </c>
      <c r="O271" s="120">
        <f>IF($A271="","",COUNTA($A$5:$A271))</f>
        <v>267</v>
      </c>
      <c r="P271" s="118">
        <f>IF($K271="","",MAX($K$5:K271))</f>
        <v>2403.3000000000002</v>
      </c>
      <c r="Q271" s="117">
        <f>IF($K271="","",K271-P271)</f>
        <v>-70.460000000000036</v>
      </c>
      <c r="R271" s="118"/>
      <c r="S271" s="2">
        <f>IF(OR($A271="",$F271=""),"",IF($I271="Pendiente","",ROUND($G271*($F271*0.609-1),2)))</f>
        <v>-2.27</v>
      </c>
      <c r="T271" s="2">
        <f>IF($A271="","",IFERROR(SUM($S$5:S271),0))</f>
        <v>356.65000000000009</v>
      </c>
    </row>
    <row r="272" spans="1:20" ht="22.5" customHeight="1">
      <c r="A272" s="110">
        <v>46208</v>
      </c>
      <c r="B272" s="111" t="s">
        <v>30</v>
      </c>
      <c r="C272" s="133" t="s">
        <v>509</v>
      </c>
      <c r="D272" s="113" t="s">
        <v>67</v>
      </c>
      <c r="E272" s="138" t="s">
        <v>329</v>
      </c>
      <c r="F272" s="115">
        <v>1.89</v>
      </c>
      <c r="G272" s="116">
        <v>17</v>
      </c>
      <c r="H272" s="120" t="s">
        <v>69</v>
      </c>
      <c r="I272" s="120" t="s">
        <v>75</v>
      </c>
      <c r="J272" s="117">
        <f>IF($A272="","",IF($I272="Ganada",ROUND($G272*($F272-1),2),IF($I272="Medio Ganada",ROUND($G272/2*($F272-1),2),IF($I272="Perdida",IF($H272="Free Bet",0,-$G272),IF($I272="Medio Perdida",IF($H272="Free Bet",0,-$G272/2),IF($I272="Reembolso",IF($R272="","",ROUND($R272-$G272,2)),IF($I272="Anulada",0,"")))))))</f>
        <v>-17</v>
      </c>
      <c r="K272" s="118">
        <f>IF(J272="","",2000+SUM(J$5:J272))</f>
        <v>2315.84</v>
      </c>
      <c r="L272" s="119">
        <f>IF(OR($I272="Ganada",$I272="Perdida",$I272="Medio Ganada",$I272="Medio Perdida"),IF($G272=0,"",J272/$G272),"")</f>
        <v>-1</v>
      </c>
      <c r="M272" s="120">
        <f>IF(OR($A272="",$B272=""),"",COUNTIFS($A$5:A272,A272,$B$5:B272,B272))</f>
        <v>3</v>
      </c>
      <c r="N272" s="120">
        <f>IF($A272="","",COUNTA($A$5:$A272))</f>
        <v>268</v>
      </c>
      <c r="O272" s="120">
        <f>IF($A272="","",COUNTA($A$5:$A272))</f>
        <v>268</v>
      </c>
      <c r="P272" s="118">
        <f>IF($K272="","",MAX($K$5:K272))</f>
        <v>2403.3000000000002</v>
      </c>
      <c r="Q272" s="117">
        <f>IF($K272="","",K272-P272)</f>
        <v>-87.460000000000036</v>
      </c>
      <c r="R272" s="118"/>
      <c r="S272" s="2">
        <f>IF(OR($A272="",$F272=""),"",IF($I272="Pendiente","",ROUND($G272*($F272*0.609-1),2)))</f>
        <v>2.57</v>
      </c>
      <c r="T272" s="2">
        <f>IF($A272="","",IFERROR(SUM($S$5:S272),0))</f>
        <v>359.22000000000008</v>
      </c>
    </row>
    <row r="273" spans="1:20" ht="22.5" customHeight="1">
      <c r="A273" s="110">
        <v>46208</v>
      </c>
      <c r="B273" s="111" t="s">
        <v>30</v>
      </c>
      <c r="C273" s="136" t="s">
        <v>510</v>
      </c>
      <c r="D273" s="113" t="s">
        <v>67</v>
      </c>
      <c r="E273" s="137" t="s">
        <v>136</v>
      </c>
      <c r="F273" s="115">
        <v>2.02</v>
      </c>
      <c r="G273" s="116">
        <v>17</v>
      </c>
      <c r="H273" s="120" t="s">
        <v>69</v>
      </c>
      <c r="I273" s="120" t="s">
        <v>70</v>
      </c>
      <c r="J273" s="117">
        <f>IF($A273="","",IF($I273="Ganada",ROUND($G273*($F273-1),2),IF($I273="Medio Ganada",ROUND($G273/2*($F273-1),2),IF($I273="Perdida",IF($H273="Free Bet",0,-$G273),IF($I273="Medio Perdida",IF($H273="Free Bet",0,-$G273/2),IF($I273="Reembolso",IF($R273="","",ROUND($R273-$G273,2)),IF($I273="Anulada",0,"")))))))</f>
        <v>17.34</v>
      </c>
      <c r="K273" s="118">
        <f>IF(J273="","",2000+SUM(J$5:J273))</f>
        <v>2333.1800000000003</v>
      </c>
      <c r="L273" s="119">
        <f>IF(OR($I273="Ganada",$I273="Perdida",$I273="Medio Ganada",$I273="Medio Perdida"),IF($G273=0,"",J273/$G273),"")</f>
        <v>1.02</v>
      </c>
      <c r="M273" s="120">
        <f>IF(OR($A273="",$B273=""),"",COUNTIFS($A$5:A273,A273,$B$5:B273,B273))</f>
        <v>4</v>
      </c>
      <c r="N273" s="120">
        <f>IF($A273="","",COUNTA($A$5:$A273))</f>
        <v>269</v>
      </c>
      <c r="O273" s="120">
        <f>IF($A273="","",COUNTA($A$5:$A273))</f>
        <v>269</v>
      </c>
      <c r="P273" s="118">
        <f>IF($K273="","",MAX($K$5:K273))</f>
        <v>2403.3000000000002</v>
      </c>
      <c r="Q273" s="117">
        <f>IF($K273="","",K273-P273)</f>
        <v>-70.119999999999891</v>
      </c>
      <c r="R273" s="118"/>
      <c r="S273" s="2">
        <f>IF(OR($A273="",$F273=""),"",IF($I273="Pendiente","",ROUND($G273*($F273*0.609-1),2)))</f>
        <v>3.91</v>
      </c>
      <c r="T273" s="2">
        <f>IF($A273="","",IFERROR(SUM($S$5:S273),0))</f>
        <v>363.13000000000011</v>
      </c>
    </row>
    <row r="274" spans="1:20" ht="22.5" customHeight="1">
      <c r="A274" s="110">
        <v>46209</v>
      </c>
      <c r="B274" s="152" t="s">
        <v>32</v>
      </c>
      <c r="C274" s="133" t="s">
        <v>511</v>
      </c>
      <c r="D274" s="113" t="s">
        <v>76</v>
      </c>
      <c r="E274" s="138" t="s">
        <v>512</v>
      </c>
      <c r="F274" s="115">
        <v>1.35</v>
      </c>
      <c r="G274" s="116">
        <v>35</v>
      </c>
      <c r="H274" s="120" t="s">
        <v>69</v>
      </c>
      <c r="I274" s="120" t="s">
        <v>75</v>
      </c>
      <c r="J274" s="117">
        <f>IF($A274="","",IF($I274="Ganada",ROUND($G274*($F274-1),2),IF($I274="Medio Ganada",ROUND($G274/2*($F274-1),2),IF($I274="Perdida",IF($H274="Free Bet",0,-$G274),IF($I274="Medio Perdida",IF($H274="Free Bet",0,-$G274/2),IF($I274="Reembolso",IF($R274="","",ROUND($R274-$G274,2)),IF($I274="Anulada",0,"")))))))</f>
        <v>-35</v>
      </c>
      <c r="K274" s="118">
        <f>IF(J274="","",2000+SUM(J$5:J274))</f>
        <v>2298.1800000000003</v>
      </c>
      <c r="L274" s="119">
        <f>IF(OR($I274="Ganada",$I274="Perdida",$I274="Medio Ganada",$I274="Medio Perdida"),IF($G274=0,"",J274/$G274),"")</f>
        <v>-1</v>
      </c>
      <c r="M274" s="120">
        <f>IF(OR($A274="",$B274=""),"",COUNTIFS($A$5:A274,A274,$B$5:B274,B274))</f>
        <v>1</v>
      </c>
      <c r="N274" s="120">
        <f>IF($A274="","",COUNTA($A$5:$A274))</f>
        <v>270</v>
      </c>
      <c r="O274" s="120">
        <f>IF($A274="","",COUNTA($A$5:$A274))</f>
        <v>270</v>
      </c>
      <c r="P274" s="118">
        <f>IF($K274="","",MAX($K$5:K274))</f>
        <v>2403.3000000000002</v>
      </c>
      <c r="Q274" s="117">
        <f>IF($K274="","",K274-P274)</f>
        <v>-105.11999999999989</v>
      </c>
      <c r="R274" s="118"/>
      <c r="S274" s="2">
        <f>IF(OR($A274="",$F274=""),"",IF($I274="Pendiente","",ROUND($G274*($F274*0.609-1),2)))</f>
        <v>-6.22</v>
      </c>
      <c r="T274" s="2">
        <f>IF($A274="","",IFERROR(SUM($S$5:S274),0))</f>
        <v>356.91000000000008</v>
      </c>
    </row>
    <row r="275" spans="1:20" ht="15" customHeight="1">
      <c r="A275" s="110">
        <v>46209</v>
      </c>
      <c r="B275" s="124" t="s">
        <v>28</v>
      </c>
      <c r="C275" s="133" t="s">
        <v>513</v>
      </c>
      <c r="D275" s="113" t="s">
        <v>67</v>
      </c>
      <c r="E275" s="138" t="s">
        <v>514</v>
      </c>
      <c r="F275" s="115">
        <v>1.86</v>
      </c>
      <c r="G275" s="116">
        <v>23</v>
      </c>
      <c r="H275" s="120" t="s">
        <v>69</v>
      </c>
      <c r="I275" s="120" t="s">
        <v>70</v>
      </c>
      <c r="J275" s="117">
        <f>IF($A275="","",IF($I275="Ganada",ROUND($G275*($F275-1),2),IF($I275="Medio Ganada",ROUND($G275/2*($F275-1),2),IF($I275="Perdida",IF($H275="Free Bet",0,-$G275),IF($I275="Medio Perdida",IF($H275="Free Bet",0,-$G275/2),IF($I275="Reembolso",IF($R275="","",ROUND($R275-$G275,2)),IF($I275="Anulada",0,"")))))))</f>
        <v>19.78</v>
      </c>
      <c r="K275" s="118">
        <f>IF(J275="","",2000+SUM(J$5:J275))</f>
        <v>2317.96</v>
      </c>
      <c r="L275" s="119">
        <f>IF(OR($I275="Ganada",$I275="Perdida",$I275="Medio Ganada",$I275="Medio Perdida"),IF($G275=0,"",J275/$G275),"")</f>
        <v>0.8600000000000001</v>
      </c>
      <c r="M275" s="120">
        <f>IF(OR($A275="",$B275=""),"",COUNTIFS($A$5:A275,A275,$B$5:B275,B275))</f>
        <v>1</v>
      </c>
      <c r="N275" s="120">
        <f>IF($A275="","",COUNTA($A$5:$A275))</f>
        <v>271</v>
      </c>
      <c r="O275" s="120">
        <f>IF($A275="","",COUNTA($A$5:$A275))</f>
        <v>271</v>
      </c>
      <c r="P275" s="118">
        <f>IF($K275="","",MAX($K$5:K275))</f>
        <v>2403.3000000000002</v>
      </c>
      <c r="Q275" s="117">
        <f>IF($K275="","",K275-P275)</f>
        <v>-85.340000000000146</v>
      </c>
      <c r="R275" s="118"/>
      <c r="S275" s="2">
        <f>IF(OR($A275="",$F275=""),"",IF($I275="Pendiente","",ROUND($G275*($F275*0.609-1),2)))</f>
        <v>3.05</v>
      </c>
      <c r="T275" s="2">
        <f>IF($A275="","",IFERROR(SUM($S$5:S275),0))</f>
        <v>359.96000000000009</v>
      </c>
    </row>
    <row r="276" spans="1:20" ht="22.5" customHeight="1">
      <c r="A276" s="110">
        <v>46209</v>
      </c>
      <c r="B276" s="111" t="s">
        <v>30</v>
      </c>
      <c r="C276" s="136" t="s">
        <v>515</v>
      </c>
      <c r="D276" s="113" t="s">
        <v>76</v>
      </c>
      <c r="E276" s="138" t="s">
        <v>190</v>
      </c>
      <c r="F276" s="115">
        <v>1.49</v>
      </c>
      <c r="G276" s="116">
        <v>23</v>
      </c>
      <c r="H276" s="120" t="s">
        <v>69</v>
      </c>
      <c r="I276" s="120" t="s">
        <v>70</v>
      </c>
      <c r="J276" s="117">
        <f>IF($A276="","",IF($I276="Ganada",ROUND($G276*($F276-1),2),IF($I276="Medio Ganada",ROUND($G276/2*($F276-1),2),IF($I276="Perdida",IF($H276="Free Bet",0,-$G276),IF($I276="Medio Perdida",IF($H276="Free Bet",0,-$G276/2),IF($I276="Reembolso",IF($R276="","",ROUND($R276-$G276,2)),IF($I276="Anulada",0,"")))))))</f>
        <v>11.27</v>
      </c>
      <c r="K276" s="118">
        <f>IF(J276="","",2000+SUM(J$5:J276))</f>
        <v>2329.23</v>
      </c>
      <c r="L276" s="119">
        <f>IF(OR($I276="Ganada",$I276="Perdida",$I276="Medio Ganada",$I276="Medio Perdida"),IF($G276=0,"",J276/$G276),"")</f>
        <v>0.49</v>
      </c>
      <c r="M276" s="120">
        <f>IF(OR($A276="",$B276=""),"",COUNTIFS($A$5:A276,A276,$B$5:B276,B276))</f>
        <v>1</v>
      </c>
      <c r="N276" s="120">
        <f>IF($A276="","",COUNTA($A$5:$A276))</f>
        <v>272</v>
      </c>
      <c r="O276" s="120">
        <f>IF($A276="","",COUNTA($A$5:$A276))</f>
        <v>272</v>
      </c>
      <c r="P276" s="118">
        <f>IF($K276="","",MAX($K$5:K276))</f>
        <v>2403.3000000000002</v>
      </c>
      <c r="Q276" s="117">
        <f>IF($K276="","",K276-P276)</f>
        <v>-74.070000000000164</v>
      </c>
      <c r="R276" s="118"/>
      <c r="S276" s="2">
        <f>IF(OR($A276="",$F276=""),"",IF($I276="Pendiente","",ROUND($G276*($F276*0.609-1),2)))</f>
        <v>-2.13</v>
      </c>
      <c r="T276" s="2">
        <f>IF($A276="","",IFERROR(SUM($S$5:S276),0))</f>
        <v>357.8300000000001</v>
      </c>
    </row>
    <row r="277" spans="1:20" ht="15" customHeight="1">
      <c r="A277" s="110">
        <v>46209</v>
      </c>
      <c r="B277" s="152" t="s">
        <v>32</v>
      </c>
      <c r="C277" s="133" t="s">
        <v>516</v>
      </c>
      <c r="D277" s="113" t="s">
        <v>95</v>
      </c>
      <c r="E277" s="137" t="s">
        <v>517</v>
      </c>
      <c r="F277" s="115">
        <v>2</v>
      </c>
      <c r="G277" s="116">
        <v>17</v>
      </c>
      <c r="H277" s="120" t="s">
        <v>69</v>
      </c>
      <c r="I277" s="120" t="s">
        <v>70</v>
      </c>
      <c r="J277" s="117">
        <f>IF($A277="","",IF($I277="Ganada",ROUND($G277*($F277-1),2),IF($I277="Medio Ganada",ROUND($G277/2*($F277-1),2),IF($I277="Perdida",IF($H277="Free Bet",0,-$G277),IF($I277="Medio Perdida",IF($H277="Free Bet",0,-$G277/2),IF($I277="Reembolso",IF($R277="","",ROUND($R277-$G277,2)),IF($I277="Anulada",0,"")))))))</f>
        <v>17</v>
      </c>
      <c r="K277" s="118">
        <f>IF(J277="","",2000+SUM(J$5:J277))</f>
        <v>2346.23</v>
      </c>
      <c r="L277" s="119">
        <f>IF(OR($I277="Ganada",$I277="Perdida",$I277="Medio Ganada",$I277="Medio Perdida"),IF($G277=0,"",J277/$G277),"")</f>
        <v>1</v>
      </c>
      <c r="M277" s="120">
        <f>IF(OR($A277="",$B277=""),"",COUNTIFS($A$5:A277,A277,$B$5:B277,B277))</f>
        <v>2</v>
      </c>
      <c r="N277" s="120">
        <f>IF($A277="","",COUNTA($A$5:$A277))</f>
        <v>273</v>
      </c>
      <c r="O277" s="120">
        <f>IF($A277="","",COUNTA($A$5:$A277))</f>
        <v>273</v>
      </c>
      <c r="P277" s="118">
        <f>IF($K277="","",MAX($K$5:K277))</f>
        <v>2403.3000000000002</v>
      </c>
      <c r="Q277" s="117">
        <f>IF($K277="","",K277-P277)</f>
        <v>-57.070000000000164</v>
      </c>
      <c r="R277" s="118"/>
      <c r="S277" s="2">
        <f>IF(OR($A277="",$F277=""),"",IF($I277="Pendiente","",ROUND($G277*($F277*0.609-1),2)))</f>
        <v>3.71</v>
      </c>
      <c r="T277" s="2">
        <f>IF($A277="","",IFERROR(SUM($S$5:S277),0))</f>
        <v>361.54000000000008</v>
      </c>
    </row>
    <row r="278" spans="1:20" ht="22.5" customHeight="1">
      <c r="A278" s="110">
        <v>46209</v>
      </c>
      <c r="B278" s="111" t="s">
        <v>30</v>
      </c>
      <c r="C278" s="133" t="s">
        <v>518</v>
      </c>
      <c r="D278" s="113" t="s">
        <v>95</v>
      </c>
      <c r="E278" s="138" t="s">
        <v>519</v>
      </c>
      <c r="F278" s="115">
        <v>1.97</v>
      </c>
      <c r="G278" s="116">
        <v>17</v>
      </c>
      <c r="H278" s="120" t="s">
        <v>69</v>
      </c>
      <c r="I278" s="120" t="s">
        <v>75</v>
      </c>
      <c r="J278" s="117">
        <f>IF($A278="","",IF($I278="Ganada",ROUND($G278*($F278-1),2),IF($I278="Medio Ganada",ROUND($G278/2*($F278-1),2),IF($I278="Perdida",IF($H278="Free Bet",0,-$G278),IF($I278="Medio Perdida",IF($H278="Free Bet",0,-$G278/2),IF($I278="Reembolso",IF($R278="","",ROUND($R278-$G278,2)),IF($I278="Anulada",0,"")))))))</f>
        <v>-17</v>
      </c>
      <c r="K278" s="118">
        <f>IF(J278="","",2000+SUM(J$5:J278))</f>
        <v>2329.23</v>
      </c>
      <c r="L278" s="119">
        <f>IF(OR($I278="Ganada",$I278="Perdida",$I278="Medio Ganada",$I278="Medio Perdida"),IF($G278=0,"",J278/$G278),"")</f>
        <v>-1</v>
      </c>
      <c r="M278" s="120">
        <f>IF(OR($A278="",$B278=""),"",COUNTIFS($A$5:A278,A278,$B$5:B278,B278))</f>
        <v>2</v>
      </c>
      <c r="N278" s="120">
        <f>IF($A278="","",COUNTA($A$5:$A278))</f>
        <v>274</v>
      </c>
      <c r="O278" s="120">
        <f>IF($A278="","",COUNTA($A$5:$A278))</f>
        <v>274</v>
      </c>
      <c r="P278" s="118">
        <f>IF($K278="","",MAX($K$5:K278))</f>
        <v>2403.3000000000002</v>
      </c>
      <c r="Q278" s="117">
        <f>IF($K278="","",K278-P278)</f>
        <v>-74.070000000000164</v>
      </c>
      <c r="R278" s="118"/>
      <c r="S278" s="2">
        <f>IF(OR($A278="",$F278=""),"",IF($I278="Pendiente","",ROUND($G278*($F278*0.609-1),2)))</f>
        <v>3.4</v>
      </c>
      <c r="T278" s="2">
        <f>IF($A278="","",IFERROR(SUM($S$5:S278),0))</f>
        <v>364.94000000000005</v>
      </c>
    </row>
    <row r="279" spans="1:20" ht="15" customHeight="1">
      <c r="A279" s="110">
        <v>46209</v>
      </c>
      <c r="B279" s="111" t="s">
        <v>30</v>
      </c>
      <c r="C279" s="136" t="s">
        <v>520</v>
      </c>
      <c r="D279" s="113" t="s">
        <v>67</v>
      </c>
      <c r="E279" s="138" t="s">
        <v>521</v>
      </c>
      <c r="F279" s="115">
        <v>1.73</v>
      </c>
      <c r="G279" s="116">
        <v>23</v>
      </c>
      <c r="H279" s="120" t="s">
        <v>69</v>
      </c>
      <c r="I279" s="120" t="s">
        <v>75</v>
      </c>
      <c r="J279" s="117">
        <f>IF($A279="","",IF($I279="Ganada",ROUND($G279*($F279-1),2),IF($I279="Medio Ganada",ROUND($G279/2*($F279-1),2),IF($I279="Perdida",IF($H279="Free Bet",0,-$G279),IF($I279="Medio Perdida",IF($H279="Free Bet",0,-$G279/2),IF($I279="Reembolso",IF($R279="","",ROUND($R279-$G279,2)),IF($I279="Anulada",0,"")))))))</f>
        <v>-23</v>
      </c>
      <c r="K279" s="118">
        <f>IF(J279="","",2000+SUM(J$5:J279))</f>
        <v>2306.23</v>
      </c>
      <c r="L279" s="119">
        <f>IF(OR($I279="Ganada",$I279="Perdida",$I279="Medio Ganada",$I279="Medio Perdida"),IF($G279=0,"",J279/$G279),"")</f>
        <v>-1</v>
      </c>
      <c r="M279" s="120">
        <f>IF(OR($A279="",$B279=""),"",COUNTIFS($A$5:A279,A279,$B$5:B279,B279))</f>
        <v>3</v>
      </c>
      <c r="N279" s="120">
        <f>IF($A279="","",COUNTA($A$5:$A279))</f>
        <v>275</v>
      </c>
      <c r="O279" s="120">
        <f>IF($A279="","",COUNTA($A$5:$A279))</f>
        <v>275</v>
      </c>
      <c r="P279" s="118">
        <f>IF($K279="","",MAX($K$5:K279))</f>
        <v>2403.3000000000002</v>
      </c>
      <c r="Q279" s="117">
        <f>IF($K279="","",K279-P279)</f>
        <v>-97.070000000000164</v>
      </c>
      <c r="R279" s="118"/>
      <c r="S279" s="2">
        <f>IF(OR($A279="",$F279=""),"",IF($I279="Pendiente","",ROUND($G279*($F279*0.609-1),2)))</f>
        <v>1.23</v>
      </c>
      <c r="T279" s="2">
        <f>IF($A279="","",IFERROR(SUM($S$5:S279),0))</f>
        <v>366.17000000000007</v>
      </c>
    </row>
    <row r="280" spans="1:20" ht="15" customHeight="1">
      <c r="A280" s="110">
        <v>46209</v>
      </c>
      <c r="B280" s="111" t="s">
        <v>30</v>
      </c>
      <c r="C280" s="133" t="s">
        <v>522</v>
      </c>
      <c r="D280" s="113" t="s">
        <v>76</v>
      </c>
      <c r="E280" s="137">
        <v>1</v>
      </c>
      <c r="F280" s="115">
        <v>2</v>
      </c>
      <c r="G280" s="116">
        <v>17</v>
      </c>
      <c r="H280" s="120" t="s">
        <v>69</v>
      </c>
      <c r="I280" s="120" t="s">
        <v>70</v>
      </c>
      <c r="J280" s="117">
        <f>IF($A280="","",IF($I280="Ganada",ROUND($G280*($F280-1),2),IF($I280="Medio Ganada",ROUND($G280/2*($F280-1),2),IF($I280="Perdida",IF($H280="Free Bet",0,-$G280),IF($I280="Medio Perdida",IF($H280="Free Bet",0,-$G280/2),IF($I280="Reembolso",IF($R280="","",ROUND($R280-$G280,2)),IF($I280="Anulada",0,"")))))))</f>
        <v>17</v>
      </c>
      <c r="K280" s="118">
        <f>IF(J280="","",2000+SUM(J$5:J280))</f>
        <v>2323.23</v>
      </c>
      <c r="L280" s="119">
        <f>IF(OR($I280="Ganada",$I280="Perdida",$I280="Medio Ganada",$I280="Medio Perdida"),IF($G280=0,"",J280/$G280),"")</f>
        <v>1</v>
      </c>
      <c r="M280" s="120">
        <f>IF(OR($A280="",$B280=""),"",COUNTIFS($A$5:A280,A280,$B$5:B280,B280))</f>
        <v>4</v>
      </c>
      <c r="N280" s="120">
        <f>IF($A280="","",COUNTA($A$5:$A280))</f>
        <v>276</v>
      </c>
      <c r="O280" s="120">
        <f>IF($A280="","",COUNTA($A$5:$A280))</f>
        <v>276</v>
      </c>
      <c r="P280" s="118">
        <f>IF($K280="","",MAX($K$5:K280))</f>
        <v>2403.3000000000002</v>
      </c>
      <c r="Q280" s="117">
        <f>IF($K280="","",K280-P280)</f>
        <v>-80.070000000000164</v>
      </c>
      <c r="R280" s="118"/>
      <c r="S280" s="2">
        <f>IF(OR($A280="",$F280=""),"",IF($I280="Pendiente","",ROUND($G280*($F280*0.609-1),2)))</f>
        <v>3.71</v>
      </c>
      <c r="T280" s="2">
        <f>IF($A280="","",IFERROR(SUM($S$5:S280),0))</f>
        <v>369.88000000000005</v>
      </c>
    </row>
    <row r="281" spans="1:20" ht="22.5" customHeight="1">
      <c r="A281" s="110">
        <v>46209</v>
      </c>
      <c r="B281" s="152" t="s">
        <v>32</v>
      </c>
      <c r="C281" s="136" t="s">
        <v>523</v>
      </c>
      <c r="D281" s="113" t="s">
        <v>76</v>
      </c>
      <c r="E281" s="137">
        <v>2</v>
      </c>
      <c r="F281" s="115">
        <v>1.6659999999999999</v>
      </c>
      <c r="G281" s="116">
        <v>23</v>
      </c>
      <c r="H281" s="120" t="s">
        <v>69</v>
      </c>
      <c r="I281" s="120" t="s">
        <v>70</v>
      </c>
      <c r="J281" s="117">
        <f>IF($A281="","",IF($I281="Ganada",ROUND($G281*($F281-1),2),IF($I281="Medio Ganada",ROUND($G281/2*($F281-1),2),IF($I281="Perdida",IF($H281="Free Bet",0,-$G281),IF($I281="Medio Perdida",IF($H281="Free Bet",0,-$G281/2),IF($I281="Reembolso",IF($R281="","",ROUND($R281-$G281,2)),IF($I281="Anulada",0,"")))))))</f>
        <v>15.32</v>
      </c>
      <c r="K281" s="118">
        <f>IF(J281="","",2000+SUM(J$5:J281))</f>
        <v>2338.5500000000002</v>
      </c>
      <c r="L281" s="119">
        <f>IF(OR($I281="Ganada",$I281="Perdida",$I281="Medio Ganada",$I281="Medio Perdida"),IF($G281=0,"",J281/$G281),"")</f>
        <v>0.6660869565217391</v>
      </c>
      <c r="M281" s="120">
        <f>IF(OR($A281="",$B281=""),"",COUNTIFS($A$5:A281,A281,$B$5:B281,B281))</f>
        <v>3</v>
      </c>
      <c r="N281" s="120">
        <f>IF($A281="","",COUNTA($A$5:$A281))</f>
        <v>277</v>
      </c>
      <c r="O281" s="120">
        <f>IF($A281="","",COUNTA($A$5:$A281))</f>
        <v>277</v>
      </c>
      <c r="P281" s="118">
        <f>IF($K281="","",MAX($K$5:K281))</f>
        <v>2403.3000000000002</v>
      </c>
      <c r="Q281" s="117">
        <f>IF($K281="","",K281-P281)</f>
        <v>-64.75</v>
      </c>
      <c r="R281" s="118"/>
      <c r="S281" s="2">
        <f>IF(OR($A281="",$F281=""),"",IF($I281="Pendiente","",ROUND($G281*($F281*0.609-1),2)))</f>
        <v>0.34</v>
      </c>
      <c r="T281" s="2">
        <f>IF($A281="","",IFERROR(SUM($S$5:S281),0))</f>
        <v>370.22</v>
      </c>
    </row>
    <row r="282" spans="1:20" ht="15" customHeight="1">
      <c r="A282" s="110">
        <v>46210</v>
      </c>
      <c r="B282" s="150" t="s">
        <v>33</v>
      </c>
      <c r="C282" s="133" t="s">
        <v>524</v>
      </c>
      <c r="D282" s="113" t="s">
        <v>76</v>
      </c>
      <c r="E282" s="137" t="s">
        <v>167</v>
      </c>
      <c r="F282" s="115">
        <v>1.44</v>
      </c>
      <c r="G282" s="116">
        <v>23</v>
      </c>
      <c r="H282" s="120" t="s">
        <v>69</v>
      </c>
      <c r="I282" s="120" t="s">
        <v>70</v>
      </c>
      <c r="J282" s="117">
        <f>IF($A282="","",IF($I282="Ganada",ROUND($G282*($F282-1),2),IF($I282="Medio Ganada",ROUND($G282/2*($F282-1),2),IF($I282="Perdida",IF($H282="Free Bet",0,-$G282),IF($I282="Medio Perdida",IF($H282="Free Bet",0,-$G282/2),IF($I282="Reembolso",IF($R282="","",ROUND($R282-$G282,2)),IF($I282="Anulada",0,"")))))))</f>
        <v>10.119999999999999</v>
      </c>
      <c r="K282" s="118">
        <f>IF(J282="","",2000+SUM(J$5:J282))</f>
        <v>2348.67</v>
      </c>
      <c r="L282" s="119">
        <f>IF(OR($I282="Ganada",$I282="Perdida",$I282="Medio Ganada",$I282="Medio Perdida"),IF($G282=0,"",J282/$G282),"")</f>
        <v>0.43999999999999995</v>
      </c>
      <c r="M282" s="120">
        <f>IF(OR($A282="",$B282=""),"",COUNTIFS($A$5:A282,A282,$B$5:B282,B282))</f>
        <v>1</v>
      </c>
      <c r="N282" s="120">
        <f>IF($A282="","",COUNTA($A$5:$A282))</f>
        <v>278</v>
      </c>
      <c r="O282" s="120">
        <f>IF($A282="","",COUNTA($A$5:$A282))</f>
        <v>278</v>
      </c>
      <c r="P282" s="118">
        <f>IF($K282="","",MAX($K$5:K282))</f>
        <v>2403.3000000000002</v>
      </c>
      <c r="Q282" s="117">
        <f>IF($K282="","",K282-P282)</f>
        <v>-54.630000000000109</v>
      </c>
      <c r="R282" s="118"/>
      <c r="S282" s="2">
        <f>IF(OR($A282="",$F282=""),"",IF($I282="Pendiente","",ROUND($G282*($F282*0.609-1),2)))</f>
        <v>-2.83</v>
      </c>
      <c r="T282" s="2">
        <f>IF($A282="","",IFERROR(SUM($S$5:S282),0))</f>
        <v>367.39000000000004</v>
      </c>
    </row>
    <row r="283" spans="1:20" ht="22.5" customHeight="1">
      <c r="A283" s="110">
        <v>46210</v>
      </c>
      <c r="B283" s="150" t="s">
        <v>33</v>
      </c>
      <c r="C283" s="133" t="s">
        <v>525</v>
      </c>
      <c r="D283" s="113" t="s">
        <v>67</v>
      </c>
      <c r="E283" s="138" t="s">
        <v>428</v>
      </c>
      <c r="F283" s="115">
        <v>1.79</v>
      </c>
      <c r="G283" s="116">
        <v>18</v>
      </c>
      <c r="H283" s="120" t="s">
        <v>69</v>
      </c>
      <c r="I283" s="120" t="s">
        <v>75</v>
      </c>
      <c r="J283" s="117">
        <f>IF($A283="","",IF($I283="Ganada",ROUND($G283*($F283-1),2),IF($I283="Medio Ganada",ROUND($G283/2*($F283-1),2),IF($I283="Perdida",IF($H283="Free Bet",0,-$G283),IF($I283="Medio Perdida",IF($H283="Free Bet",0,-$G283/2),IF($I283="Reembolso",IF($R283="","",ROUND($R283-$G283,2)),IF($I283="Anulada",0,"")))))))</f>
        <v>-18</v>
      </c>
      <c r="K283" s="118">
        <f>IF(J283="","",2000+SUM(J$5:J283))</f>
        <v>2330.67</v>
      </c>
      <c r="L283" s="119">
        <f>IF(OR($I283="Ganada",$I283="Perdida",$I283="Medio Ganada",$I283="Medio Perdida"),IF($G283=0,"",J283/$G283),"")</f>
        <v>-1</v>
      </c>
      <c r="M283" s="120">
        <f>IF(OR($A283="",$B283=""),"",COUNTIFS($A$5:A283,A283,$B$5:B283,B283))</f>
        <v>2</v>
      </c>
      <c r="N283" s="120">
        <f>IF($A283="","",COUNTA($A$5:$A283))</f>
        <v>279</v>
      </c>
      <c r="O283" s="120">
        <f>IF($A283="","",COUNTA($A$5:$A283))</f>
        <v>279</v>
      </c>
      <c r="P283" s="118">
        <f>IF($K283="","",MAX($K$5:K283))</f>
        <v>2403.3000000000002</v>
      </c>
      <c r="Q283" s="117">
        <f>IF($K283="","",K283-P283)</f>
        <v>-72.630000000000109</v>
      </c>
      <c r="R283" s="118"/>
      <c r="S283" s="2">
        <f>IF(OR($A283="",$F283=""),"",IF($I283="Pendiente","",ROUND($G283*($F283*0.609-1),2)))</f>
        <v>1.62</v>
      </c>
      <c r="T283" s="2">
        <f>IF($A283="","",IFERROR(SUM($S$5:S283),0))</f>
        <v>369.01000000000005</v>
      </c>
    </row>
    <row r="284" spans="1:20" ht="22.5" customHeight="1">
      <c r="A284" s="110">
        <v>46210</v>
      </c>
      <c r="B284" s="150" t="s">
        <v>33</v>
      </c>
      <c r="C284" s="136" t="s">
        <v>526</v>
      </c>
      <c r="D284" s="113" t="s">
        <v>76</v>
      </c>
      <c r="E284" s="137">
        <v>1</v>
      </c>
      <c r="F284" s="115">
        <v>1.96</v>
      </c>
      <c r="G284" s="116">
        <v>17</v>
      </c>
      <c r="H284" s="120" t="s">
        <v>69</v>
      </c>
      <c r="I284" s="120" t="s">
        <v>75</v>
      </c>
      <c r="J284" s="117">
        <f>IF($A284="","",IF($I284="Ganada",ROUND($G284*($F284-1),2),IF($I284="Medio Ganada",ROUND($G284/2*($F284-1),2),IF($I284="Perdida",IF($H284="Free Bet",0,-$G284),IF($I284="Medio Perdida",IF($H284="Free Bet",0,-$G284/2),IF($I284="Reembolso",IF($R284="","",ROUND($R284-$G284,2)),IF($I284="Anulada",0,"")))))))</f>
        <v>-17</v>
      </c>
      <c r="K284" s="118">
        <f>IF(J284="","",2000+SUM(J$5:J284))</f>
        <v>2313.67</v>
      </c>
      <c r="L284" s="119">
        <f>IF(OR($I284="Ganada",$I284="Perdida",$I284="Medio Ganada",$I284="Medio Perdida"),IF($G284=0,"",J284/$G284),"")</f>
        <v>-1</v>
      </c>
      <c r="M284" s="120">
        <f>IF(OR($A284="",$B284=""),"",COUNTIFS($A$5:A284,A284,$B$5:B284,B284))</f>
        <v>3</v>
      </c>
      <c r="N284" s="120">
        <f>IF($A284="","",COUNTA($A$5:$A284))</f>
        <v>280</v>
      </c>
      <c r="O284" s="120">
        <f>IF($A284="","",COUNTA($A$5:$A284))</f>
        <v>280</v>
      </c>
      <c r="P284" s="118">
        <f>IF($K284="","",MAX($K$5:K284))</f>
        <v>2403.3000000000002</v>
      </c>
      <c r="Q284" s="117">
        <f>IF($K284="","",K284-P284)</f>
        <v>-89.630000000000109</v>
      </c>
      <c r="R284" s="118"/>
      <c r="S284" s="2">
        <f>IF(OR($A284="",$F284=""),"",IF($I284="Pendiente","",ROUND($G284*($F284*0.609-1),2)))</f>
        <v>3.29</v>
      </c>
      <c r="T284" s="2">
        <f>IF($A284="","",IFERROR(SUM($S$5:S284),0))</f>
        <v>372.30000000000007</v>
      </c>
    </row>
    <row r="285" spans="1:20" ht="22.5" customHeight="1">
      <c r="A285" s="110">
        <v>46210</v>
      </c>
      <c r="B285" s="124" t="s">
        <v>28</v>
      </c>
      <c r="C285" s="133" t="s">
        <v>527</v>
      </c>
      <c r="D285" s="113" t="s">
        <v>95</v>
      </c>
      <c r="E285" s="138" t="s">
        <v>528</v>
      </c>
      <c r="F285" s="115">
        <v>1.92</v>
      </c>
      <c r="G285" s="116">
        <v>23</v>
      </c>
      <c r="H285" s="120" t="s">
        <v>69</v>
      </c>
      <c r="I285" s="120" t="s">
        <v>70</v>
      </c>
      <c r="J285" s="117">
        <f>IF($A285="","",IF($I285="Ganada",ROUND($G285*($F285-1),2),IF($I285="Medio Ganada",ROUND($G285/2*($F285-1),2),IF($I285="Perdida",IF($H285="Free Bet",0,-$G285),IF($I285="Medio Perdida",IF($H285="Free Bet",0,-$G285/2),IF($I285="Reembolso",IF($R285="","",ROUND($R285-$G285,2)),IF($I285="Anulada",0,"")))))))</f>
        <v>21.16</v>
      </c>
      <c r="K285" s="118">
        <f>IF(J285="","",2000+SUM(J$5:J285))</f>
        <v>2334.83</v>
      </c>
      <c r="L285" s="119">
        <f>IF(OR($I285="Ganada",$I285="Perdida",$I285="Medio Ganada",$I285="Medio Perdida"),IF($G285=0,"",J285/$G285),"")</f>
        <v>0.92</v>
      </c>
      <c r="M285" s="120">
        <f>IF(OR($A285="",$B285=""),"",COUNTIFS($A$5:A285,A285,$B$5:B285,B285))</f>
        <v>1</v>
      </c>
      <c r="N285" s="120">
        <f>IF($A285="","",COUNTA($A$5:$A285))</f>
        <v>281</v>
      </c>
      <c r="O285" s="120">
        <f>IF($A285="","",COUNTA($A$5:$A285))</f>
        <v>281</v>
      </c>
      <c r="P285" s="118">
        <f>IF($K285="","",MAX($K$5:K285))</f>
        <v>2403.3000000000002</v>
      </c>
      <c r="Q285" s="117">
        <f>IF($K285="","",K285-P285)</f>
        <v>-68.470000000000255</v>
      </c>
      <c r="R285" s="118"/>
      <c r="S285" s="2">
        <f>IF(OR($A285="",$F285=""),"",IF($I285="Pendiente","",ROUND($G285*($F285*0.609-1),2)))</f>
        <v>3.89</v>
      </c>
      <c r="T285" s="2">
        <f>IF($A285="","",IFERROR(SUM($S$5:S285),0))</f>
        <v>376.19000000000005</v>
      </c>
    </row>
    <row r="286" spans="1:20" ht="22.5" customHeight="1">
      <c r="A286" s="110">
        <v>46210</v>
      </c>
      <c r="B286" s="150" t="s">
        <v>33</v>
      </c>
      <c r="C286" s="133" t="s">
        <v>529</v>
      </c>
      <c r="D286" s="113" t="s">
        <v>95</v>
      </c>
      <c r="E286" s="138" t="s">
        <v>530</v>
      </c>
      <c r="F286" s="115">
        <v>1.97</v>
      </c>
      <c r="G286" s="116">
        <v>17</v>
      </c>
      <c r="H286" s="120" t="s">
        <v>69</v>
      </c>
      <c r="I286" s="120" t="s">
        <v>75</v>
      </c>
      <c r="J286" s="117">
        <f>IF($A286="","",IF($I286="Ganada",ROUND($G286*($F286-1),2),IF($I286="Medio Ganada",ROUND($G286/2*($F286-1),2),IF($I286="Perdida",IF($H286="Free Bet",0,-$G286),IF($I286="Medio Perdida",IF($H286="Free Bet",0,-$G286/2),IF($I286="Reembolso",IF($R286="","",ROUND($R286-$G286,2)),IF($I286="Anulada",0,"")))))))</f>
        <v>-17</v>
      </c>
      <c r="K286" s="118">
        <f>IF(J286="","",2000+SUM(J$5:J286))</f>
        <v>2317.83</v>
      </c>
      <c r="L286" s="119">
        <f>IF(OR($I286="Ganada",$I286="Perdida",$I286="Medio Ganada",$I286="Medio Perdida"),IF($G286=0,"",J286/$G286),"")</f>
        <v>-1</v>
      </c>
      <c r="M286" s="120">
        <f>IF(OR($A286="",$B286=""),"",COUNTIFS($A$5:A286,A286,$B$5:B286,B286))</f>
        <v>4</v>
      </c>
      <c r="N286" s="120">
        <f>IF($A286="","",COUNTA($A$5:$A286))</f>
        <v>282</v>
      </c>
      <c r="O286" s="120">
        <f>IF($A286="","",COUNTA($A$5:$A286))</f>
        <v>282</v>
      </c>
      <c r="P286" s="118">
        <f>IF($K286="","",MAX($K$5:K286))</f>
        <v>2403.3000000000002</v>
      </c>
      <c r="Q286" s="117">
        <f>IF($K286="","",K286-P286)</f>
        <v>-85.470000000000255</v>
      </c>
      <c r="R286" s="118"/>
      <c r="S286" s="2">
        <f>IF(OR($A286="",$F286=""),"",IF($I286="Pendiente","",ROUND($G286*($F286*0.609-1),2)))</f>
        <v>3.4</v>
      </c>
      <c r="T286" s="2">
        <f>IF($A286="","",IFERROR(SUM($S$5:S286),0))</f>
        <v>379.59000000000003</v>
      </c>
    </row>
    <row r="287" spans="1:20" ht="15" customHeight="1">
      <c r="A287" s="110">
        <v>46210</v>
      </c>
      <c r="B287" s="150" t="s">
        <v>33</v>
      </c>
      <c r="C287" s="133" t="s">
        <v>531</v>
      </c>
      <c r="D287" s="113" t="s">
        <v>76</v>
      </c>
      <c r="E287" s="137">
        <v>2</v>
      </c>
      <c r="F287" s="115">
        <v>1.89</v>
      </c>
      <c r="G287" s="116">
        <v>17</v>
      </c>
      <c r="H287" s="120" t="s">
        <v>69</v>
      </c>
      <c r="I287" s="120" t="s">
        <v>75</v>
      </c>
      <c r="J287" s="117">
        <f>IF($A287="","",IF($I287="Ganada",ROUND($G287*($F287-1),2),IF($I287="Medio Ganada",ROUND($G287/2*($F287-1),2),IF($I287="Perdida",IF($H287="Free Bet",0,-$G287),IF($I287="Medio Perdida",IF($H287="Free Bet",0,-$G287/2),IF($I287="Reembolso",IF($R287="","",ROUND($R287-$G287,2)),IF($I287="Anulada",0,"")))))))</f>
        <v>-17</v>
      </c>
      <c r="K287" s="118">
        <f>IF(J287="","",2000+SUM(J$5:J287))</f>
        <v>2300.83</v>
      </c>
      <c r="L287" s="119">
        <f>IF(OR($I287="Ganada",$I287="Perdida",$I287="Medio Ganada",$I287="Medio Perdida"),IF($G287=0,"",J287/$G287),"")</f>
        <v>-1</v>
      </c>
      <c r="M287" s="120">
        <f>IF(OR($A287="",$B287=""),"",COUNTIFS($A$5:A287,A287,$B$5:B287,B287))</f>
        <v>5</v>
      </c>
      <c r="N287" s="120">
        <f>IF($A287="","",COUNTA($A$5:$A287))</f>
        <v>283</v>
      </c>
      <c r="O287" s="120">
        <f>IF($A287="","",COUNTA($A$5:$A287))</f>
        <v>283</v>
      </c>
      <c r="P287" s="118">
        <f>IF($K287="","",MAX($K$5:K287))</f>
        <v>2403.3000000000002</v>
      </c>
      <c r="Q287" s="117">
        <f>IF($K287="","",K287-P287)</f>
        <v>-102.47000000000025</v>
      </c>
      <c r="R287" s="118"/>
      <c r="S287" s="2">
        <f>IF(OR($A287="",$F287=""),"",IF($I287="Pendiente","",ROUND($G287*($F287*0.609-1),2)))</f>
        <v>2.57</v>
      </c>
      <c r="T287" s="2">
        <f>IF($A287="","",IFERROR(SUM($S$5:S287),0))</f>
        <v>382.16</v>
      </c>
    </row>
    <row r="288" spans="1:20" ht="22.5" customHeight="1">
      <c r="A288" s="110">
        <v>46210</v>
      </c>
      <c r="B288" s="152" t="s">
        <v>32</v>
      </c>
      <c r="C288" s="133" t="s">
        <v>532</v>
      </c>
      <c r="D288" s="113" t="s">
        <v>95</v>
      </c>
      <c r="E288" s="138" t="s">
        <v>339</v>
      </c>
      <c r="F288" s="115">
        <v>1.85</v>
      </c>
      <c r="G288" s="116">
        <v>17</v>
      </c>
      <c r="H288" s="120" t="s">
        <v>69</v>
      </c>
      <c r="I288" s="120" t="s">
        <v>70</v>
      </c>
      <c r="J288" s="117">
        <f>IF($A288="","",IF($I288="Ganada",ROUND($G288*($F288-1),2),IF($I288="Medio Ganada",ROUND($G288/2*($F288-1),2),IF($I288="Perdida",IF($H288="Free Bet",0,-$G288),IF($I288="Medio Perdida",IF($H288="Free Bet",0,-$G288/2),IF($I288="Reembolso",IF($R288="","",ROUND($R288-$G288,2)),IF($I288="Anulada",0,"")))))))</f>
        <v>14.45</v>
      </c>
      <c r="K288" s="118">
        <f>IF(J288="","",2000+SUM(J$5:J288))</f>
        <v>2315.2800000000002</v>
      </c>
      <c r="L288" s="119">
        <f>IF(OR($I288="Ganada",$I288="Perdida",$I288="Medio Ganada",$I288="Medio Perdida"),IF($G288=0,"",J288/$G288),"")</f>
        <v>0.85</v>
      </c>
      <c r="M288" s="120">
        <f>IF(OR($A288="",$B288=""),"",COUNTIFS($A$5:A288,A288,$B$5:B288,B288))</f>
        <v>1</v>
      </c>
      <c r="N288" s="120">
        <f>IF($A288="","",COUNTA($A$5:$A288))</f>
        <v>284</v>
      </c>
      <c r="O288" s="120">
        <f>IF($A288="","",COUNTA($A$5:$A288))</f>
        <v>284</v>
      </c>
      <c r="P288" s="118">
        <f>IF($K288="","",MAX($K$5:K288))</f>
        <v>2403.3000000000002</v>
      </c>
      <c r="Q288" s="117">
        <f>IF($K288="","",K288-P288)</f>
        <v>-88.019999999999982</v>
      </c>
      <c r="R288" s="118"/>
      <c r="S288" s="2">
        <f>IF(OR($A288="",$F288=""),"",IF($I288="Pendiente","",ROUND($G288*($F288*0.609-1),2)))</f>
        <v>2.15</v>
      </c>
      <c r="T288" s="2">
        <f>IF($A288="","",IFERROR(SUM($S$5:S288),0))</f>
        <v>384.31</v>
      </c>
    </row>
    <row r="289" spans="1:20" ht="22.5" customHeight="1">
      <c r="A289" s="110">
        <v>46210</v>
      </c>
      <c r="B289" s="148" t="s">
        <v>36</v>
      </c>
      <c r="C289" s="136" t="s">
        <v>533</v>
      </c>
      <c r="D289" s="113" t="s">
        <v>76</v>
      </c>
      <c r="E289" s="138" t="s">
        <v>534</v>
      </c>
      <c r="F289" s="115">
        <v>1.61</v>
      </c>
      <c r="G289" s="116">
        <v>23</v>
      </c>
      <c r="H289" s="120" t="s">
        <v>69</v>
      </c>
      <c r="I289" s="120" t="s">
        <v>70</v>
      </c>
      <c r="J289" s="117">
        <f>IF($A289="","",IF($I289="Ganada",ROUND($G289*($F289-1),2),IF($I289="Medio Ganada",ROUND($G289/2*($F289-1),2),IF($I289="Perdida",IF($H289="Free Bet",0,-$G289),IF($I289="Medio Perdida",IF($H289="Free Bet",0,-$G289/2),IF($I289="Reembolso",IF($R289="","",ROUND($R289-$G289,2)),IF($I289="Anulada",0,"")))))))</f>
        <v>14.03</v>
      </c>
      <c r="K289" s="118">
        <f>IF(J289="","",2000+SUM(J$5:J289))</f>
        <v>2329.31</v>
      </c>
      <c r="L289" s="119">
        <f>IF(OR($I289="Ganada",$I289="Perdida",$I289="Medio Ganada",$I289="Medio Perdida"),IF($G289=0,"",J289/$G289),"")</f>
        <v>0.61</v>
      </c>
      <c r="M289" s="120">
        <f>IF(OR($A289="",$B289=""),"",COUNTIFS($A$5:A289,A289,$B$5:B289,B289))</f>
        <v>1</v>
      </c>
      <c r="N289" s="120">
        <f>IF($A289="","",COUNTA($A$5:$A289))</f>
        <v>285</v>
      </c>
      <c r="O289" s="120">
        <f>IF($A289="","",COUNTA($A$5:$A289))</f>
        <v>285</v>
      </c>
      <c r="P289" s="118">
        <f>IF($K289="","",MAX($K$5:K289))</f>
        <v>2403.3000000000002</v>
      </c>
      <c r="Q289" s="117">
        <f>IF($K289="","",K289-P289)</f>
        <v>-73.990000000000236</v>
      </c>
      <c r="R289" s="118"/>
      <c r="S289" s="2">
        <f>IF(OR($A289="",$F289=""),"",IF($I289="Pendiente","",ROUND($G289*($F289*0.609-1),2)))</f>
        <v>-0.45</v>
      </c>
      <c r="T289" s="2">
        <f>IF($A289="","",IFERROR(SUM($S$5:S289),0))</f>
        <v>383.86</v>
      </c>
    </row>
    <row r="290" spans="1:20" ht="22.5" customHeight="1">
      <c r="A290" s="110">
        <v>46211</v>
      </c>
      <c r="B290" s="124" t="s">
        <v>28</v>
      </c>
      <c r="C290" s="133" t="s">
        <v>535</v>
      </c>
      <c r="D290" s="113" t="s">
        <v>67</v>
      </c>
      <c r="E290" s="138" t="s">
        <v>536</v>
      </c>
      <c r="F290" s="115">
        <v>1.72</v>
      </c>
      <c r="G290" s="116">
        <v>23</v>
      </c>
      <c r="H290" s="120" t="s">
        <v>69</v>
      </c>
      <c r="I290" s="120" t="s">
        <v>70</v>
      </c>
      <c r="J290" s="117">
        <f>IF($A290="","",IF($I290="Ganada",ROUND($G290*($F290-1),2),IF($I290="Medio Ganada",ROUND($G290/2*($F290-1),2),IF($I290="Perdida",IF($H290="Free Bet",0,-$G290),IF($I290="Medio Perdida",IF($H290="Free Bet",0,-$G290/2),IF($I290="Reembolso",IF($R290="","",ROUND($R290-$G290,2)),IF($I290="Anulada",0,"")))))))</f>
        <v>16.559999999999999</v>
      </c>
      <c r="K290" s="118">
        <f>IF(J290="","",2000+SUM(J$5:J290))</f>
        <v>2345.87</v>
      </c>
      <c r="L290" s="119">
        <f>IF(OR($I290="Ganada",$I290="Perdida",$I290="Medio Ganada",$I290="Medio Perdida"),IF($G290=0,"",J290/$G290),"")</f>
        <v>0.72</v>
      </c>
      <c r="M290" s="120">
        <f>IF(OR($A290="",$B290=""),"",COUNTIFS($A$5:A290,A290,$B$5:B290,B290))</f>
        <v>1</v>
      </c>
      <c r="N290" s="120">
        <f>IF($A290="","",COUNTA($A$5:$A290))</f>
        <v>286</v>
      </c>
      <c r="O290" s="120">
        <f>IF($A290="","",COUNTA($A$5:$A290))</f>
        <v>286</v>
      </c>
      <c r="P290" s="118">
        <f>IF($K290="","",MAX($K$5:K290))</f>
        <v>2403.3000000000002</v>
      </c>
      <c r="Q290" s="117">
        <f>IF($K290="","",K290-P290)</f>
        <v>-57.430000000000291</v>
      </c>
      <c r="R290" s="118"/>
      <c r="S290" s="2">
        <f>IF(OR($A290="",$F290=""),"",IF($I290="Pendiente","",ROUND($G290*($F290*0.609-1),2)))</f>
        <v>1.0900000000000001</v>
      </c>
      <c r="T290" s="2">
        <f>IF($A290="","",IFERROR(SUM($S$5:S290),0))</f>
        <v>384.95</v>
      </c>
    </row>
    <row r="291" spans="1:20" ht="22.5" customHeight="1">
      <c r="A291" s="110">
        <v>46211</v>
      </c>
      <c r="B291" s="148" t="s">
        <v>36</v>
      </c>
      <c r="C291" s="136" t="s">
        <v>537</v>
      </c>
      <c r="D291" s="113" t="s">
        <v>76</v>
      </c>
      <c r="E291" s="137" t="s">
        <v>272</v>
      </c>
      <c r="F291" s="115">
        <v>1.63</v>
      </c>
      <c r="G291" s="116">
        <v>23</v>
      </c>
      <c r="H291" s="120" t="s">
        <v>69</v>
      </c>
      <c r="I291" s="120" t="s">
        <v>70</v>
      </c>
      <c r="J291" s="117">
        <f>IF($A291="","",IF($I291="Ganada",ROUND($G291*($F291-1),2),IF($I291="Medio Ganada",ROUND($G291/2*($F291-1),2),IF($I291="Perdida",IF($H291="Free Bet",0,-$G291),IF($I291="Medio Perdida",IF($H291="Free Bet",0,-$G291/2),IF($I291="Reembolso",IF($R291="","",ROUND($R291-$G291,2)),IF($I291="Anulada",0,"")))))))</f>
        <v>14.49</v>
      </c>
      <c r="K291" s="118">
        <f>IF(J291="","",2000+SUM(J$5:J291))</f>
        <v>2360.36</v>
      </c>
      <c r="L291" s="119">
        <f>IF(OR($I291="Ganada",$I291="Perdida",$I291="Medio Ganada",$I291="Medio Perdida"),IF($G291=0,"",J291/$G291),"")</f>
        <v>0.63</v>
      </c>
      <c r="M291" s="120">
        <f>IF(OR($A291="",$B291=""),"",COUNTIFS($A$5:A291,A291,$B$5:B291,B291))</f>
        <v>1</v>
      </c>
      <c r="N291" s="120">
        <f>IF($A291="","",COUNTA($A$5:$A291))</f>
        <v>287</v>
      </c>
      <c r="O291" s="120">
        <f>IF($A291="","",COUNTA($A$5:$A291))</f>
        <v>287</v>
      </c>
      <c r="P291" s="118">
        <f>IF($K291="","",MAX($K$5:K291))</f>
        <v>2403.3000000000002</v>
      </c>
      <c r="Q291" s="117">
        <f>IF($K291="","",K291-P291)</f>
        <v>-42.940000000000055</v>
      </c>
      <c r="R291" s="118"/>
      <c r="S291" s="2">
        <f>IF(OR($A291="",$F291=""),"",IF($I291="Pendiente","",ROUND($G291*($F291*0.609-1),2)))</f>
        <v>-0.17</v>
      </c>
      <c r="T291" s="2">
        <f>IF($A291="","",IFERROR(SUM($S$5:S291),0))</f>
        <v>384.78</v>
      </c>
    </row>
    <row r="292" spans="1:20" ht="15" customHeight="1">
      <c r="A292" s="110">
        <v>46211</v>
      </c>
      <c r="B292" s="148" t="s">
        <v>36</v>
      </c>
      <c r="C292" s="154" t="s">
        <v>538</v>
      </c>
      <c r="D292" s="113" t="s">
        <v>76</v>
      </c>
      <c r="E292" s="137" t="s">
        <v>489</v>
      </c>
      <c r="F292" s="115">
        <v>2.5</v>
      </c>
      <c r="G292" s="116">
        <v>12</v>
      </c>
      <c r="H292" s="120" t="s">
        <v>69</v>
      </c>
      <c r="I292" s="120" t="s">
        <v>70</v>
      </c>
      <c r="J292" s="117">
        <f>IF($A292="","",IF($I292="Ganada",ROUND($G292*($F292-1),2),IF($I292="Medio Ganada",ROUND($G292/2*($F292-1),2),IF($I292="Perdida",IF($H292="Free Bet",0,-$G292),IF($I292="Medio Perdida",IF($H292="Free Bet",0,-$G292/2),IF($I292="Reembolso",IF($R292="","",ROUND($R292-$G292,2)),IF($I292="Anulada",0,"")))))))</f>
        <v>18</v>
      </c>
      <c r="K292" s="118">
        <f>IF(J292="","",2000+SUM(J$5:J292))</f>
        <v>2378.36</v>
      </c>
      <c r="L292" s="119">
        <f>IF(OR($I292="Ganada",$I292="Perdida",$I292="Medio Ganada",$I292="Medio Perdida"),IF($G292=0,"",J292/$G292),"")</f>
        <v>1.5</v>
      </c>
      <c r="M292" s="120">
        <f>IF(OR($A292="",$B292=""),"",COUNTIFS($A$5:A292,A292,$B$5:B292,B292))</f>
        <v>2</v>
      </c>
      <c r="N292" s="120">
        <f>IF($A292="","",COUNTA($A$5:$A292))</f>
        <v>288</v>
      </c>
      <c r="O292" s="120">
        <f>IF($A292="","",COUNTA($A$5:$A292))</f>
        <v>288</v>
      </c>
      <c r="P292" s="118">
        <f>IF($K292="","",MAX($K$5:K292))</f>
        <v>2403.3000000000002</v>
      </c>
      <c r="Q292" s="117">
        <f>IF($K292="","",K292-P292)</f>
        <v>-24.940000000000055</v>
      </c>
      <c r="R292" s="118"/>
      <c r="S292" s="2">
        <f>IF(OR($A292="",$F292=""),"",IF($I292="Pendiente","",ROUND($G292*($F292*0.609-1),2)))</f>
        <v>6.27</v>
      </c>
      <c r="T292" s="2">
        <f>IF($A292="","",IFERROR(SUM($S$5:S292),0))</f>
        <v>391.04999999999995</v>
      </c>
    </row>
    <row r="293" spans="1:20" ht="22.5" customHeight="1">
      <c r="A293" s="110">
        <v>46211</v>
      </c>
      <c r="B293" s="148" t="s">
        <v>36</v>
      </c>
      <c r="C293" s="136" t="s">
        <v>539</v>
      </c>
      <c r="D293" s="113" t="s">
        <v>67</v>
      </c>
      <c r="E293" s="137" t="s">
        <v>540</v>
      </c>
      <c r="F293" s="115">
        <v>2.17</v>
      </c>
      <c r="G293" s="116">
        <v>17</v>
      </c>
      <c r="H293" s="120" t="s">
        <v>69</v>
      </c>
      <c r="I293" s="120" t="s">
        <v>75</v>
      </c>
      <c r="J293" s="117">
        <f>IF($A293="","",IF($I293="Ganada",ROUND($G293*($F293-1),2),IF($I293="Medio Ganada",ROUND($G293/2*($F293-1),2),IF($I293="Perdida",IF($H293="Free Bet",0,-$G293),IF($I293="Medio Perdida",IF($H293="Free Bet",0,-$G293/2),IF($I293="Reembolso",IF($R293="","",ROUND($R293-$G293,2)),IF($I293="Anulada",0,"")))))))</f>
        <v>-17</v>
      </c>
      <c r="K293" s="118">
        <f>IF(J293="","",2000+SUM(J$5:J293))</f>
        <v>2361.36</v>
      </c>
      <c r="L293" s="119">
        <f>IF(OR($I293="Ganada",$I293="Perdida",$I293="Medio Ganada",$I293="Medio Perdida"),IF($G293=0,"",J293/$G293),"")</f>
        <v>-1</v>
      </c>
      <c r="M293" s="120">
        <f>IF(OR($A293="",$B293=""),"",COUNTIFS($A$5:A293,A293,$B$5:B293,B293))</f>
        <v>3</v>
      </c>
      <c r="N293" s="120">
        <f>IF($A293="","",COUNTA($A$5:$A293))</f>
        <v>289</v>
      </c>
      <c r="O293" s="120">
        <f>IF($A293="","",COUNTA($A$5:$A293))</f>
        <v>289</v>
      </c>
      <c r="P293" s="118">
        <f>IF($K293="","",MAX($K$5:K293))</f>
        <v>2403.3000000000002</v>
      </c>
      <c r="Q293" s="117">
        <f>IF($K293="","",K293-P293)</f>
        <v>-41.940000000000055</v>
      </c>
      <c r="R293" s="118"/>
      <c r="S293" s="2">
        <f>IF(OR($A293="",$F293=""),"",IF($I293="Pendiente","",ROUND($G293*($F293*0.609-1),2)))</f>
        <v>5.47</v>
      </c>
      <c r="T293" s="2">
        <f>IF($A293="","",IFERROR(SUM($S$5:S293),0))</f>
        <v>396.52</v>
      </c>
    </row>
    <row r="294" spans="1:20" ht="22.5" customHeight="1">
      <c r="A294" s="110">
        <v>46211</v>
      </c>
      <c r="B294" s="148" t="s">
        <v>36</v>
      </c>
      <c r="C294" s="133" t="s">
        <v>541</v>
      </c>
      <c r="D294" s="113" t="s">
        <v>95</v>
      </c>
      <c r="E294" s="138" t="s">
        <v>542</v>
      </c>
      <c r="F294" s="115">
        <v>2.48</v>
      </c>
      <c r="G294" s="116">
        <v>12</v>
      </c>
      <c r="H294" s="120" t="s">
        <v>69</v>
      </c>
      <c r="I294" s="120" t="s">
        <v>70</v>
      </c>
      <c r="J294" s="117">
        <f>IF($A294="","",IF($I294="Ganada",ROUND($G294*($F294-1),2),IF($I294="Medio Ganada",ROUND($G294/2*($F294-1),2),IF($I294="Perdida",IF($H294="Free Bet",0,-$G294),IF($I294="Medio Perdida",IF($H294="Free Bet",0,-$G294/2),IF($I294="Reembolso",IF($R294="","",ROUND($R294-$G294,2)),IF($I294="Anulada",0,"")))))))</f>
        <v>17.760000000000002</v>
      </c>
      <c r="K294" s="118">
        <f>IF(J294="","",2000+SUM(J$5:J294))</f>
        <v>2379.12</v>
      </c>
      <c r="L294" s="119">
        <f>IF(OR($I294="Ganada",$I294="Perdida",$I294="Medio Ganada",$I294="Medio Perdida"),IF($G294=0,"",J294/$G294),"")</f>
        <v>1.4800000000000002</v>
      </c>
      <c r="M294" s="120">
        <f>IF(OR($A294="",$B294=""),"",COUNTIFS($A$5:A294,A294,$B$5:B294,B294))</f>
        <v>4</v>
      </c>
      <c r="N294" s="120">
        <f>IF($A294="","",COUNTA($A$5:$A294))</f>
        <v>290</v>
      </c>
      <c r="O294" s="120">
        <f>IF($A294="","",COUNTA($A$5:$A294))</f>
        <v>290</v>
      </c>
      <c r="P294" s="118">
        <f>IF($K294="","",MAX($K$5:K294))</f>
        <v>2403.3000000000002</v>
      </c>
      <c r="Q294" s="117">
        <f>IF($K294="","",K294-P294)</f>
        <v>-24.180000000000291</v>
      </c>
      <c r="R294" s="118"/>
      <c r="S294" s="2">
        <f>IF(OR($A294="",$F294=""),"",IF($I294="Pendiente","",ROUND($G294*($F294*0.609-1),2)))</f>
        <v>6.12</v>
      </c>
      <c r="T294" s="2">
        <f>IF($A294="","",IFERROR(SUM($S$5:S294),0))</f>
        <v>402.64</v>
      </c>
    </row>
    <row r="295" spans="1:20" ht="15" customHeight="1">
      <c r="A295" s="110">
        <v>46211</v>
      </c>
      <c r="B295" s="148" t="s">
        <v>36</v>
      </c>
      <c r="C295" s="133" t="s">
        <v>543</v>
      </c>
      <c r="D295" s="113" t="s">
        <v>67</v>
      </c>
      <c r="E295" s="169" t="s">
        <v>544</v>
      </c>
      <c r="F295" s="115">
        <v>2.5499999999999998</v>
      </c>
      <c r="G295" s="116">
        <v>12</v>
      </c>
      <c r="H295" s="120" t="s">
        <v>69</v>
      </c>
      <c r="I295" s="120" t="s">
        <v>70</v>
      </c>
      <c r="J295" s="117">
        <f>IF($A295="","",IF($I295="Ganada",ROUND($G295*($F295-1),2),IF($I295="Medio Ganada",ROUND($G295/2*($F295-1),2),IF($I295="Perdida",IF($H295="Free Bet",0,-$G295),IF($I295="Medio Perdida",IF($H295="Free Bet",0,-$G295/2),IF($I295="Reembolso",IF($R295="","",ROUND($R295-$G295,2)),IF($I295="Anulada",0,"")))))))</f>
        <v>18.600000000000001</v>
      </c>
      <c r="K295" s="118">
        <f>IF(J295="","",2000+SUM(J$5:J295))</f>
        <v>2397.7200000000003</v>
      </c>
      <c r="L295" s="119">
        <f>IF(OR($I295="Ganada",$I295="Perdida",$I295="Medio Ganada",$I295="Medio Perdida"),IF($G295=0,"",J295/$G295),"")</f>
        <v>1.55</v>
      </c>
      <c r="M295" s="120">
        <f>IF(OR($A295="",$B295=""),"",COUNTIFS($A$5:A295,A295,$B$5:B295,B295))</f>
        <v>5</v>
      </c>
      <c r="N295" s="120">
        <f>IF($A295="","",COUNTA($A$5:$A295))</f>
        <v>291</v>
      </c>
      <c r="O295" s="120">
        <f>IF($A295="","",COUNTA($A$5:$A295))</f>
        <v>291</v>
      </c>
      <c r="P295" s="118">
        <f>IF($K295="","",MAX($K$5:K295))</f>
        <v>2403.3000000000002</v>
      </c>
      <c r="Q295" s="117">
        <f>IF($K295="","",K295-P295)</f>
        <v>-5.5799999999999272</v>
      </c>
      <c r="R295" s="118"/>
      <c r="S295" s="2">
        <f>IF(OR($A295="",$F295=""),"",IF($I295="Pendiente","",ROUND($G295*($F295*0.609-1),2)))</f>
        <v>6.64</v>
      </c>
      <c r="T295" s="2">
        <f>IF($A295="","",IFERROR(SUM($S$5:S295),0))</f>
        <v>409.28</v>
      </c>
    </row>
    <row r="296" spans="1:20" ht="15" customHeight="1">
      <c r="A296" s="110">
        <v>46211</v>
      </c>
      <c r="B296" s="148" t="s">
        <v>36</v>
      </c>
      <c r="C296" s="133" t="s">
        <v>545</v>
      </c>
      <c r="D296" s="113" t="s">
        <v>76</v>
      </c>
      <c r="E296" s="170" t="s">
        <v>546</v>
      </c>
      <c r="F296" s="115">
        <v>2.15</v>
      </c>
      <c r="G296" s="116">
        <v>17</v>
      </c>
      <c r="H296" s="120" t="s">
        <v>69</v>
      </c>
      <c r="I296" s="120" t="s">
        <v>70</v>
      </c>
      <c r="J296" s="117">
        <f>IF($A296="","",IF($I296="Ganada",ROUND($G296*($F296-1),2),IF($I296="Medio Ganada",ROUND($G296/2*($F296-1),2),IF($I296="Perdida",IF($H296="Free Bet",0,-$G296),IF($I296="Medio Perdida",IF($H296="Free Bet",0,-$G296/2),IF($I296="Reembolso",IF($R296="","",ROUND($R296-$G296,2)),IF($I296="Anulada",0,"")))))))</f>
        <v>19.55</v>
      </c>
      <c r="K296" s="118">
        <f>IF(J296="","",2000+SUM(J$5:J296))</f>
        <v>2417.27</v>
      </c>
      <c r="L296" s="119">
        <f>IF(OR($I296="Ganada",$I296="Perdida",$I296="Medio Ganada",$I296="Medio Perdida"),IF($G296=0,"",J296/$G296),"")</f>
        <v>1.1500000000000001</v>
      </c>
      <c r="M296" s="120">
        <f>IF(OR($A296="",$B296=""),"",COUNTIFS($A$5:A296,A296,$B$5:B296,B296))</f>
        <v>6</v>
      </c>
      <c r="N296" s="120">
        <f>IF($A296="","",COUNTA($A$5:$A296))</f>
        <v>292</v>
      </c>
      <c r="O296" s="120">
        <f>IF($A296="","",COUNTA($A$5:$A296))</f>
        <v>292</v>
      </c>
      <c r="P296" s="118">
        <f>IF($K296="","",MAX($K$5:K296))</f>
        <v>2417.27</v>
      </c>
      <c r="Q296" s="117">
        <f>IF($K296="","",K296-P296)</f>
        <v>0</v>
      </c>
      <c r="R296" s="118"/>
      <c r="S296" s="2">
        <f>IF(OR($A296="",$F296=""),"",IF($I296="Pendiente","",ROUND($G296*($F296*0.609-1),2)))</f>
        <v>5.26</v>
      </c>
      <c r="T296" s="2">
        <f>IF($A296="","",IFERROR(SUM($S$5:S296),0))</f>
        <v>414.53999999999996</v>
      </c>
    </row>
    <row r="297" spans="1:20" ht="22.5" customHeight="1">
      <c r="A297" s="110">
        <v>46211</v>
      </c>
      <c r="B297" s="148" t="s">
        <v>36</v>
      </c>
      <c r="C297" s="136" t="s">
        <v>547</v>
      </c>
      <c r="D297" s="113" t="s">
        <v>76</v>
      </c>
      <c r="E297" s="169">
        <v>2</v>
      </c>
      <c r="F297" s="115">
        <v>2.2000000000000002</v>
      </c>
      <c r="G297" s="116">
        <v>17</v>
      </c>
      <c r="H297" s="120" t="s">
        <v>69</v>
      </c>
      <c r="I297" s="120" t="s">
        <v>70</v>
      </c>
      <c r="J297" s="117">
        <f>IF($A297="","",IF($I297="Ganada",ROUND($G297*($F297-1),2),IF($I297="Medio Ganada",ROUND($G297/2*($F297-1),2),IF($I297="Perdida",IF($H297="Free Bet",0,-$G297),IF($I297="Medio Perdida",IF($H297="Free Bet",0,-$G297/2),IF($I297="Reembolso",IF($R297="","",ROUND($R297-$G297,2)),IF($I297="Anulada",0,"")))))))</f>
        <v>20.399999999999999</v>
      </c>
      <c r="K297" s="118">
        <f>IF(J297="","",2000+SUM(J$5:J297))</f>
        <v>2437.67</v>
      </c>
      <c r="L297" s="119">
        <f>IF(OR($I297="Ganada",$I297="Perdida",$I297="Medio Ganada",$I297="Medio Perdida"),IF($G297=0,"",J297/$G297),"")</f>
        <v>1.2</v>
      </c>
      <c r="M297" s="120">
        <f>IF(OR($A297="",$B297=""),"",COUNTIFS($A$5:A297,A297,$B$5:B297,B297))</f>
        <v>7</v>
      </c>
      <c r="N297" s="120">
        <f>IF($A297="","",COUNTA($A$5:$A297))</f>
        <v>293</v>
      </c>
      <c r="O297" s="120">
        <f>IF($A297="","",COUNTA($A$5:$A297))</f>
        <v>293</v>
      </c>
      <c r="P297" s="118">
        <f>IF($K297="","",MAX($K$5:K297))</f>
        <v>2437.67</v>
      </c>
      <c r="Q297" s="117">
        <f>IF($K297="","",K297-P297)</f>
        <v>0</v>
      </c>
      <c r="R297" s="118"/>
      <c r="S297" s="2">
        <f>IF(OR($A297="",$F297=""),"",IF($I297="Pendiente","",ROUND($G297*($F297*0.609-1),2)))</f>
        <v>5.78</v>
      </c>
      <c r="T297" s="2">
        <f>IF($A297="","",IFERROR(SUM($S$5:S297),0))</f>
        <v>420.31999999999994</v>
      </c>
    </row>
    <row r="298" spans="1:20" ht="22.5" customHeight="1">
      <c r="A298" s="110">
        <v>46211</v>
      </c>
      <c r="B298" s="152" t="s">
        <v>32</v>
      </c>
      <c r="C298" s="136" t="s">
        <v>548</v>
      </c>
      <c r="D298" s="113" t="s">
        <v>95</v>
      </c>
      <c r="E298" s="170" t="s">
        <v>549</v>
      </c>
      <c r="F298" s="115">
        <v>2.2000000000000002</v>
      </c>
      <c r="G298" s="116">
        <v>17</v>
      </c>
      <c r="H298" s="120" t="s">
        <v>69</v>
      </c>
      <c r="I298" s="120" t="s">
        <v>70</v>
      </c>
      <c r="J298" s="117">
        <f>IF($A298="","",IF($I298="Ganada",ROUND($G298*($F298-1),2),IF($I298="Medio Ganada",ROUND($G298/2*($F298-1),2),IF($I298="Perdida",IF($H298="Free Bet",0,-$G298),IF($I298="Medio Perdida",IF($H298="Free Bet",0,-$G298/2),IF($I298="Reembolso",IF($R298="","",ROUND($R298-$G298,2)),IF($I298="Anulada",0,"")))))))</f>
        <v>20.399999999999999</v>
      </c>
      <c r="K298" s="118">
        <f>IF(J298="","",2000+SUM(J$5:J298))</f>
        <v>2458.0700000000002</v>
      </c>
      <c r="L298" s="119">
        <f>IF(OR($I298="Ganada",$I298="Perdida",$I298="Medio Ganada",$I298="Medio Perdida"),IF($G298=0,"",J298/$G298),"")</f>
        <v>1.2</v>
      </c>
      <c r="M298" s="120">
        <f>IF(OR($A298="",$B298=""),"",COUNTIFS($A$5:A298,A298,$B$5:B298,B298))</f>
        <v>1</v>
      </c>
      <c r="N298" s="120">
        <f>IF($A298="","",COUNTA($A$5:$A298))</f>
        <v>294</v>
      </c>
      <c r="O298" s="120">
        <f>IF($A298="","",COUNTA($A$5:$A298))</f>
        <v>294</v>
      </c>
      <c r="P298" s="118">
        <f>IF($K298="","",MAX($K$5:K298))</f>
        <v>2458.0700000000002</v>
      </c>
      <c r="Q298" s="117">
        <f>IF($K298="","",K298-P298)</f>
        <v>0</v>
      </c>
      <c r="R298" s="118"/>
      <c r="S298" s="2">
        <f>IF(OR($A298="",$F298=""),"",IF($I298="Pendiente","",ROUND($G298*($F298*0.609-1),2)))</f>
        <v>5.78</v>
      </c>
      <c r="T298" s="2">
        <f>IF($A298="","",IFERROR(SUM($S$5:S298),0))</f>
        <v>426.09999999999991</v>
      </c>
    </row>
    <row r="299" spans="1:20" ht="24" customHeight="1">
      <c r="A299" s="110">
        <v>46211</v>
      </c>
      <c r="B299" s="152" t="s">
        <v>32</v>
      </c>
      <c r="C299" s="136" t="s">
        <v>550</v>
      </c>
      <c r="D299" s="113" t="s">
        <v>67</v>
      </c>
      <c r="E299" s="170" t="s">
        <v>551</v>
      </c>
      <c r="F299" s="115">
        <v>1.85</v>
      </c>
      <c r="G299" s="116">
        <v>17</v>
      </c>
      <c r="H299" s="120" t="s">
        <v>69</v>
      </c>
      <c r="I299" s="120" t="s">
        <v>70</v>
      </c>
      <c r="J299" s="117">
        <f>IF($A299="","",IF($I299="Ganada",ROUND($G299*($F299-1),2),IF($I299="Medio Ganada",ROUND($G299/2*($F299-1),2),IF($I299="Perdida",IF($H299="Free Bet",0,-$G299),IF($I299="Medio Perdida",IF($H299="Free Bet",0,-$G299/2),IF($I299="Reembolso",IF($R299="","",ROUND($R299-$G299,2)),IF($I299="Anulada",0,"")))))))</f>
        <v>14.45</v>
      </c>
      <c r="K299" s="118">
        <f>IF(J299="","",2000+SUM(J$5:J299))</f>
        <v>2472.52</v>
      </c>
      <c r="L299" s="119">
        <f>IF(OR($I299="Ganada",$I299="Perdida",$I299="Medio Ganada",$I299="Medio Perdida"),IF($G299=0,"",J299/$G299),"")</f>
        <v>0.85</v>
      </c>
      <c r="M299" s="120">
        <f>IF(OR($A299="",$B299=""),"",COUNTIFS($A$5:A299,A299,$B$5:B299,B299))</f>
        <v>2</v>
      </c>
      <c r="N299" s="120">
        <f>IF($A299="","",COUNTA($A$5:$A299))</f>
        <v>295</v>
      </c>
      <c r="O299" s="120">
        <f>IF($A299="","",COUNTA($A$5:$A299))</f>
        <v>295</v>
      </c>
      <c r="P299" s="118">
        <f>IF($K299="","",MAX($K$5:K299))</f>
        <v>2472.52</v>
      </c>
      <c r="Q299" s="117">
        <f>IF($K299="","",K299-P299)</f>
        <v>0</v>
      </c>
      <c r="R299" s="118"/>
      <c r="S299" s="2">
        <f>IF(OR($A299="",$F299=""),"",IF($I299="Pendiente","",ROUND($G299*($F299*0.609-1),2)))</f>
        <v>2.15</v>
      </c>
      <c r="T299" s="2">
        <f>IF($A299="","",IFERROR(SUM($S$5:S299),0))</f>
        <v>428.24999999999989</v>
      </c>
    </row>
    <row r="300" spans="1:20" ht="24" customHeight="1">
      <c r="A300" s="110">
        <v>46211</v>
      </c>
      <c r="B300" s="152" t="s">
        <v>32</v>
      </c>
      <c r="C300" s="136" t="s">
        <v>552</v>
      </c>
      <c r="D300" s="113" t="s">
        <v>76</v>
      </c>
      <c r="E300" s="170" t="s">
        <v>553</v>
      </c>
      <c r="F300" s="115">
        <v>1.5329999999999999</v>
      </c>
      <c r="G300" s="116">
        <v>23</v>
      </c>
      <c r="H300" s="120" t="s">
        <v>69</v>
      </c>
      <c r="I300" s="120" t="s">
        <v>88</v>
      </c>
      <c r="J300" s="117">
        <f>IF($A300="","",IF($I300="Ganada",ROUND($G300*($F300-1),2),IF($I300="Medio Ganada",ROUND($G300/2*($F300-1),2),IF($I300="Perdida",IF($H300="Free Bet",0,-$G300),IF($I300="Medio Perdida",IF($H300="Free Bet",0,-$G300/2),IF($I300="Reembolso",IF($R300="","",ROUND($R300-$G300,2)),IF($I300="Anulada",0,"")))))))</f>
        <v>0</v>
      </c>
      <c r="K300" s="118">
        <f>IF(J300="","",2000+SUM(J$5:J300))</f>
        <v>2472.52</v>
      </c>
      <c r="L300" s="119" t="str">
        <f>IF(OR($I300="Ganada",$I300="Perdida",$I300="Medio Ganada",$I300="Medio Perdida"),IF($G300=0,"",J300/$G300),"")</f>
        <v/>
      </c>
      <c r="M300" s="120">
        <f>IF(OR($A300="",$B300=""),"",COUNTIFS($A$5:A300,A300,$B$5:B300,B300))</f>
        <v>3</v>
      </c>
      <c r="N300" s="120">
        <f>IF($A300="","",COUNTA($A$5:$A300))</f>
        <v>296</v>
      </c>
      <c r="O300" s="120">
        <f>IF($A300="","",COUNTA($A$5:$A300))</f>
        <v>296</v>
      </c>
      <c r="P300" s="118">
        <f>IF($K300="","",MAX($K$5:K300))</f>
        <v>2472.52</v>
      </c>
      <c r="Q300" s="117">
        <f>IF($K300="","",K300-P300)</f>
        <v>0</v>
      </c>
      <c r="R300" s="118"/>
      <c r="S300" s="2">
        <f>IF(OR($A300="",$F300=""),"",IF($I300="Pendiente","",ROUND($G300*($F300*0.609-1),2)))</f>
        <v>-1.53</v>
      </c>
      <c r="T300" s="2">
        <f>IF($A300="","",IFERROR(SUM($S$5:S300),0))</f>
        <v>426.71999999999991</v>
      </c>
    </row>
    <row r="301" spans="1:20" ht="24" customHeight="1">
      <c r="A301" s="110">
        <v>46211</v>
      </c>
      <c r="B301" s="124" t="s">
        <v>28</v>
      </c>
      <c r="C301" s="133" t="s">
        <v>554</v>
      </c>
      <c r="D301" s="113" t="s">
        <v>67</v>
      </c>
      <c r="E301" s="170" t="s">
        <v>555</v>
      </c>
      <c r="F301" s="115">
        <v>2</v>
      </c>
      <c r="G301" s="116">
        <v>17</v>
      </c>
      <c r="H301" s="120" t="s">
        <v>69</v>
      </c>
      <c r="I301" s="120" t="s">
        <v>70</v>
      </c>
      <c r="J301" s="117">
        <f>IF($A301="","",IF($I301="Ganada",ROUND($G301*($F301-1),2),IF($I301="Medio Ganada",ROUND($G301/2*($F301-1),2),IF($I301="Perdida",IF($H301="Free Bet",0,-$G301),IF($I301="Medio Perdida",IF($H301="Free Bet",0,-$G301/2),IF($I301="Reembolso",IF($R301="","",ROUND($R301-$G301,2)),IF($I301="Anulada",0,"")))))))</f>
        <v>17</v>
      </c>
      <c r="K301" s="118">
        <f>IF(J301="","",2000+SUM(J$5:J301))</f>
        <v>2489.52</v>
      </c>
      <c r="L301" s="119">
        <f>IF(OR($I301="Ganada",$I301="Perdida",$I301="Medio Ganada",$I301="Medio Perdida"),IF($G301=0,"",J301/$G301),"")</f>
        <v>1</v>
      </c>
      <c r="M301" s="120">
        <f>IF(OR($A301="",$B301=""),"",COUNTIFS($A$5:A301,A301,$B$5:B301,B301))</f>
        <v>2</v>
      </c>
      <c r="N301" s="120">
        <f>IF($A301="","",COUNTA($A$5:$A301))</f>
        <v>297</v>
      </c>
      <c r="O301" s="120">
        <f>IF($A301="","",COUNTA($A$5:$A301))</f>
        <v>297</v>
      </c>
      <c r="P301" s="118">
        <f>IF($K301="","",MAX($K$5:K301))</f>
        <v>2489.52</v>
      </c>
      <c r="Q301" s="117">
        <f>IF($K301="","",K301-P301)</f>
        <v>0</v>
      </c>
      <c r="R301" s="118"/>
      <c r="S301" s="2">
        <f>IF(OR($A301="",$F301=""),"",IF($I301="Pendiente","",ROUND($G301*($F301*0.609-1),2)))</f>
        <v>3.71</v>
      </c>
      <c r="T301" s="2">
        <f>IF($A301="","",IFERROR(SUM($S$5:S301),0))</f>
        <v>430.42999999999989</v>
      </c>
    </row>
    <row r="302" spans="1:20" ht="22.5" customHeight="1">
      <c r="A302" s="110">
        <v>46211</v>
      </c>
      <c r="B302" s="111" t="s">
        <v>30</v>
      </c>
      <c r="C302" s="136" t="s">
        <v>556</v>
      </c>
      <c r="D302" s="113" t="s">
        <v>76</v>
      </c>
      <c r="E302" s="170" t="s">
        <v>423</v>
      </c>
      <c r="F302" s="115">
        <v>1.58</v>
      </c>
      <c r="G302" s="116">
        <v>25</v>
      </c>
      <c r="H302" s="120" t="s">
        <v>69</v>
      </c>
      <c r="I302" s="120" t="s">
        <v>70</v>
      </c>
      <c r="J302" s="117">
        <f>IF($A302="","",IF($I302="Ganada",ROUND($G302*($F302-1),2),IF($I302="Medio Ganada",ROUND($G302/2*($F302-1),2),IF($I302="Perdida",IF($H302="Free Bet",0,-$G302),IF($I302="Medio Perdida",IF($H302="Free Bet",0,-$G302/2),IF($I302="Reembolso",IF($R302="","",ROUND($R302-$G302,2)),IF($I302="Anulada",0,"")))))))</f>
        <v>14.5</v>
      </c>
      <c r="K302" s="118">
        <f>IF(J302="","",2000+SUM(J$5:J302))</f>
        <v>2504.02</v>
      </c>
      <c r="L302" s="119">
        <f>IF(OR($I302="Ganada",$I302="Perdida",$I302="Medio Ganada",$I302="Medio Perdida"),IF($G302=0,"",J302/$G302),"")</f>
        <v>0.57999999999999996</v>
      </c>
      <c r="M302" s="120">
        <f>IF(OR($A302="",$B302=""),"",COUNTIFS($A$5:A302,A302,$B$5:B302,B302))</f>
        <v>1</v>
      </c>
      <c r="N302" s="120">
        <f>IF($A302="","",COUNTA($A$5:$A302))</f>
        <v>298</v>
      </c>
      <c r="O302" s="120">
        <f>IF($A302="","",COUNTA($A$5:$A302))</f>
        <v>298</v>
      </c>
      <c r="P302" s="118">
        <f>IF($K302="","",MAX($K$5:K302))</f>
        <v>2504.02</v>
      </c>
      <c r="Q302" s="117">
        <f>IF($K302="","",K302-P302)</f>
        <v>0</v>
      </c>
      <c r="R302" s="118"/>
      <c r="S302" s="2">
        <f>IF(OR($A302="",$F302=""),"",IF($I302="Pendiente","",ROUND($G302*($F302*0.609-1),2)))</f>
        <v>-0.94</v>
      </c>
      <c r="T302" s="2">
        <f>IF($A302="","",IFERROR(SUM($S$5:S302),0))</f>
        <v>429.4899999999999</v>
      </c>
    </row>
    <row r="303" spans="1:20" ht="24" customHeight="1">
      <c r="A303" s="110">
        <v>46212</v>
      </c>
      <c r="B303" s="124" t="s">
        <v>28</v>
      </c>
      <c r="C303" s="167" t="s">
        <v>557</v>
      </c>
      <c r="D303" s="113" t="s">
        <v>95</v>
      </c>
      <c r="E303" s="171" t="s">
        <v>558</v>
      </c>
      <c r="F303" s="115">
        <v>1.84</v>
      </c>
      <c r="G303" s="116">
        <v>25</v>
      </c>
      <c r="H303" s="120" t="s">
        <v>69</v>
      </c>
      <c r="I303" s="120" t="s">
        <v>70</v>
      </c>
      <c r="J303" s="117">
        <f>IF($A303="","",IF($I303="Ganada",ROUND($G303*($F303-1),2),IF($I303="Medio Ganada",ROUND($G303/2*($F303-1),2),IF($I303="Perdida",IF($H303="Free Bet",0,-$G303),IF($I303="Medio Perdida",IF($H303="Free Bet",0,-$G303/2),IF($I303="Reembolso",IF($R303="","",ROUND($R303-$G303,2)),IF($I303="Anulada",0,"")))))))</f>
        <v>21</v>
      </c>
      <c r="K303" s="118">
        <f>IF(J303="","",2000+SUM(J$5:J303))</f>
        <v>2525.02</v>
      </c>
      <c r="L303" s="119">
        <f>IF(OR($I303="Ganada",$I303="Perdida",$I303="Medio Ganada",$I303="Medio Perdida"),IF($G303=0,"",J303/$G303),"")</f>
        <v>0.84</v>
      </c>
      <c r="M303" s="120">
        <f>IF(OR($A303="",$B303=""),"",COUNTIFS($A$5:A303,A303,$B$5:B303,B303))</f>
        <v>1</v>
      </c>
      <c r="N303" s="120">
        <f>IF($A303="","",COUNTA($A$5:$A303))</f>
        <v>299</v>
      </c>
      <c r="O303" s="120">
        <f>IF($A303="","",COUNTA($A$5:$A303))</f>
        <v>299</v>
      </c>
      <c r="P303" s="118">
        <f>IF($K303="","",MAX($K$5:K303))</f>
        <v>2525.02</v>
      </c>
      <c r="Q303" s="117">
        <f>IF($K303="","",K303-P303)</f>
        <v>0</v>
      </c>
      <c r="R303" s="118"/>
      <c r="S303" s="2">
        <f>IF(OR($A303="",$F303=""),"",IF($I303="Pendiente","",ROUND($G303*($F303*0.609-1),2)))</f>
        <v>3.01</v>
      </c>
      <c r="T303" s="2">
        <f>IF($A303="","",IFERROR(SUM($S$5:S303),0))</f>
        <v>432.49999999999989</v>
      </c>
    </row>
    <row r="304" spans="1:20" ht="24" customHeight="1">
      <c r="A304" s="110">
        <v>46212</v>
      </c>
      <c r="B304" s="152" t="s">
        <v>32</v>
      </c>
      <c r="C304" s="167" t="s">
        <v>559</v>
      </c>
      <c r="D304" s="113" t="s">
        <v>76</v>
      </c>
      <c r="E304" s="171" t="s">
        <v>560</v>
      </c>
      <c r="F304" s="115">
        <v>1.9</v>
      </c>
      <c r="G304" s="116">
        <v>18</v>
      </c>
      <c r="H304" s="120" t="s">
        <v>69</v>
      </c>
      <c r="I304" s="120" t="s">
        <v>70</v>
      </c>
      <c r="J304" s="117">
        <f>IF($A304="","",IF($I304="Ganada",ROUND($G304*($F304-1),2),IF($I304="Medio Ganada",ROUND($G304/2*($F304-1),2),IF($I304="Perdida",IF($H304="Free Bet",0,-$G304),IF($I304="Medio Perdida",IF($H304="Free Bet",0,-$G304/2),IF($I304="Reembolso",IF($R304="","",ROUND($R304-$G304,2)),IF($I304="Anulada",0,"")))))))</f>
        <v>16.2</v>
      </c>
      <c r="K304" s="118">
        <f>IF(J304="","",2000+SUM(J$5:J304))</f>
        <v>2541.2200000000003</v>
      </c>
      <c r="L304" s="119">
        <f>IF(OR($I304="Ganada",$I304="Perdida",$I304="Medio Ganada",$I304="Medio Perdida"),IF($G304=0,"",J304/$G304),"")</f>
        <v>0.89999999999999991</v>
      </c>
      <c r="M304" s="120">
        <f>IF(OR($A304="",$B304=""),"",COUNTIFS($A$5:A304,A304,$B$5:B304,B304))</f>
        <v>1</v>
      </c>
      <c r="N304" s="120">
        <f>IF($A304="","",COUNTA($A$5:$A304))</f>
        <v>300</v>
      </c>
      <c r="O304" s="120">
        <f>IF($A304="","",COUNTA($A$5:$A304))</f>
        <v>300</v>
      </c>
      <c r="P304" s="118">
        <f>IF($K304="","",MAX($K$5:K304))</f>
        <v>2541.2200000000003</v>
      </c>
      <c r="Q304" s="117">
        <f>IF($K304="","",K304-P304)</f>
        <v>0</v>
      </c>
      <c r="R304" s="118"/>
      <c r="S304" s="2">
        <f>IF(OR($A304="",$F304=""),"",IF($I304="Pendiente","",ROUND($G304*($F304*0.609-1),2)))</f>
        <v>2.83</v>
      </c>
      <c r="T304" s="2">
        <f>IF($A304="","",IFERROR(SUM($S$5:S304),0))</f>
        <v>435.32999999999987</v>
      </c>
    </row>
    <row r="305" spans="1:20" ht="30.75" customHeight="1">
      <c r="A305" s="110">
        <v>46212</v>
      </c>
      <c r="B305" s="124" t="s">
        <v>28</v>
      </c>
      <c r="C305" s="156" t="s">
        <v>561</v>
      </c>
      <c r="D305" s="113" t="s">
        <v>95</v>
      </c>
      <c r="E305" s="158" t="s">
        <v>562</v>
      </c>
      <c r="F305" s="115">
        <v>1.74</v>
      </c>
      <c r="G305" s="116">
        <v>25</v>
      </c>
      <c r="H305" s="120" t="s">
        <v>69</v>
      </c>
      <c r="I305" s="120" t="s">
        <v>70</v>
      </c>
      <c r="J305" s="117">
        <f>IF($A305="","",IF($I305="Ganada",ROUND($G305*($F305-1),2),IF($I305="Medio Ganada",ROUND($G305/2*($F305-1),2),IF($I305="Perdida",IF($H305="Free Bet",0,-$G305),IF($I305="Medio Perdida",IF($H305="Free Bet",0,-$G305/2),IF($I305="Reembolso",IF($R305="","",ROUND($R305-$G305,2)),IF($I305="Anulada",0,"")))))))</f>
        <v>18.5</v>
      </c>
      <c r="K305" s="118">
        <f>IF(J305="","",2000+SUM(J$5:J305))</f>
        <v>2559.7200000000003</v>
      </c>
      <c r="L305" s="119">
        <f>IF(OR($I305="Ganada",$I305="Perdida",$I305="Medio Ganada",$I305="Medio Perdida"),IF($G305=0,"",J305/$G305),"")</f>
        <v>0.74</v>
      </c>
      <c r="M305" s="120">
        <f>IF(OR($A305="",$B305=""),"",COUNTIFS($A$5:A305,A305,$B$5:B305,B305))</f>
        <v>2</v>
      </c>
      <c r="N305" s="120">
        <f>IF($A305="","",COUNTA($A$5:$A305))</f>
        <v>301</v>
      </c>
      <c r="O305" s="120">
        <f>IF($A305="","",COUNTA($A$5:$A305))</f>
        <v>301</v>
      </c>
      <c r="P305" s="118">
        <f>IF($K305="","",MAX($K$5:K305))</f>
        <v>2559.7200000000003</v>
      </c>
      <c r="Q305" s="117">
        <f>IF($K305="","",K305-P305)</f>
        <v>0</v>
      </c>
      <c r="R305" s="2"/>
      <c r="S305" s="2">
        <f>IF(OR($A305="",$F305=""),"",IF($I305="Pendiente","",ROUND($G305*($F305*0.609-1),2)))</f>
        <v>1.49</v>
      </c>
      <c r="T305" s="2">
        <f>IF($A305="","",IFERROR(SUM($S$5:S305),0))</f>
        <v>436.81999999999988</v>
      </c>
    </row>
    <row r="306" spans="1:20" ht="15" customHeight="1">
      <c r="A306" s="110">
        <v>46212</v>
      </c>
      <c r="B306" s="124" t="s">
        <v>28</v>
      </c>
      <c r="C306" s="156" t="s">
        <v>563</v>
      </c>
      <c r="D306" s="113" t="s">
        <v>76</v>
      </c>
      <c r="E306" s="106" t="s">
        <v>177</v>
      </c>
      <c r="F306" s="115">
        <v>1.78</v>
      </c>
      <c r="G306" s="116">
        <v>25</v>
      </c>
      <c r="H306" s="120" t="s">
        <v>69</v>
      </c>
      <c r="I306" s="120" t="s">
        <v>70</v>
      </c>
      <c r="J306" s="117">
        <f>IF($A306="","",IF($I306="Ganada",ROUND($G306*($F306-1),2),IF($I306="Medio Ganada",ROUND($G306/2*($F306-1),2),IF($I306="Perdida",IF($H306="Free Bet",0,-$G306),IF($I306="Medio Perdida",IF($H306="Free Bet",0,-$G306/2),IF($I306="Reembolso",IF($R306="","",ROUND($R306-$G306,2)),IF($I306="Anulada",0,"")))))))</f>
        <v>19.5</v>
      </c>
      <c r="K306" s="118">
        <f>IF(J306="","",2000+SUM(J$5:J306))</f>
        <v>2579.2200000000003</v>
      </c>
      <c r="L306" s="119">
        <f>IF(OR($I306="Ganada",$I306="Perdida",$I306="Medio Ganada",$I306="Medio Perdida"),IF($G306=0,"",J306/$G306),"")</f>
        <v>0.78</v>
      </c>
      <c r="M306" s="120">
        <f>IF(OR($A306="",$B306=""),"",COUNTIFS($A$5:A306,A306,$B$5:B306,B306))</f>
        <v>3</v>
      </c>
      <c r="N306" s="120">
        <f>IF($A306="","",COUNTA($A$5:$A306))</f>
        <v>302</v>
      </c>
      <c r="O306" s="120">
        <f>IF($A306="","",COUNTA($A$5:$A306))</f>
        <v>302</v>
      </c>
      <c r="P306" s="118">
        <f>IF($K306="","",MAX($K$5:K306))</f>
        <v>2579.2200000000003</v>
      </c>
      <c r="Q306" s="117">
        <f>IF($K306="","",K306-P306)</f>
        <v>0</v>
      </c>
      <c r="R306" s="2"/>
      <c r="S306" s="2">
        <f>IF(OR($A306="",$F306=""),"",IF($I306="Pendiente","",ROUND($G306*($F306*0.609-1),2)))</f>
        <v>2.1</v>
      </c>
      <c r="T306" s="2">
        <f>IF($A306="","",IFERROR(SUM($S$5:S306),0))</f>
        <v>438.9199999999999</v>
      </c>
    </row>
    <row r="307" spans="1:20" ht="30.75" customHeight="1">
      <c r="A307" s="110">
        <v>46212</v>
      </c>
      <c r="B307" s="111" t="s">
        <v>30</v>
      </c>
      <c r="C307" s="156" t="s">
        <v>564</v>
      </c>
      <c r="D307" s="113" t="s">
        <v>76</v>
      </c>
      <c r="E307" s="158" t="s">
        <v>167</v>
      </c>
      <c r="F307" s="115">
        <v>1.74</v>
      </c>
      <c r="G307" s="116">
        <v>25</v>
      </c>
      <c r="H307" s="120" t="s">
        <v>69</v>
      </c>
      <c r="I307" s="120" t="s">
        <v>70</v>
      </c>
      <c r="J307" s="117">
        <f>IF($A307="","",IF($I307="Ganada",ROUND($G307*($F307-1),2),IF($I307="Medio Ganada",ROUND($G307/2*($F307-1),2),IF($I307="Perdida",IF($H307="Free Bet",0,-$G307),IF($I307="Medio Perdida",IF($H307="Free Bet",0,-$G307/2),IF($I307="Reembolso",IF($R307="","",ROUND($R307-$G307,2)),IF($I307="Anulada",0,"")))))))</f>
        <v>18.5</v>
      </c>
      <c r="K307" s="118">
        <f>IF(J307="","",2000+SUM(J$5:J307))</f>
        <v>2597.7200000000003</v>
      </c>
      <c r="L307" s="119">
        <f>IF(OR($I307="Ganada",$I307="Perdida",$I307="Medio Ganada",$I307="Medio Perdida"),IF($G307=0,"",J307/$G307),"")</f>
        <v>0.74</v>
      </c>
      <c r="M307" s="120">
        <f>IF(OR($A307="",$B307=""),"",COUNTIFS($A$5:A307,A307,$B$5:B307,B307))</f>
        <v>1</v>
      </c>
      <c r="N307" s="120">
        <f>IF($A307="","",COUNTA($A$5:$A307))</f>
        <v>303</v>
      </c>
      <c r="O307" s="120">
        <f>IF($A307="","",COUNTA($A$5:$A307))</f>
        <v>303</v>
      </c>
      <c r="P307" s="118">
        <f>IF($K307="","",MAX($K$5:K307))</f>
        <v>2597.7200000000003</v>
      </c>
      <c r="Q307" s="117">
        <f>IF($K307="","",K307-P307)</f>
        <v>0</v>
      </c>
      <c r="R307" s="2"/>
      <c r="S307" s="2">
        <f>IF(OR($A307="",$F307=""),"",IF($I307="Pendiente","",ROUND($G307*($F307*0.609-1),2)))</f>
        <v>1.49</v>
      </c>
      <c r="T307" s="2">
        <f>IF($A307="","",IFERROR(SUM($S$5:S307),0))</f>
        <v>440.40999999999991</v>
      </c>
    </row>
    <row r="308" spans="1:20" ht="30.75" customHeight="1">
      <c r="A308" s="110">
        <v>46212</v>
      </c>
      <c r="B308" s="111" t="s">
        <v>30</v>
      </c>
      <c r="C308" s="154" t="s">
        <v>565</v>
      </c>
      <c r="D308" s="113" t="s">
        <v>95</v>
      </c>
      <c r="E308" s="158" t="s">
        <v>542</v>
      </c>
      <c r="F308" s="115">
        <v>1.92</v>
      </c>
      <c r="G308" s="116">
        <v>18</v>
      </c>
      <c r="H308" s="120" t="s">
        <v>69</v>
      </c>
      <c r="I308" s="120" t="s">
        <v>75</v>
      </c>
      <c r="J308" s="117">
        <f>IF($A308="","",IF($I308="Ganada",ROUND($G308*($F308-1),2),IF($I308="Medio Ganada",ROUND($G308/2*($F308-1),2),IF($I308="Perdida",IF($H308="Free Bet",0,-$G308),IF($I308="Medio Perdida",IF($H308="Free Bet",0,-$G308/2),IF($I308="Reembolso",IF($R308="","",ROUND($R308-$G308,2)),IF($I308="Anulada",0,"")))))))</f>
        <v>-18</v>
      </c>
      <c r="K308" s="118">
        <f>IF(J308="","",2000+SUM(J$5:J308))</f>
        <v>2579.7200000000003</v>
      </c>
      <c r="L308" s="119">
        <f>IF(OR($I308="Ganada",$I308="Perdida",$I308="Medio Ganada",$I308="Medio Perdida"),IF($G308=0,"",J308/$G308),"")</f>
        <v>-1</v>
      </c>
      <c r="M308" s="120">
        <f>IF(OR($A308="",$B308=""),"",COUNTIFS($A$5:A308,A308,$B$5:B308,B308))</f>
        <v>2</v>
      </c>
      <c r="N308" s="120">
        <f>IF($A308="","",COUNTA($A$5:$A308))</f>
        <v>304</v>
      </c>
      <c r="O308" s="120">
        <f>IF($A308="","",COUNTA($A$5:$A308))</f>
        <v>304</v>
      </c>
      <c r="P308" s="118">
        <f>IF($K308="","",MAX($K$5:K308))</f>
        <v>2597.7200000000003</v>
      </c>
      <c r="Q308" s="117">
        <f>IF($K308="","",K308-P308)</f>
        <v>-18</v>
      </c>
      <c r="R308" s="2"/>
      <c r="S308" s="2">
        <f>IF(OR($A308="",$F308=""),"",IF($I308="Pendiente","",ROUND($G308*($F308*0.609-1),2)))</f>
        <v>3.05</v>
      </c>
      <c r="T308" s="2">
        <f>IF($A308="","",IFERROR(SUM($S$5:S308),0))</f>
        <v>443.45999999999992</v>
      </c>
    </row>
    <row r="309" spans="1:20" ht="15" customHeight="1">
      <c r="A309" s="110">
        <v>46212</v>
      </c>
      <c r="B309" s="111" t="s">
        <v>30</v>
      </c>
      <c r="C309" s="154" t="s">
        <v>566</v>
      </c>
      <c r="D309" s="113" t="s">
        <v>67</v>
      </c>
      <c r="E309" s="106" t="s">
        <v>136</v>
      </c>
      <c r="F309" s="115">
        <v>2.1</v>
      </c>
      <c r="G309" s="116">
        <v>18</v>
      </c>
      <c r="H309" s="120" t="s">
        <v>69</v>
      </c>
      <c r="I309" s="120" t="s">
        <v>70</v>
      </c>
      <c r="J309" s="117">
        <f>IF($A309="","",IF($I309="Ganada",ROUND($G309*($F309-1),2),IF($I309="Medio Ganada",ROUND($G309/2*($F309-1),2),IF($I309="Perdida",IF($H309="Free Bet",0,-$G309),IF($I309="Medio Perdida",IF($H309="Free Bet",0,-$G309/2),IF($I309="Reembolso",IF($R309="","",ROUND($R309-$G309,2)),IF($I309="Anulada",0,"")))))))</f>
        <v>19.8</v>
      </c>
      <c r="K309" s="118">
        <f>IF(J309="","",2000+SUM(J$5:J309))</f>
        <v>2599.52</v>
      </c>
      <c r="L309" s="119">
        <f>IF(OR($I309="Ganada",$I309="Perdida",$I309="Medio Ganada",$I309="Medio Perdida"),IF($G309=0,"",J309/$G309),"")</f>
        <v>1.1000000000000001</v>
      </c>
      <c r="M309" s="120">
        <f>IF(OR($A309="",$B309=""),"",COUNTIFS($A$5:A309,A309,$B$5:B309,B309))</f>
        <v>3</v>
      </c>
      <c r="N309" s="120">
        <f>IF($A309="","",COUNTA($A$5:$A309))</f>
        <v>305</v>
      </c>
      <c r="O309" s="120">
        <f>IF($A309="","",COUNTA($A$5:$A309))</f>
        <v>305</v>
      </c>
      <c r="P309" s="118">
        <f>IF($K309="","",MAX($K$5:K309))</f>
        <v>2599.52</v>
      </c>
      <c r="Q309" s="117">
        <f>IF($K309="","",K309-P309)</f>
        <v>0</v>
      </c>
      <c r="R309" s="2"/>
      <c r="S309" s="2">
        <f>IF(OR($A309="",$F309=""),"",IF($I309="Pendiente","",ROUND($G309*($F309*0.609-1),2)))</f>
        <v>5.0199999999999996</v>
      </c>
      <c r="T309" s="2">
        <f>IF($A309="","",IFERROR(SUM($S$5:S309),0))</f>
        <v>448.4799999999999</v>
      </c>
    </row>
    <row r="310" spans="1:20" ht="30.75" customHeight="1">
      <c r="A310" s="110">
        <v>46212</v>
      </c>
      <c r="B310" s="152" t="s">
        <v>32</v>
      </c>
      <c r="C310" s="156" t="s">
        <v>567</v>
      </c>
      <c r="D310" s="113" t="s">
        <v>76</v>
      </c>
      <c r="E310" s="158" t="s">
        <v>167</v>
      </c>
      <c r="F310" s="115">
        <v>2</v>
      </c>
      <c r="G310" s="116">
        <v>18</v>
      </c>
      <c r="H310" s="120" t="s">
        <v>69</v>
      </c>
      <c r="I310" s="120" t="s">
        <v>70</v>
      </c>
      <c r="J310" s="117">
        <f>IF($A310="","",IF($I310="Ganada",ROUND($G310*($F310-1),2),IF($I310="Medio Ganada",ROUND($G310/2*($F310-1),2),IF($I310="Perdida",IF($H310="Free Bet",0,-$G310),IF($I310="Medio Perdida",IF($H310="Free Bet",0,-$G310/2),IF($I310="Reembolso",IF($R310="","",ROUND($R310-$G310,2)),IF($I310="Anulada",0,"")))))))</f>
        <v>18</v>
      </c>
      <c r="K310" s="118">
        <f>IF(J310="","",2000+SUM(J$5:J310))</f>
        <v>2617.52</v>
      </c>
      <c r="L310" s="119">
        <f>IF(OR($I310="Ganada",$I310="Perdida",$I310="Medio Ganada",$I310="Medio Perdida"),IF($G310=0,"",J310/$G310),"")</f>
        <v>1</v>
      </c>
      <c r="M310" s="120">
        <f>IF(OR($A310="",$B310=""),"",COUNTIFS($A$5:A310,A310,$B$5:B310,B310))</f>
        <v>2</v>
      </c>
      <c r="N310" s="120">
        <f>IF($A310="","",COUNTA($A$5:$A310))</f>
        <v>306</v>
      </c>
      <c r="O310" s="120">
        <f>IF($A310="","",COUNTA($A$5:$A310))</f>
        <v>306</v>
      </c>
      <c r="P310" s="118">
        <f>IF($K310="","",MAX($K$5:K310))</f>
        <v>2617.52</v>
      </c>
      <c r="Q310" s="117">
        <f>IF($K310="","",K310-P310)</f>
        <v>0</v>
      </c>
      <c r="R310" s="2"/>
      <c r="S310" s="2">
        <f>IF(OR($A310="",$F310=""),"",IF($I310="Pendiente","",ROUND($G310*($F310*0.609-1),2)))</f>
        <v>3.92</v>
      </c>
      <c r="T310" s="2">
        <f>IF($A310="","",IFERROR(SUM($S$5:S310),0))</f>
        <v>452.39999999999992</v>
      </c>
    </row>
    <row r="311" spans="1:20" ht="30.75" customHeight="1">
      <c r="A311" s="110">
        <v>46212</v>
      </c>
      <c r="B311" s="111" t="s">
        <v>30</v>
      </c>
      <c r="C311" s="156" t="s">
        <v>568</v>
      </c>
      <c r="D311" s="113" t="s">
        <v>95</v>
      </c>
      <c r="E311" s="106" t="s">
        <v>569</v>
      </c>
      <c r="F311" s="115">
        <v>1.87</v>
      </c>
      <c r="G311" s="116">
        <v>18</v>
      </c>
      <c r="H311" s="120" t="s">
        <v>69</v>
      </c>
      <c r="I311" s="120" t="s">
        <v>70</v>
      </c>
      <c r="J311" s="117">
        <f>IF($A311="","",IF($I311="Ganada",ROUND($G311*($F311-1),2),IF($I311="Medio Ganada",ROUND($G311/2*($F311-1),2),IF($I311="Perdida",IF($H311="Free Bet",0,-$G311),IF($I311="Medio Perdida",IF($H311="Free Bet",0,-$G311/2),IF($I311="Reembolso",IF($R311="","",ROUND($R311-$G311,2)),IF($I311="Anulada",0,"")))))))</f>
        <v>15.66</v>
      </c>
      <c r="K311" s="118">
        <f>IF(J311="","",2000+SUM(J$5:J311))</f>
        <v>2633.18</v>
      </c>
      <c r="L311" s="119">
        <f>IF(OR($I311="Ganada",$I311="Perdida",$I311="Medio Ganada",$I311="Medio Perdida"),IF($G311=0,"",J311/$G311),"")</f>
        <v>0.87</v>
      </c>
      <c r="M311" s="120">
        <f>IF(OR($A311="",$B311=""),"",COUNTIFS($A$5:A311,A311,$B$5:B311,B311))</f>
        <v>4</v>
      </c>
      <c r="N311" s="120">
        <f>IF($A311="","",COUNTA($A$5:$A311))</f>
        <v>307</v>
      </c>
      <c r="O311" s="120">
        <f>IF($A311="","",COUNTA($A$5:$A311))</f>
        <v>307</v>
      </c>
      <c r="P311" s="118">
        <f>IF($K311="","",MAX($K$5:K311))</f>
        <v>2633.18</v>
      </c>
      <c r="Q311" s="117">
        <f>IF($K311="","",K311-P311)</f>
        <v>0</v>
      </c>
      <c r="R311" s="2"/>
      <c r="S311" s="2">
        <f>IF(OR($A311="",$F311=""),"",IF($I311="Pendiente","",ROUND($G311*($F311*0.609-1),2)))</f>
        <v>2.5</v>
      </c>
      <c r="T311" s="2">
        <f>IF($A311="","",IFERROR(SUM($S$5:S311),0))</f>
        <v>454.89999999999992</v>
      </c>
    </row>
    <row r="312" spans="1:20" ht="30.75" customHeight="1">
      <c r="A312" s="110">
        <v>46212</v>
      </c>
      <c r="B312" s="111" t="s">
        <v>30</v>
      </c>
      <c r="C312" s="156" t="s">
        <v>570</v>
      </c>
      <c r="D312" s="113" t="s">
        <v>67</v>
      </c>
      <c r="E312" s="106" t="s">
        <v>258</v>
      </c>
      <c r="F312" s="115">
        <v>1.75</v>
      </c>
      <c r="G312" s="116">
        <v>18</v>
      </c>
      <c r="H312" s="120" t="s">
        <v>69</v>
      </c>
      <c r="I312" s="120" t="s">
        <v>70</v>
      </c>
      <c r="J312" s="117">
        <f>IF($A312="","",IF($I312="Ganada",ROUND($G312*($F312-1),2),IF($I312="Medio Ganada",ROUND($G312/2*($F312-1),2),IF($I312="Perdida",IF($H312="Free Bet",0,-$G312),IF($I312="Medio Perdida",IF($H312="Free Bet",0,-$G312/2),IF($I312="Reembolso",IF($R312="","",ROUND($R312-$G312,2)),IF($I312="Anulada",0,"")))))))</f>
        <v>13.5</v>
      </c>
      <c r="K312" s="118">
        <f>IF(J312="","",2000+SUM(J$5:J312))</f>
        <v>2646.68</v>
      </c>
      <c r="L312" s="119">
        <f>IF(OR($I312="Ganada",$I312="Perdida",$I312="Medio Ganada",$I312="Medio Perdida"),IF($G312=0,"",J312/$G312),"")</f>
        <v>0.75</v>
      </c>
      <c r="M312" s="120">
        <f>IF(OR($A312="",$B312=""),"",COUNTIFS($A$5:A312,A312,$B$5:B312,B312))</f>
        <v>5</v>
      </c>
      <c r="N312" s="120">
        <f>IF($A312="","",COUNTA($A$5:$A312))</f>
        <v>308</v>
      </c>
      <c r="O312" s="120">
        <f>IF($A312="","",COUNTA($A$5:$A312))</f>
        <v>308</v>
      </c>
      <c r="P312" s="118">
        <f>IF($K312="","",MAX($K$5:K312))</f>
        <v>2646.68</v>
      </c>
      <c r="Q312" s="117">
        <f>IF($K312="","",K312-P312)</f>
        <v>0</v>
      </c>
      <c r="R312" s="2"/>
      <c r="S312" s="2">
        <f>IF(OR($A312="",$F312=""),"",IF($I312="Pendiente","",ROUND($G312*($F312*0.609-1),2)))</f>
        <v>1.18</v>
      </c>
      <c r="T312" s="2">
        <f>IF($A312="","",IFERROR(SUM($S$5:S312),0))</f>
        <v>456.07999999999993</v>
      </c>
    </row>
    <row r="313" spans="1:20" ht="30.75" customHeight="1">
      <c r="A313" s="110">
        <v>46212</v>
      </c>
      <c r="B313" s="124" t="s">
        <v>28</v>
      </c>
      <c r="C313" s="156" t="s">
        <v>571</v>
      </c>
      <c r="D313" s="113" t="s">
        <v>76</v>
      </c>
      <c r="E313" s="106" t="s">
        <v>482</v>
      </c>
      <c r="F313" s="115">
        <v>1.62</v>
      </c>
      <c r="G313" s="116">
        <v>31</v>
      </c>
      <c r="H313" s="120" t="s">
        <v>69</v>
      </c>
      <c r="I313" s="120" t="s">
        <v>70</v>
      </c>
      <c r="J313" s="117">
        <f>IF($A313="","",IF($I313="Ganada",ROUND($G313*($F313-1),2),IF($I313="Medio Ganada",ROUND($G313/2*($F313-1),2),IF($I313="Perdida",IF($H313="Free Bet",0,-$G313),IF($I313="Medio Perdida",IF($H313="Free Bet",0,-$G313/2),IF($I313="Reembolso",IF($R313="","",ROUND($R313-$G313,2)),IF($I313="Anulada",0,"")))))))</f>
        <v>19.22</v>
      </c>
      <c r="K313" s="118">
        <f>IF(J313="","",2000+SUM(J$5:J313))</f>
        <v>2665.9</v>
      </c>
      <c r="L313" s="119">
        <f>IF(OR($I313="Ganada",$I313="Perdida",$I313="Medio Ganada",$I313="Medio Perdida"),IF($G313=0,"",J313/$G313),"")</f>
        <v>0.62</v>
      </c>
      <c r="M313" s="120">
        <f>IF(OR($A313="",$B313=""),"",COUNTIFS($A$5:A313,A313,$B$5:B313,B313))</f>
        <v>4</v>
      </c>
      <c r="N313" s="120">
        <f>IF($A313="","",COUNTA($A$5:$A313))</f>
        <v>309</v>
      </c>
      <c r="O313" s="120">
        <f>IF($A313="","",COUNTA($A$5:$A313))</f>
        <v>309</v>
      </c>
      <c r="P313" s="118">
        <f>IF($K313="","",MAX($K$5:K313))</f>
        <v>2665.9</v>
      </c>
      <c r="Q313" s="117">
        <f>IF($K313="","",K313-P313)</f>
        <v>0</v>
      </c>
      <c r="R313" s="2"/>
      <c r="S313" s="2">
        <f>IF(OR($A313="",$F313=""),"",IF($I313="Pendiente","",ROUND($G313*($F313*0.609-1),2)))</f>
        <v>-0.42</v>
      </c>
      <c r="T313" s="2">
        <f>IF($A313="","",IFERROR(SUM($S$5:S313),0))</f>
        <v>455.65999999999991</v>
      </c>
    </row>
    <row r="314" spans="1:20" ht="15" customHeight="1">
      <c r="A314" s="110">
        <v>46212</v>
      </c>
      <c r="B314" s="124" t="s">
        <v>28</v>
      </c>
      <c r="C314" s="154" t="s">
        <v>572</v>
      </c>
      <c r="D314" s="113" t="s">
        <v>90</v>
      </c>
      <c r="E314" s="106" t="s">
        <v>573</v>
      </c>
      <c r="F314" s="115">
        <v>1.66</v>
      </c>
      <c r="G314" s="116">
        <v>25</v>
      </c>
      <c r="H314" s="120" t="s">
        <v>69</v>
      </c>
      <c r="I314" s="120" t="s">
        <v>70</v>
      </c>
      <c r="J314" s="117">
        <f>IF($A314="","",IF($I314="Ganada",ROUND($G314*($F314-1),2),IF($I314="Medio Ganada",ROUND($G314/2*($F314-1),2),IF($I314="Perdida",IF($H314="Free Bet",0,-$G314),IF($I314="Medio Perdida",IF($H314="Free Bet",0,-$G314/2),IF($I314="Reembolso",IF($R314="","",ROUND($R314-$G314,2)),IF($I314="Anulada",0,"")))))))</f>
        <v>16.5</v>
      </c>
      <c r="K314" s="118">
        <f>IF(J314="","",2000+SUM(J$5:J314))</f>
        <v>2682.4</v>
      </c>
      <c r="L314" s="119">
        <f>IF(OR($I314="Ganada",$I314="Perdida",$I314="Medio Ganada",$I314="Medio Perdida"),IF($G314=0,"",J314/$G314),"")</f>
        <v>0.66</v>
      </c>
      <c r="M314" s="120">
        <f>IF(OR($A314="",$B314=""),"",COUNTIFS($A$5:A314,A314,$B$5:B314,B314))</f>
        <v>5</v>
      </c>
      <c r="N314" s="120">
        <f>IF($A314="","",COUNTA($A$5:$A314))</f>
        <v>310</v>
      </c>
      <c r="O314" s="120">
        <f>IF($A314="","",COUNTA($A$5:$A314))</f>
        <v>310</v>
      </c>
      <c r="P314" s="118">
        <f>IF($K314="","",MAX($K$5:K314))</f>
        <v>2682.4</v>
      </c>
      <c r="Q314" s="117">
        <f>IF($K314="","",K314-P314)</f>
        <v>0</v>
      </c>
      <c r="R314" s="2"/>
      <c r="S314" s="2">
        <f>IF(OR($A314="",$F314=""),"",IF($I314="Pendiente","",ROUND($G314*($F314*0.609-1),2)))</f>
        <v>0.27</v>
      </c>
      <c r="T314" s="2">
        <f>IF($A314="","",IFERROR(SUM($S$5:S314),0))</f>
        <v>455.92999999999989</v>
      </c>
    </row>
    <row r="315" spans="1:20" ht="15" customHeight="1">
      <c r="A315" s="110">
        <v>46212</v>
      </c>
      <c r="B315" s="150" t="s">
        <v>33</v>
      </c>
      <c r="C315" s="154" t="s">
        <v>574</v>
      </c>
      <c r="D315" s="113" t="s">
        <v>76</v>
      </c>
      <c r="E315" s="106">
        <v>2</v>
      </c>
      <c r="F315" s="115">
        <v>1.52</v>
      </c>
      <c r="G315" s="116">
        <v>25</v>
      </c>
      <c r="H315" s="120" t="s">
        <v>69</v>
      </c>
      <c r="I315" s="120" t="s">
        <v>70</v>
      </c>
      <c r="J315" s="117">
        <f>IF($A315="","",IF($I315="Ganada",ROUND($G315*($F315-1),2),IF($I315="Medio Ganada",ROUND($G315/2*($F315-1),2),IF($I315="Perdida",IF($H315="Free Bet",0,-$G315),IF($I315="Medio Perdida",IF($H315="Free Bet",0,-$G315/2),IF($I315="Reembolso",IF($R315="","",ROUND($R315-$G315,2)),IF($I315="Anulada",0,"")))))))</f>
        <v>13</v>
      </c>
      <c r="K315" s="118">
        <f>IF(J315="","",2000+SUM(J$5:J315))</f>
        <v>2695.4</v>
      </c>
      <c r="L315" s="119">
        <f>IF(OR($I315="Ganada",$I315="Perdida",$I315="Medio Ganada",$I315="Medio Perdida"),IF($G315=0,"",J315/$G315),"")</f>
        <v>0.52</v>
      </c>
      <c r="M315" s="120">
        <f>IF(OR($A315="",$B315=""),"",COUNTIFS($A$5:A315,A315,$B$5:B315,B315))</f>
        <v>1</v>
      </c>
      <c r="N315" s="120">
        <f>IF($A315="","",COUNTA($A$5:$A315))</f>
        <v>311</v>
      </c>
      <c r="O315" s="120">
        <f>IF($A315="","",COUNTA($A$5:$A315))</f>
        <v>311</v>
      </c>
      <c r="P315" s="118">
        <f>IF($K315="","",MAX($K$5:K315))</f>
        <v>2695.4</v>
      </c>
      <c r="Q315" s="117">
        <f>IF($K315="","",K315-P315)</f>
        <v>0</v>
      </c>
      <c r="R315" s="2"/>
      <c r="S315" s="2">
        <f>IF(OR($A315="",$F315=""),"",IF($I315="Pendiente","",ROUND($G315*($F315*0.609-1),2)))</f>
        <v>-1.86</v>
      </c>
      <c r="T315" s="2">
        <f>IF($A315="","",IFERROR(SUM($S$5:S315),0))</f>
        <v>454.06999999999988</v>
      </c>
    </row>
    <row r="316" spans="1:20" ht="15" customHeight="1">
      <c r="A316" s="110">
        <v>46212</v>
      </c>
      <c r="B316" s="150" t="s">
        <v>33</v>
      </c>
      <c r="C316" s="154" t="s">
        <v>575</v>
      </c>
      <c r="D316" s="113" t="s">
        <v>67</v>
      </c>
      <c r="E316" s="106" t="s">
        <v>576</v>
      </c>
      <c r="F316" s="115">
        <v>1.97</v>
      </c>
      <c r="G316" s="116">
        <v>18</v>
      </c>
      <c r="H316" s="120" t="s">
        <v>69</v>
      </c>
      <c r="I316" s="120" t="s">
        <v>70</v>
      </c>
      <c r="J316" s="117">
        <f>IF($A316="","",IF($I316="Ganada",ROUND($G316*($F316-1),2),IF($I316="Medio Ganada",ROUND($G316/2*($F316-1),2),IF($I316="Perdida",IF($H316="Free Bet",0,-$G316),IF($I316="Medio Perdida",IF($H316="Free Bet",0,-$G316/2),IF($I316="Reembolso",IF($R316="","",ROUND($R316-$G316,2)),IF($I316="Anulada",0,"")))))))</f>
        <v>17.46</v>
      </c>
      <c r="K316" s="118">
        <f>IF(J316="","",2000+SUM(J$5:J316))</f>
        <v>2712.86</v>
      </c>
      <c r="L316" s="119">
        <f>IF(OR($I316="Ganada",$I316="Perdida",$I316="Medio Ganada",$I316="Medio Perdida"),IF($G316=0,"",J316/$G316),"")</f>
        <v>0.97000000000000008</v>
      </c>
      <c r="M316" s="120">
        <f>IF(OR($A316="",$B316=""),"",COUNTIFS($A$5:A316,A316,$B$5:B316,B316))</f>
        <v>2</v>
      </c>
      <c r="N316" s="120">
        <f>IF($A316="","",COUNTA($A$5:$A316))</f>
        <v>312</v>
      </c>
      <c r="O316" s="120">
        <f>IF($A316="","",COUNTA($A$5:$A316))</f>
        <v>312</v>
      </c>
      <c r="P316" s="118">
        <f>IF($K316="","",MAX($K$5:K316))</f>
        <v>2712.86</v>
      </c>
      <c r="Q316" s="117">
        <f>IF($K316="","",K316-P316)</f>
        <v>0</v>
      </c>
      <c r="R316" s="2"/>
      <c r="S316" s="2">
        <f>IF(OR($A316="",$F316=""),"",IF($I316="Pendiente","",ROUND($G316*($F316*0.609-1),2)))</f>
        <v>3.6</v>
      </c>
      <c r="T316" s="2">
        <f>IF($A316="","",IFERROR(SUM($S$5:S316),0))</f>
        <v>457.6699999999999</v>
      </c>
    </row>
    <row r="317" spans="1:20" ht="30.75" customHeight="1">
      <c r="A317" s="110">
        <v>46213</v>
      </c>
      <c r="B317" s="150" t="s">
        <v>33</v>
      </c>
      <c r="C317" s="154" t="s">
        <v>577</v>
      </c>
      <c r="D317" s="113" t="s">
        <v>67</v>
      </c>
      <c r="E317" s="158" t="s">
        <v>428</v>
      </c>
      <c r="F317" s="115">
        <v>2.1</v>
      </c>
      <c r="G317" s="116">
        <v>14</v>
      </c>
      <c r="H317" s="120" t="s">
        <v>69</v>
      </c>
      <c r="I317" s="120" t="s">
        <v>75</v>
      </c>
      <c r="J317" s="117">
        <f>IF($A317="","",IF($I317="Ganada",ROUND($G317*($F317-1),2),IF($I317="Medio Ganada",ROUND($G317/2*($F317-1),2),IF($I317="Perdida",IF($H317="Free Bet",0,-$G317),IF($I317="Medio Perdida",IF($H317="Free Bet",0,-$G317/2),IF($I317="Reembolso",IF($R317="","",ROUND($R317-$G317,2)),IF($I317="Anulada",0,"")))))))</f>
        <v>-14</v>
      </c>
      <c r="K317" s="118">
        <f>IF(J317="","",2000+SUM(J$5:J317))</f>
        <v>2698.86</v>
      </c>
      <c r="L317" s="119">
        <f>IF(OR($I317="Ganada",$I317="Perdida",$I317="Medio Ganada",$I317="Medio Perdida"),IF($G317=0,"",J317/$G317),"")</f>
        <v>-1</v>
      </c>
      <c r="M317" s="120">
        <f>IF(OR($A317="",$B317=""),"",COUNTIFS($A$5:A317,A317,$B$5:B317,B317))</f>
        <v>1</v>
      </c>
      <c r="N317" s="120">
        <f>IF($A317="","",COUNTA($A$5:$A317))</f>
        <v>313</v>
      </c>
      <c r="O317" s="120">
        <f>IF($A317="","",COUNTA($A$5:$A317))</f>
        <v>313</v>
      </c>
      <c r="P317" s="118">
        <f>IF($K317="","",MAX($K$5:K317))</f>
        <v>2712.86</v>
      </c>
      <c r="Q317" s="117">
        <f>IF($K317="","",K317-P317)</f>
        <v>-14</v>
      </c>
      <c r="R317" s="2"/>
      <c r="S317" s="2">
        <f>IF(OR($A317="",$F317=""),"",IF($I317="Pendiente","",ROUND($G317*($F317*0.609-1),2)))</f>
        <v>3.9</v>
      </c>
      <c r="T317" s="2">
        <f>IF($A317="","",IFERROR(SUM($S$5:S317),0))</f>
        <v>461.56999999999988</v>
      </c>
    </row>
    <row r="318" spans="1:20" ht="30.75" customHeight="1">
      <c r="A318" s="110">
        <v>46213</v>
      </c>
      <c r="B318" s="159" t="s">
        <v>34</v>
      </c>
      <c r="C318" s="154" t="s">
        <v>578</v>
      </c>
      <c r="D318" s="113" t="s">
        <v>67</v>
      </c>
      <c r="E318" s="158" t="s">
        <v>412</v>
      </c>
      <c r="F318" s="115">
        <v>2.12</v>
      </c>
      <c r="G318" s="116">
        <v>16</v>
      </c>
      <c r="H318" s="120" t="s">
        <v>69</v>
      </c>
      <c r="I318" s="120" t="s">
        <v>70</v>
      </c>
      <c r="J318" s="117">
        <f>IF($A318="","",IF($I318="Ganada",ROUND($G318*($F318-1),2),IF($I318="Medio Ganada",ROUND($G318/2*($F318-1),2),IF($I318="Perdida",IF($H318="Free Bet",0,-$G318),IF($I318="Medio Perdida",IF($H318="Free Bet",0,-$G318/2),IF($I318="Reembolso",IF($R318="","",ROUND($R318-$G318,2)),IF($I318="Anulada",0,"")))))))</f>
        <v>17.920000000000002</v>
      </c>
      <c r="K318" s="118">
        <f>IF(J318="","",2000+SUM(J$5:J318))</f>
        <v>2716.7799999999997</v>
      </c>
      <c r="L318" s="119">
        <f>IF(OR($I318="Ganada",$I318="Perdida",$I318="Medio Ganada",$I318="Medio Perdida"),IF($G318=0,"",J318/$G318),"")</f>
        <v>1.1200000000000001</v>
      </c>
      <c r="M318" s="120">
        <f>IF(OR($A318="",$B318=""),"",COUNTIFS($A$5:A318,A318,$B$5:B318,B318))</f>
        <v>1</v>
      </c>
      <c r="N318" s="120">
        <f>IF($A318="","",COUNTA($A$5:$A318))</f>
        <v>314</v>
      </c>
      <c r="O318" s="120">
        <f>IF($A318="","",COUNTA($A$5:$A318))</f>
        <v>314</v>
      </c>
      <c r="P318" s="118">
        <f>IF($K318="","",MAX($K$5:K318))</f>
        <v>2716.7799999999997</v>
      </c>
      <c r="Q318" s="117">
        <f>IF($K318="","",K318-P318)</f>
        <v>0</v>
      </c>
      <c r="R318" s="2"/>
      <c r="S318" s="2">
        <f>IF(OR($A318="",$F318=""),"",IF($I318="Pendiente","",ROUND($G318*($F318*0.609-1),2)))</f>
        <v>4.66</v>
      </c>
      <c r="T318" s="2">
        <f>IF($A318="","",IFERROR(SUM($S$5:S318),0))</f>
        <v>466.2299999999999</v>
      </c>
    </row>
    <row r="319" spans="1:20" ht="15" customHeight="1">
      <c r="A319" s="110">
        <v>46213</v>
      </c>
      <c r="B319" s="150" t="s">
        <v>33</v>
      </c>
      <c r="C319" s="154" t="s">
        <v>579</v>
      </c>
      <c r="D319" s="113" t="s">
        <v>95</v>
      </c>
      <c r="E319" s="106">
        <v>2</v>
      </c>
      <c r="F319" s="115">
        <v>1.86</v>
      </c>
      <c r="G319" s="116">
        <v>18</v>
      </c>
      <c r="H319" s="120" t="s">
        <v>69</v>
      </c>
      <c r="I319" s="120" t="s">
        <v>75</v>
      </c>
      <c r="J319" s="117">
        <f>IF($A319="","",IF($I319="Ganada",ROUND($G319*($F319-1),2),IF($I319="Medio Ganada",ROUND($G319/2*($F319-1),2),IF($I319="Perdida",IF($H319="Free Bet",0,-$G319),IF($I319="Medio Perdida",IF($H319="Free Bet",0,-$G319/2),IF($I319="Reembolso",IF($R319="","",ROUND($R319-$G319,2)),IF($I319="Anulada",0,"")))))))</f>
        <v>-18</v>
      </c>
      <c r="K319" s="118">
        <f>IF(J319="","",2000+SUM(J$5:J319))</f>
        <v>2698.7799999999997</v>
      </c>
      <c r="L319" s="119">
        <f>IF(OR($I319="Ganada",$I319="Perdida",$I319="Medio Ganada",$I319="Medio Perdida"),IF($G319=0,"",J319/$G319),"")</f>
        <v>-1</v>
      </c>
      <c r="M319" s="120">
        <f>IF(OR($A319="",$B319=""),"",COUNTIFS($A$5:A319,A319,$B$5:B319,B319))</f>
        <v>2</v>
      </c>
      <c r="N319" s="120">
        <f>IF($A319="","",COUNTA($A$5:$A319))</f>
        <v>315</v>
      </c>
      <c r="O319" s="120">
        <f>IF($A319="","",COUNTA($A$5:$A319))</f>
        <v>315</v>
      </c>
      <c r="P319" s="118">
        <f>IF($K319="","",MAX($K$5:K319))</f>
        <v>2716.7799999999997</v>
      </c>
      <c r="Q319" s="117">
        <f>IF($K319="","",K319-P319)</f>
        <v>-18</v>
      </c>
      <c r="R319" s="2"/>
      <c r="S319" s="2">
        <f>IF(OR($A319="",$F319=""),"",IF($I319="Pendiente","",ROUND($G319*($F319*0.609-1),2)))</f>
        <v>2.39</v>
      </c>
      <c r="T319" s="2">
        <f>IF($A319="","",IFERROR(SUM($S$5:S319),0))</f>
        <v>468.61999999999989</v>
      </c>
    </row>
    <row r="320" spans="1:20" ht="15" customHeight="1">
      <c r="A320" s="110">
        <v>46213</v>
      </c>
      <c r="B320" s="124" t="s">
        <v>28</v>
      </c>
      <c r="C320" s="154" t="s">
        <v>580</v>
      </c>
      <c r="D320" s="113" t="s">
        <v>76</v>
      </c>
      <c r="E320" s="106" t="s">
        <v>177</v>
      </c>
      <c r="F320" s="115">
        <v>2.0499999999999998</v>
      </c>
      <c r="G320" s="116">
        <v>27</v>
      </c>
      <c r="H320" s="120" t="s">
        <v>69</v>
      </c>
      <c r="I320" s="120" t="s">
        <v>70</v>
      </c>
      <c r="J320" s="117">
        <f>IF($A320="","",IF($I320="Ganada",ROUND($G320*($F320-1),2),IF($I320="Medio Ganada",ROUND($G320/2*($F320-1),2),IF($I320="Perdida",IF($H320="Free Bet",0,-$G320),IF($I320="Medio Perdida",IF($H320="Free Bet",0,-$G320/2),IF($I320="Reembolso",IF($R320="","",ROUND($R320-$G320,2)),IF($I320="Anulada",0,"")))))))</f>
        <v>28.35</v>
      </c>
      <c r="K320" s="118">
        <f>IF(J320="","",2000+SUM(J$5:J320))</f>
        <v>2727.13</v>
      </c>
      <c r="L320" s="119">
        <f>IF(OR($I320="Ganada",$I320="Perdida",$I320="Medio Ganada",$I320="Medio Perdida"),IF($G320=0,"",J320/$G320),"")</f>
        <v>1.05</v>
      </c>
      <c r="M320" s="120">
        <f>IF(OR($A320="",$B320=""),"",COUNTIFS($A$5:A320,A320,$B$5:B320,B320))</f>
        <v>1</v>
      </c>
      <c r="N320" s="120">
        <f>IF($A320="","",COUNTA($A$5:$A320))</f>
        <v>316</v>
      </c>
      <c r="O320" s="120">
        <f>IF($A320="","",COUNTA($A$5:$A320))</f>
        <v>316</v>
      </c>
      <c r="P320" s="118">
        <f>IF($K320="","",MAX($K$5:K320))</f>
        <v>2727.13</v>
      </c>
      <c r="Q320" s="117">
        <f>IF($K320="","",K320-P320)</f>
        <v>0</v>
      </c>
      <c r="R320" s="2"/>
      <c r="S320" s="2">
        <f>IF(OR($A320="",$F320=""),"",IF($I320="Pendiente","",ROUND($G320*($F320*0.609-1),2)))</f>
        <v>6.71</v>
      </c>
      <c r="T320" s="2">
        <f>IF($A320="","",IFERROR(SUM($S$5:S320),0))</f>
        <v>475.32999999999987</v>
      </c>
    </row>
    <row r="321" spans="1:20" ht="30.75" customHeight="1">
      <c r="A321" s="110">
        <v>46213</v>
      </c>
      <c r="B321" s="150" t="s">
        <v>33</v>
      </c>
      <c r="C321" s="154" t="s">
        <v>581</v>
      </c>
      <c r="D321" s="113" t="s">
        <v>67</v>
      </c>
      <c r="E321" s="158" t="s">
        <v>500</v>
      </c>
      <c r="F321" s="115">
        <v>2.15</v>
      </c>
      <c r="G321" s="116">
        <v>20</v>
      </c>
      <c r="H321" s="120" t="s">
        <v>69</v>
      </c>
      <c r="I321" s="120" t="s">
        <v>70</v>
      </c>
      <c r="J321" s="117">
        <f>IF($A321="","",IF($I321="Ganada",ROUND($G321*($F321-1),2),IF($I321="Medio Ganada",ROUND($G321/2*($F321-1),2),IF($I321="Perdida",IF($H321="Free Bet",0,-$G321),IF($I321="Medio Perdida",IF($H321="Free Bet",0,-$G321/2),IF($I321="Reembolso",IF($R321="","",ROUND($R321-$G321,2)),IF($I321="Anulada",0,"")))))))</f>
        <v>23</v>
      </c>
      <c r="K321" s="118">
        <f>IF(J321="","",2000+SUM(J$5:J321))</f>
        <v>2750.13</v>
      </c>
      <c r="L321" s="119">
        <f>IF(OR($I321="Ganada",$I321="Perdida",$I321="Medio Ganada",$I321="Medio Perdida"),IF($G321=0,"",J321/$G321),"")</f>
        <v>1.1499999999999999</v>
      </c>
      <c r="M321" s="120">
        <f>IF(OR($A321="",$B321=""),"",COUNTIFS($A$5:A321,A321,$B$5:B321,B321))</f>
        <v>3</v>
      </c>
      <c r="N321" s="120">
        <f>IF($A321="","",COUNTA($A$5:$A321))</f>
        <v>317</v>
      </c>
      <c r="O321" s="120">
        <f>IF($A321="","",COUNTA($A$5:$A321))</f>
        <v>317</v>
      </c>
      <c r="P321" s="118">
        <f>IF($K321="","",MAX($K$5:K321))</f>
        <v>2750.13</v>
      </c>
      <c r="Q321" s="117">
        <f>IF($K321="","",K321-P321)</f>
        <v>0</v>
      </c>
      <c r="R321" s="2"/>
      <c r="S321" s="2">
        <f>IF(OR($A321="",$F321=""),"",IF($I321="Pendiente","",ROUND($G321*($F321*0.609-1),2)))</f>
        <v>6.19</v>
      </c>
      <c r="T321" s="2">
        <f>IF($A321="","",IFERROR(SUM($S$5:S321),0))</f>
        <v>481.51999999999987</v>
      </c>
    </row>
    <row r="322" spans="1:20" ht="30.75" customHeight="1">
      <c r="A322" s="110">
        <v>46213</v>
      </c>
      <c r="B322" s="124" t="s">
        <v>28</v>
      </c>
      <c r="C322" s="156" t="s">
        <v>582</v>
      </c>
      <c r="D322" s="113" t="s">
        <v>67</v>
      </c>
      <c r="E322" s="158" t="s">
        <v>583</v>
      </c>
      <c r="F322" s="115">
        <v>1.8</v>
      </c>
      <c r="G322" s="116">
        <v>20</v>
      </c>
      <c r="H322" s="120" t="s">
        <v>69</v>
      </c>
      <c r="I322" s="120" t="s">
        <v>70</v>
      </c>
      <c r="J322" s="117">
        <f>IF($A322="","",IF($I322="Ganada",ROUND($G322*($F322-1),2),IF($I322="Medio Ganada",ROUND($G322/2*($F322-1),2),IF($I322="Perdida",IF($H322="Free Bet",0,-$G322),IF($I322="Medio Perdida",IF($H322="Free Bet",0,-$G322/2),IF($I322="Reembolso",IF($R322="","",ROUND($R322-$G322,2)),IF($I322="Anulada",0,"")))))))</f>
        <v>16</v>
      </c>
      <c r="K322" s="118">
        <f>IF(J322="","",2000+SUM(J$5:J322))</f>
        <v>2766.13</v>
      </c>
      <c r="L322" s="119">
        <f>IF(OR($I322="Ganada",$I322="Perdida",$I322="Medio Ganada",$I322="Medio Perdida"),IF($G322=0,"",J322/$G322),"")</f>
        <v>0.8</v>
      </c>
      <c r="M322" s="120">
        <f>IF(OR($A322="",$B322=""),"",COUNTIFS($A$5:A322,A322,$B$5:B322,B322))</f>
        <v>2</v>
      </c>
      <c r="N322" s="120">
        <f>IF($A322="","",COUNTA($A$5:$A322))</f>
        <v>318</v>
      </c>
      <c r="O322" s="120">
        <f>IF($A322="","",COUNTA($A$5:$A322))</f>
        <v>318</v>
      </c>
      <c r="P322" s="118">
        <f>IF($K322="","",MAX($K$5:K322))</f>
        <v>2766.13</v>
      </c>
      <c r="Q322" s="117">
        <f>IF($K322="","",K322-P322)</f>
        <v>0</v>
      </c>
      <c r="R322" s="2"/>
      <c r="S322" s="2">
        <f>IF(OR($A322="",$F322=""),"",IF($I322="Pendiente","",ROUND($G322*($F322*0.609-1),2)))</f>
        <v>1.92</v>
      </c>
      <c r="T322" s="2">
        <f>IF($A322="","",IFERROR(SUM($S$5:S322),0))</f>
        <v>483.43999999999988</v>
      </c>
    </row>
    <row r="323" spans="1:20" ht="30.75" customHeight="1">
      <c r="A323" s="110">
        <v>46213</v>
      </c>
      <c r="B323" s="150" t="s">
        <v>33</v>
      </c>
      <c r="C323" s="156" t="s">
        <v>584</v>
      </c>
      <c r="D323" s="113" t="s">
        <v>67</v>
      </c>
      <c r="E323" s="158" t="s">
        <v>473</v>
      </c>
      <c r="F323" s="115">
        <v>2.23</v>
      </c>
      <c r="G323" s="116">
        <v>13</v>
      </c>
      <c r="H323" s="120" t="s">
        <v>69</v>
      </c>
      <c r="I323" s="120" t="s">
        <v>75</v>
      </c>
      <c r="J323" s="117">
        <f>IF($A323="","",IF($I323="Ganada",ROUND($G323*($F323-1),2),IF($I323="Medio Ganada",ROUND($G323/2*($F323-1),2),IF($I323="Perdida",IF($H323="Free Bet",0,-$G323),IF($I323="Medio Perdida",IF($H323="Free Bet",0,-$G323/2),IF($I323="Reembolso",IF($R323="","",ROUND($R323-$G323,2)),IF($I323="Anulada",0,"")))))))</f>
        <v>-13</v>
      </c>
      <c r="K323" s="118">
        <f>IF(J323="","",2000+SUM(J$5:J323))</f>
        <v>2753.13</v>
      </c>
      <c r="L323" s="119">
        <f>IF(OR($I323="Ganada",$I323="Perdida",$I323="Medio Ganada",$I323="Medio Perdida"),IF($G323=0,"",J323/$G323),"")</f>
        <v>-1</v>
      </c>
      <c r="M323" s="120">
        <f>IF(OR($A323="",$B323=""),"",COUNTIFS($A$5:A323,A323,$B$5:B323,B323))</f>
        <v>4</v>
      </c>
      <c r="N323" s="120">
        <f>IF($A323="","",COUNTA($A$5:$A323))</f>
        <v>319</v>
      </c>
      <c r="O323" s="120">
        <f>IF($A323="","",COUNTA($A$5:$A323))</f>
        <v>319</v>
      </c>
      <c r="P323" s="118">
        <f>IF($K323="","",MAX($K$5:K323))</f>
        <v>2766.13</v>
      </c>
      <c r="Q323" s="117">
        <f>IF($K323="","",K323-P323)</f>
        <v>-13</v>
      </c>
      <c r="R323" s="2"/>
      <c r="S323" s="2">
        <f>IF(OR($A323="",$F323=""),"",IF($I323="Pendiente","",ROUND($G323*($F323*0.609-1),2)))</f>
        <v>4.6500000000000004</v>
      </c>
      <c r="T323" s="2">
        <f>IF($A323="","",IFERROR(SUM($S$5:S323),0))</f>
        <v>488.08999999999986</v>
      </c>
    </row>
    <row r="324" spans="1:20" ht="30.75" customHeight="1">
      <c r="A324" s="110">
        <v>46213</v>
      </c>
      <c r="B324" s="152" t="s">
        <v>32</v>
      </c>
      <c r="C324" s="156" t="s">
        <v>585</v>
      </c>
      <c r="D324" s="113" t="s">
        <v>67</v>
      </c>
      <c r="E324" s="106" t="s">
        <v>258</v>
      </c>
      <c r="F324" s="115">
        <v>1.8</v>
      </c>
      <c r="G324" s="116">
        <v>20</v>
      </c>
      <c r="H324" s="120" t="s">
        <v>69</v>
      </c>
      <c r="I324" s="120" t="s">
        <v>70</v>
      </c>
      <c r="J324" s="117">
        <f>IF($A324="","",IF($I324="Ganada",ROUND($G324*($F324-1),2),IF($I324="Medio Ganada",ROUND($G324/2*($F324-1),2),IF($I324="Perdida",IF($H324="Free Bet",0,-$G324),IF($I324="Medio Perdida",IF($H324="Free Bet",0,-$G324/2),IF($I324="Reembolso",IF($R324="","",ROUND($R324-$G324,2)),IF($I324="Anulada",0,"")))))))</f>
        <v>16</v>
      </c>
      <c r="K324" s="118">
        <f>IF(J324="","",2000+SUM(J$5:J324))</f>
        <v>2769.13</v>
      </c>
      <c r="L324" s="119">
        <f>IF(OR($I324="Ganada",$I324="Perdida",$I324="Medio Ganada",$I324="Medio Perdida"),IF($G324=0,"",J324/$G324),"")</f>
        <v>0.8</v>
      </c>
      <c r="M324" s="120">
        <f>IF(OR($A324="",$B324=""),"",COUNTIFS($A$5:A324,A324,$B$5:B324,B324))</f>
        <v>1</v>
      </c>
      <c r="N324" s="120">
        <f>IF($A324="","",COUNTA($A$5:$A324))</f>
        <v>320</v>
      </c>
      <c r="O324" s="120">
        <f>IF($A324="","",COUNTA($A$5:$A324))</f>
        <v>320</v>
      </c>
      <c r="P324" s="118">
        <f>IF($K324="","",MAX($K$5:K324))</f>
        <v>2769.13</v>
      </c>
      <c r="Q324" s="117">
        <f>IF($K324="","",K324-P324)</f>
        <v>0</v>
      </c>
      <c r="R324" s="2"/>
      <c r="S324" s="2">
        <f>IF(OR($A324="",$F324=""),"",IF($I324="Pendiente","",ROUND($G324*($F324*0.609-1),2)))</f>
        <v>1.92</v>
      </c>
      <c r="T324" s="2">
        <f>IF($A324="","",IFERROR(SUM($S$5:S324),0))</f>
        <v>490.00999999999988</v>
      </c>
    </row>
    <row r="325" spans="1:20" ht="30.75" customHeight="1">
      <c r="A325" s="110">
        <v>46213</v>
      </c>
      <c r="B325" s="150" t="s">
        <v>33</v>
      </c>
      <c r="C325" s="156" t="s">
        <v>586</v>
      </c>
      <c r="D325" s="113" t="s">
        <v>67</v>
      </c>
      <c r="E325" s="158" t="s">
        <v>587</v>
      </c>
      <c r="F325" s="115">
        <v>1.68</v>
      </c>
      <c r="G325" s="116">
        <v>23</v>
      </c>
      <c r="H325" s="120" t="s">
        <v>69</v>
      </c>
      <c r="I325" s="120" t="s">
        <v>75</v>
      </c>
      <c r="J325" s="117">
        <f>IF($A325="","",IF($I325="Ganada",ROUND($G325*($F325-1),2),IF($I325="Medio Ganada",ROUND($G325/2*($F325-1),2),IF($I325="Perdida",IF($H325="Free Bet",0,-$G325),IF($I325="Medio Perdida",IF($H325="Free Bet",0,-$G325/2),IF($I325="Reembolso",IF($R325="","",ROUND($R325-$G325,2)),IF($I325="Anulada",0,"")))))))</f>
        <v>-23</v>
      </c>
      <c r="K325" s="118">
        <f>IF(J325="","",2000+SUM(J$5:J325))</f>
        <v>2746.13</v>
      </c>
      <c r="L325" s="119">
        <f>IF(OR($I325="Ganada",$I325="Perdida",$I325="Medio Ganada",$I325="Medio Perdida"),IF($G325=0,"",J325/$G325),"")</f>
        <v>-1</v>
      </c>
      <c r="M325" s="120">
        <f>IF(OR($A325="",$B325=""),"",COUNTIFS($A$5:A325,A325,$B$5:B325,B325))</f>
        <v>5</v>
      </c>
      <c r="N325" s="120">
        <f>IF($A325="","",COUNTA($A$5:$A325))</f>
        <v>321</v>
      </c>
      <c r="O325" s="120">
        <f>IF($A325="","",COUNTA($A$5:$A325))</f>
        <v>321</v>
      </c>
      <c r="P325" s="118">
        <f>IF($K325="","",MAX($K$5:K325))</f>
        <v>2769.13</v>
      </c>
      <c r="Q325" s="117">
        <f>IF($K325="","",K325-P325)</f>
        <v>-23</v>
      </c>
      <c r="R325" s="2"/>
      <c r="S325" s="2">
        <f>IF(OR($A325="",$F325=""),"",IF($I325="Pendiente","",ROUND($G325*($F325*0.609-1),2)))</f>
        <v>0.53</v>
      </c>
      <c r="T325" s="2">
        <f>IF($A325="","",IFERROR(SUM($S$5:S325),0))</f>
        <v>490.53999999999985</v>
      </c>
    </row>
    <row r="326" spans="1:20" ht="30.75" customHeight="1">
      <c r="A326" s="110">
        <v>46213</v>
      </c>
      <c r="B326" s="160" t="s">
        <v>34</v>
      </c>
      <c r="C326" s="154" t="s">
        <v>588</v>
      </c>
      <c r="D326" s="113" t="s">
        <v>67</v>
      </c>
      <c r="E326" s="158" t="s">
        <v>225</v>
      </c>
      <c r="F326" s="115">
        <v>1.74</v>
      </c>
      <c r="G326" s="116">
        <v>27</v>
      </c>
      <c r="H326" s="120" t="s">
        <v>69</v>
      </c>
      <c r="I326" s="120" t="s">
        <v>70</v>
      </c>
      <c r="J326" s="117">
        <f>IF($A326="","",IF($I326="Ganada",ROUND($G326*($F326-1),2),IF($I326="Medio Ganada",ROUND($G326/2*($F326-1),2),IF($I326="Perdida",IF($H326="Free Bet",0,-$G326),IF($I326="Medio Perdida",IF($H326="Free Bet",0,-$G326/2),IF($I326="Reembolso",IF($R326="","",ROUND($R326-$G326,2)),IF($I326="Anulada",0,"")))))))</f>
        <v>19.98</v>
      </c>
      <c r="K326" s="118">
        <f>IF(J326="","",2000+SUM(J$5:J326))</f>
        <v>2766.11</v>
      </c>
      <c r="L326" s="119">
        <f>IF(OR($I326="Ganada",$I326="Perdida",$I326="Medio Ganada",$I326="Medio Perdida"),IF($G326=0,"",J326/$G326),"")</f>
        <v>0.74</v>
      </c>
      <c r="M326" s="120">
        <f>IF(OR($A326="",$B326=""),"",COUNTIFS($A$5:A326,A326,$B$5:B326,B326))</f>
        <v>2</v>
      </c>
      <c r="N326" s="120">
        <f>IF($A326="","",COUNTA($A$5:$A326))</f>
        <v>322</v>
      </c>
      <c r="O326" s="120">
        <f>IF($A326="","",COUNTA($A$5:$A326))</f>
        <v>322</v>
      </c>
      <c r="P326" s="118">
        <f>IF($K326="","",MAX($K$5:K326))</f>
        <v>2769.13</v>
      </c>
      <c r="Q326" s="117">
        <f>IF($K326="","",K326-P326)</f>
        <v>-3.0199999999999818</v>
      </c>
      <c r="R326" s="2"/>
      <c r="S326" s="2">
        <f>IF(OR($A326="",$F326=""),"",IF($I326="Pendiente","",ROUND($G326*($F326*0.609-1),2)))</f>
        <v>1.61</v>
      </c>
      <c r="T326" s="2">
        <f>IF($A326="","",IFERROR(SUM($S$5:S326),0))</f>
        <v>492.14999999999986</v>
      </c>
    </row>
    <row r="327" spans="1:20" ht="45.75" customHeight="1">
      <c r="A327" s="110">
        <v>46213</v>
      </c>
      <c r="B327" s="152" t="s">
        <v>32</v>
      </c>
      <c r="C327" s="156" t="s">
        <v>589</v>
      </c>
      <c r="D327" s="113" t="s">
        <v>250</v>
      </c>
      <c r="E327" s="158" t="s">
        <v>590</v>
      </c>
      <c r="F327" s="115">
        <v>3.0840000000000001</v>
      </c>
      <c r="G327" s="116">
        <v>20</v>
      </c>
      <c r="H327" s="120" t="s">
        <v>69</v>
      </c>
      <c r="I327" s="120" t="s">
        <v>75</v>
      </c>
      <c r="J327" s="117">
        <f>IF($A327="","",IF($I327="Ganada",ROUND($G327*($F327-1),2),IF($I327="Medio Ganada",ROUND($G327/2*($F327-1),2),IF($I327="Perdida",IF($H327="Free Bet",0,-$G327),IF($I327="Medio Perdida",IF($H327="Free Bet",0,-$G327/2),IF($I327="Reembolso",IF($R327="","",ROUND($R327-$G327,2)),IF($I327="Anulada",0,"")))))))</f>
        <v>-20</v>
      </c>
      <c r="K327" s="118">
        <f>IF(J327="","",2000+SUM(J$5:J327))</f>
        <v>2746.11</v>
      </c>
      <c r="L327" s="119">
        <f>IF(OR($I327="Ganada",$I327="Perdida",$I327="Medio Ganada",$I327="Medio Perdida"),IF($G327=0,"",J327/$G327),"")</f>
        <v>-1</v>
      </c>
      <c r="M327" s="120">
        <f>IF(OR($A327="",$B327=""),"",COUNTIFS($A$5:A327,A327,$B$5:B327,B327))</f>
        <v>2</v>
      </c>
      <c r="N327" s="120">
        <f>IF($A327="","",COUNTA($A$5:$A327))</f>
        <v>323</v>
      </c>
      <c r="O327" s="120">
        <f>IF($A327="","",COUNTA($A$5:$A327))</f>
        <v>323</v>
      </c>
      <c r="P327" s="118">
        <f>IF($K327="","",MAX($K$5:K327))</f>
        <v>2769.13</v>
      </c>
      <c r="Q327" s="117">
        <f>IF($K327="","",K327-P327)</f>
        <v>-23.019999999999982</v>
      </c>
      <c r="R327" s="2"/>
      <c r="S327" s="2">
        <f>IF(OR($A327="",$F327=""),"",IF($I327="Pendiente","",ROUND($G327*($F327*0.609-1),2)))</f>
        <v>17.559999999999999</v>
      </c>
      <c r="T327" s="2">
        <f>IF($A327="","",IFERROR(SUM($S$5:S327),0))</f>
        <v>509.70999999999987</v>
      </c>
    </row>
    <row r="328" spans="1:20" ht="30.75" customHeight="1">
      <c r="A328" s="110">
        <v>46213</v>
      </c>
      <c r="B328" s="150" t="s">
        <v>33</v>
      </c>
      <c r="C328" s="156" t="s">
        <v>591</v>
      </c>
      <c r="D328" s="113" t="s">
        <v>67</v>
      </c>
      <c r="E328" s="158" t="s">
        <v>592</v>
      </c>
      <c r="F328" s="115">
        <v>1.64</v>
      </c>
      <c r="G328" s="116">
        <v>23</v>
      </c>
      <c r="H328" s="120" t="s">
        <v>69</v>
      </c>
      <c r="I328" s="120" t="s">
        <v>75</v>
      </c>
      <c r="J328" s="117">
        <f>IF($A328="","",IF($I328="Ganada",ROUND($G328*($F328-1),2),IF($I328="Medio Ganada",ROUND($G328/2*($F328-1),2),IF($I328="Perdida",IF($H328="Free Bet",0,-$G328),IF($I328="Medio Perdida",IF($H328="Free Bet",0,-$G328/2),IF($I328="Reembolso",IF($R328="","",ROUND($R328-$G328,2)),IF($I328="Anulada",0,"")))))))</f>
        <v>-23</v>
      </c>
      <c r="K328" s="118">
        <f>IF(J328="","",2000+SUM(J$5:J328))</f>
        <v>2723.11</v>
      </c>
      <c r="L328" s="119">
        <f>IF(OR($I328="Ganada",$I328="Perdida",$I328="Medio Ganada",$I328="Medio Perdida"),IF($G328=0,"",J328/$G328),"")</f>
        <v>-1</v>
      </c>
      <c r="M328" s="120">
        <f>IF(OR($A328="",$B328=""),"",COUNTIFS($A$5:A328,A328,$B$5:B328,B328))</f>
        <v>6</v>
      </c>
      <c r="N328" s="120">
        <f>IF($A328="","",COUNTA($A$5:$A328))</f>
        <v>324</v>
      </c>
      <c r="O328" s="120">
        <f>IF($A328="","",COUNTA($A$5:$A328))</f>
        <v>324</v>
      </c>
      <c r="P328" s="118">
        <f>IF($K328="","",MAX($K$5:K328))</f>
        <v>2769.13</v>
      </c>
      <c r="Q328" s="117">
        <f>IF($K328="","",K328-P328)</f>
        <v>-46.019999999999982</v>
      </c>
      <c r="R328" s="2"/>
      <c r="S328" s="2">
        <f>IF(OR($A328="",$F328=""),"",IF($I328="Pendiente","",ROUND($G328*($F328*0.609-1),2)))</f>
        <v>-0.03</v>
      </c>
      <c r="T328" s="2">
        <f>IF($A328="","",IFERROR(SUM($S$5:S328),0))</f>
        <v>509.67999999999989</v>
      </c>
    </row>
    <row r="329" spans="1:20" ht="30.75" customHeight="1">
      <c r="A329" s="110">
        <v>46213</v>
      </c>
      <c r="B329" s="150" t="s">
        <v>33</v>
      </c>
      <c r="C329" s="156" t="s">
        <v>593</v>
      </c>
      <c r="D329" s="113" t="s">
        <v>67</v>
      </c>
      <c r="E329" s="106" t="s">
        <v>324</v>
      </c>
      <c r="F329" s="115">
        <v>2.15</v>
      </c>
      <c r="G329" s="116">
        <v>20</v>
      </c>
      <c r="H329" s="120" t="s">
        <v>69</v>
      </c>
      <c r="I329" s="120" t="s">
        <v>70</v>
      </c>
      <c r="J329" s="117">
        <f>IF($A329="","",IF($I329="Ganada",ROUND($G329*($F329-1),2),IF($I329="Medio Ganada",ROUND($G329/2*($F329-1),2),IF($I329="Perdida",IF($H329="Free Bet",0,-$G329),IF($I329="Medio Perdida",IF($H329="Free Bet",0,-$G329/2),IF($I329="Reembolso",IF($R329="","",ROUND($R329-$G329,2)),IF($I329="Anulada",0,"")))))))</f>
        <v>23</v>
      </c>
      <c r="K329" s="118">
        <f>IF(J329="","",2000+SUM(J$5:J329))</f>
        <v>2746.11</v>
      </c>
      <c r="L329" s="119">
        <f>IF(OR($I329="Ganada",$I329="Perdida",$I329="Medio Ganada",$I329="Medio Perdida"),IF($G329=0,"",J329/$G329),"")</f>
        <v>1.1499999999999999</v>
      </c>
      <c r="M329" s="120">
        <f>IF(OR($A329="",$B329=""),"",COUNTIFS($A$5:A329,A329,$B$5:B329,B329))</f>
        <v>7</v>
      </c>
      <c r="N329" s="120">
        <f>IF($A329="","",COUNTA($A$5:$A329))</f>
        <v>325</v>
      </c>
      <c r="O329" s="120">
        <f>IF($A329="","",COUNTA($A$5:$A329))</f>
        <v>325</v>
      </c>
      <c r="P329" s="118">
        <f>IF($K329="","",MAX($K$5:K329))</f>
        <v>2769.13</v>
      </c>
      <c r="Q329" s="117">
        <f>IF($K329="","",K329-P329)</f>
        <v>-23.019999999999982</v>
      </c>
      <c r="R329" s="2"/>
      <c r="S329" s="2">
        <f>IF(OR($A329="",$F329=""),"",IF($I329="Pendiente","",ROUND($G329*($F329*0.609-1),2)))</f>
        <v>6.19</v>
      </c>
      <c r="T329" s="2">
        <f>IF($A329="","",IFERROR(SUM($S$5:S329),0))</f>
        <v>515.86999999999989</v>
      </c>
    </row>
    <row r="330" spans="1:20" ht="30.75" customHeight="1">
      <c r="A330" s="110">
        <v>46213</v>
      </c>
      <c r="B330" s="150" t="s">
        <v>33</v>
      </c>
      <c r="C330" s="156" t="s">
        <v>594</v>
      </c>
      <c r="D330" s="113" t="s">
        <v>67</v>
      </c>
      <c r="E330" s="158" t="s">
        <v>225</v>
      </c>
      <c r="F330" s="115">
        <v>2.16</v>
      </c>
      <c r="G330" s="116">
        <v>13</v>
      </c>
      <c r="H330" s="120" t="s">
        <v>69</v>
      </c>
      <c r="I330" s="120" t="s">
        <v>70</v>
      </c>
      <c r="J330" s="117">
        <f>IF($A330="","",IF($I330="Ganada",ROUND($G330*($F330-1),2),IF($I330="Medio Ganada",ROUND($G330/2*($F330-1),2),IF($I330="Perdida",IF($H330="Free Bet",0,-$G330),IF($I330="Medio Perdida",IF($H330="Free Bet",0,-$G330/2),IF($I330="Reembolso",IF($R330="","",ROUND($R330-$G330,2)),IF($I330="Anulada",0,"")))))))</f>
        <v>15.08</v>
      </c>
      <c r="K330" s="118">
        <f>IF(J330="","",2000+SUM(J$5:J330))</f>
        <v>2761.19</v>
      </c>
      <c r="L330" s="119">
        <f>IF(OR($I330="Ganada",$I330="Perdida",$I330="Medio Ganada",$I330="Medio Perdida"),IF($G330=0,"",J330/$G330),"")</f>
        <v>1.1599999999999999</v>
      </c>
      <c r="M330" s="120">
        <f>IF(OR($A330="",$B330=""),"",COUNTIFS($A$5:A330,A330,$B$5:B330,B330))</f>
        <v>8</v>
      </c>
      <c r="N330" s="120">
        <f>IF($A330="","",COUNTA($A$5:$A330))</f>
        <v>326</v>
      </c>
      <c r="O330" s="120">
        <f>IF($A330="","",COUNTA($A$5:$A330))</f>
        <v>326</v>
      </c>
      <c r="P330" s="118">
        <f>IF($K330="","",MAX($K$5:K330))</f>
        <v>2769.13</v>
      </c>
      <c r="Q330" s="117">
        <f>IF($K330="","",K330-P330)</f>
        <v>-7.9400000000000546</v>
      </c>
      <c r="R330" s="2"/>
      <c r="S330" s="2">
        <f>IF(OR($A330="",$F330=""),"",IF($I330="Pendiente","",ROUND($G330*($F330*0.609-1),2)))</f>
        <v>4.0999999999999996</v>
      </c>
      <c r="T330" s="2">
        <f>IF($A330="","",IFERROR(SUM($S$5:S330),0))</f>
        <v>519.96999999999991</v>
      </c>
    </row>
    <row r="331" spans="1:20" ht="30.75" customHeight="1">
      <c r="A331" s="110">
        <v>46213</v>
      </c>
      <c r="B331" s="124" t="s">
        <v>28</v>
      </c>
      <c r="C331" s="156" t="s">
        <v>595</v>
      </c>
      <c r="D331" s="113" t="s">
        <v>90</v>
      </c>
      <c r="E331" s="106" t="s">
        <v>180</v>
      </c>
      <c r="F331" s="115">
        <v>1.64</v>
      </c>
      <c r="G331" s="116">
        <v>34</v>
      </c>
      <c r="H331" s="120" t="s">
        <v>69</v>
      </c>
      <c r="I331" s="120" t="s">
        <v>70</v>
      </c>
      <c r="J331" s="117">
        <f>IF($A331="","",IF($I331="Ganada",ROUND($G331*($F331-1),2),IF($I331="Medio Ganada",ROUND($G331/2*($F331-1),2),IF($I331="Perdida",IF($H331="Free Bet",0,-$G331),IF($I331="Medio Perdida",IF($H331="Free Bet",0,-$G331/2),IF($I331="Reembolso",IF($R331="","",ROUND($R331-$G331,2)),IF($I331="Anulada",0,"")))))))</f>
        <v>21.76</v>
      </c>
      <c r="K331" s="118">
        <f>IF(J331="","",2000+SUM(J$5:J331))</f>
        <v>2782.95</v>
      </c>
      <c r="L331" s="119">
        <f>IF(OR($I331="Ganada",$I331="Perdida",$I331="Medio Ganada",$I331="Medio Perdida"),IF($G331=0,"",J331/$G331),"")</f>
        <v>0.64</v>
      </c>
      <c r="M331" s="120">
        <f>IF(OR($A331="",$B331=""),"",COUNTIFS($A$5:A331,A331,$B$5:B331,B331))</f>
        <v>3</v>
      </c>
      <c r="N331" s="120">
        <f>IF($A331="","",COUNTA($A$5:$A331))</f>
        <v>327</v>
      </c>
      <c r="O331" s="120">
        <f>IF($A331="","",COUNTA($A$5:$A331))</f>
        <v>327</v>
      </c>
      <c r="P331" s="118">
        <f>IF($K331="","",MAX($K$5:K331))</f>
        <v>2782.95</v>
      </c>
      <c r="Q331" s="117">
        <f>IF($K331="","",K331-P331)</f>
        <v>0</v>
      </c>
      <c r="R331" s="2"/>
      <c r="S331" s="2">
        <f>IF(OR($A331="",$F331=""),"",IF($I331="Pendiente","",ROUND($G331*($F331*0.609-1),2)))</f>
        <v>-0.04</v>
      </c>
      <c r="T331" s="2">
        <f>IF($A331="","",IFERROR(SUM($S$5:S331),0))</f>
        <v>519.92999999999995</v>
      </c>
    </row>
    <row r="332" spans="1:20" ht="30.75" customHeight="1">
      <c r="A332" s="110">
        <v>46214</v>
      </c>
      <c r="B332" s="124" t="s">
        <v>28</v>
      </c>
      <c r="C332" s="156" t="s">
        <v>596</v>
      </c>
      <c r="D332" s="113" t="s">
        <v>67</v>
      </c>
      <c r="E332" s="106" t="s">
        <v>597</v>
      </c>
      <c r="F332" s="115">
        <v>1.9</v>
      </c>
      <c r="G332" s="116">
        <v>27</v>
      </c>
      <c r="H332" s="120" t="s">
        <v>69</v>
      </c>
      <c r="I332" s="120" t="s">
        <v>70</v>
      </c>
      <c r="J332" s="117">
        <f>IF($A332="","",IF($I332="Ganada",ROUND($G332*($F332-1),2),IF($I332="Medio Ganada",ROUND($G332/2*($F332-1),2),IF($I332="Perdida",IF($H332="Free Bet",0,-$G332),IF($I332="Medio Perdida",IF($H332="Free Bet",0,-$G332/2),IF($I332="Reembolso",IF($R332="","",ROUND($R332-$G332,2)),IF($I332="Anulada",0,"")))))))</f>
        <v>24.3</v>
      </c>
      <c r="K332" s="118">
        <f>IF(J332="","",2000+SUM(J$5:J332))</f>
        <v>2807.25</v>
      </c>
      <c r="L332" s="119">
        <f>IF(OR($I332="Ganada",$I332="Perdida",$I332="Medio Ganada",$I332="Medio Perdida"),IF($G332=0,"",J332/$G332),"")</f>
        <v>0.9</v>
      </c>
      <c r="M332" s="120">
        <f>IF(OR($A332="",$B332=""),"",COUNTIFS($A$5:A332,A332,$B$5:B332,B332))</f>
        <v>1</v>
      </c>
      <c r="N332" s="120">
        <f>IF($A332="","",COUNTA($A$5:$A332))</f>
        <v>328</v>
      </c>
      <c r="O332" s="120">
        <f>IF($A332="","",COUNTA($A$5:$A332))</f>
        <v>328</v>
      </c>
      <c r="P332" s="118">
        <f>IF($K332="","",MAX($K$5:K332))</f>
        <v>2807.25</v>
      </c>
      <c r="Q332" s="117">
        <f>IF($K332="","",K332-P332)</f>
        <v>0</v>
      </c>
      <c r="R332" s="2"/>
      <c r="S332" s="2">
        <f>IF(OR($A332="",$F332=""),"",IF($I332="Pendiente","",ROUND($G332*($F332*0.609-1),2)))</f>
        <v>4.24</v>
      </c>
      <c r="T332" s="2">
        <f>IF($A332="","",IFERROR(SUM($S$5:S332),0))</f>
        <v>524.16999999999996</v>
      </c>
    </row>
    <row r="333" spans="1:20" ht="30.75" customHeight="1">
      <c r="A333" s="110">
        <v>46214</v>
      </c>
      <c r="B333" s="111" t="s">
        <v>30</v>
      </c>
      <c r="C333" s="156" t="s">
        <v>598</v>
      </c>
      <c r="D333" s="113" t="s">
        <v>67</v>
      </c>
      <c r="E333" s="158" t="s">
        <v>232</v>
      </c>
      <c r="F333" s="115">
        <v>1.79</v>
      </c>
      <c r="G333" s="116">
        <v>20</v>
      </c>
      <c r="H333" s="120" t="s">
        <v>69</v>
      </c>
      <c r="I333" s="120" t="s">
        <v>75</v>
      </c>
      <c r="J333" s="117">
        <f>IF($A333="","",IF($I333="Ganada",ROUND($G333*($F333-1),2),IF($I333="Medio Ganada",ROUND($G333/2*($F333-1),2),IF($I333="Perdida",IF($H333="Free Bet",0,-$G333),IF($I333="Medio Perdida",IF($H333="Free Bet",0,-$G333/2),IF($I333="Reembolso",IF($R333="","",ROUND($R333-$G333,2)),IF($I333="Anulada",0,"")))))))</f>
        <v>-20</v>
      </c>
      <c r="K333" s="118">
        <f>IF(J333="","",2000+SUM(J$5:J333))</f>
        <v>2787.25</v>
      </c>
      <c r="L333" s="119">
        <f>IF(OR($I333="Ganada",$I333="Perdida",$I333="Medio Ganada",$I333="Medio Perdida"),IF($G333=0,"",J333/$G333),"")</f>
        <v>-1</v>
      </c>
      <c r="M333" s="120">
        <f>IF(OR($A333="",$B333=""),"",COUNTIFS($A$5:A333,A333,$B$5:B333,B333))</f>
        <v>1</v>
      </c>
      <c r="N333" s="120">
        <f>IF($A333="","",COUNTA($A$5:$A333))</f>
        <v>329</v>
      </c>
      <c r="O333" s="120">
        <f>IF($A333="","",COUNTA($A$5:$A333))</f>
        <v>329</v>
      </c>
      <c r="P333" s="118">
        <f>IF($K333="","",MAX($K$5:K333))</f>
        <v>2807.25</v>
      </c>
      <c r="Q333" s="117">
        <f>IF($K333="","",K333-P333)</f>
        <v>-20</v>
      </c>
      <c r="R333" s="2"/>
      <c r="S333" s="2">
        <f>IF(OR($A333="",$F333=""),"",IF($I333="Pendiente","",ROUND($G333*($F333*0.609-1),2)))</f>
        <v>1.8</v>
      </c>
      <c r="T333" s="2">
        <f>IF($A333="","",IFERROR(SUM($S$5:S333),0))</f>
        <v>525.96999999999991</v>
      </c>
    </row>
    <row r="334" spans="1:20" ht="30.75" customHeight="1">
      <c r="A334" s="110">
        <v>46214</v>
      </c>
      <c r="B334" s="111" t="s">
        <v>30</v>
      </c>
      <c r="C334" s="156" t="s">
        <v>599</v>
      </c>
      <c r="D334" s="113" t="s">
        <v>76</v>
      </c>
      <c r="E334" s="106" t="s">
        <v>186</v>
      </c>
      <c r="F334" s="115">
        <v>1.62</v>
      </c>
      <c r="G334" s="116">
        <v>27</v>
      </c>
      <c r="H334" s="120" t="s">
        <v>69</v>
      </c>
      <c r="I334" s="120" t="s">
        <v>75</v>
      </c>
      <c r="J334" s="117">
        <f>IF($A334="","",IF($I334="Ganada",ROUND($G334*($F334-1),2),IF($I334="Medio Ganada",ROUND($G334/2*($F334-1),2),IF($I334="Perdida",IF($H334="Free Bet",0,-$G334),IF($I334="Medio Perdida",IF($H334="Free Bet",0,-$G334/2),IF($I334="Reembolso",IF($R334="","",ROUND($R334-$G334,2)),IF($I334="Anulada",0,"")))))))</f>
        <v>-27</v>
      </c>
      <c r="K334" s="118">
        <f>IF(J334="","",2000+SUM(J$5:J334))</f>
        <v>2760.25</v>
      </c>
      <c r="L334" s="119">
        <f>IF(OR($I334="Ganada",$I334="Perdida",$I334="Medio Ganada",$I334="Medio Perdida"),IF($G334=0,"",J334/$G334),"")</f>
        <v>-1</v>
      </c>
      <c r="M334" s="120">
        <f>IF(OR($A334="",$B334=""),"",COUNTIFS($A$5:A334,A334,$B$5:B334,B334))</f>
        <v>2</v>
      </c>
      <c r="N334" s="120">
        <f>IF($A334="","",COUNTA($A$5:$A334))</f>
        <v>330</v>
      </c>
      <c r="O334" s="120">
        <f>IF($A334="","",COUNTA($A$5:$A334))</f>
        <v>330</v>
      </c>
      <c r="P334" s="118">
        <f>IF($K334="","",MAX($K$5:K334))</f>
        <v>2807.25</v>
      </c>
      <c r="Q334" s="117">
        <f>IF($K334="","",K334-P334)</f>
        <v>-47</v>
      </c>
      <c r="R334" s="2"/>
      <c r="S334" s="2">
        <f>IF(OR($A334="",$F334=""),"",IF($I334="Pendiente","",ROUND($G334*($F334*0.609-1),2)))</f>
        <v>-0.36</v>
      </c>
      <c r="T334" s="2">
        <f>IF($A334="","",IFERROR(SUM($S$5:S334),0))</f>
        <v>525.6099999999999</v>
      </c>
    </row>
    <row r="335" spans="1:20" ht="15" customHeight="1">
      <c r="A335" s="110">
        <v>46214</v>
      </c>
      <c r="B335" s="124" t="s">
        <v>28</v>
      </c>
      <c r="C335" s="154" t="s">
        <v>600</v>
      </c>
      <c r="D335" s="113" t="s">
        <v>90</v>
      </c>
      <c r="E335" s="106" t="s">
        <v>366</v>
      </c>
      <c r="F335" s="115">
        <v>1.44</v>
      </c>
      <c r="G335" s="116">
        <v>45</v>
      </c>
      <c r="H335" s="120" t="s">
        <v>69</v>
      </c>
      <c r="I335" s="120" t="s">
        <v>88</v>
      </c>
      <c r="J335" s="117">
        <f>IF($A335="","",IF($I335="Ganada",ROUND($G335*($F335-1),2),IF($I335="Medio Ganada",ROUND($G335/2*($F335-1),2),IF($I335="Perdida",IF($H335="Free Bet",0,-$G335),IF($I335="Medio Perdida",IF($H335="Free Bet",0,-$G335/2),IF($I335="Reembolso",IF($R335="","",ROUND($R335-$G335,2)),IF($I335="Anulada",0,"")))))))</f>
        <v>0</v>
      </c>
      <c r="K335" s="118">
        <f>IF(J335="","",2000+SUM(J$5:J335))</f>
        <v>2760.25</v>
      </c>
      <c r="L335" s="119" t="str">
        <f>IF(OR($I335="Ganada",$I335="Perdida",$I335="Medio Ganada",$I335="Medio Perdida"),IF($G335=0,"",J335/$G335),"")</f>
        <v/>
      </c>
      <c r="M335" s="120">
        <f>IF(OR($A335="",$B335=""),"",COUNTIFS($A$5:A335,A335,$B$5:B335,B335))</f>
        <v>2</v>
      </c>
      <c r="N335" s="120">
        <f>IF($A335="","",COUNTA($A$5:$A335))</f>
        <v>331</v>
      </c>
      <c r="O335" s="120">
        <f>IF($A335="","",COUNTA($A$5:$A335))</f>
        <v>331</v>
      </c>
      <c r="P335" s="118">
        <f>IF($K335="","",MAX($K$5:K335))</f>
        <v>2807.25</v>
      </c>
      <c r="Q335" s="117">
        <f>IF($K335="","",K335-P335)</f>
        <v>-47</v>
      </c>
      <c r="R335" s="2"/>
      <c r="S335" s="2">
        <f>IF(OR($A335="",$F335=""),"",IF($I335="Pendiente","",ROUND($G335*($F335*0.609-1),2)))</f>
        <v>-5.54</v>
      </c>
      <c r="T335" s="2">
        <f>IF($A335="","",IFERROR(SUM($S$5:S335),0))</f>
        <v>520.06999999999994</v>
      </c>
    </row>
    <row r="336" spans="1:20" ht="30.75" customHeight="1">
      <c r="A336" s="110">
        <v>46214</v>
      </c>
      <c r="B336" s="111" t="s">
        <v>30</v>
      </c>
      <c r="C336" s="154" t="s">
        <v>601</v>
      </c>
      <c r="D336" s="113" t="s">
        <v>67</v>
      </c>
      <c r="E336" s="158" t="s">
        <v>521</v>
      </c>
      <c r="F336" s="115">
        <v>1.77</v>
      </c>
      <c r="G336" s="116">
        <v>20</v>
      </c>
      <c r="H336" s="120" t="s">
        <v>69</v>
      </c>
      <c r="I336" s="120" t="s">
        <v>75</v>
      </c>
      <c r="J336" s="117">
        <f>IF($A336="","",IF($I336="Ganada",ROUND($G336*($F336-1),2),IF($I336="Medio Ganada",ROUND($G336/2*($F336-1),2),IF($I336="Perdida",IF($H336="Free Bet",0,-$G336),IF($I336="Medio Perdida",IF($H336="Free Bet",0,-$G336/2),IF($I336="Reembolso",IF($R336="","",ROUND($R336-$G336,2)),IF($I336="Anulada",0,"")))))))</f>
        <v>-20</v>
      </c>
      <c r="K336" s="118">
        <f>IF(J336="","",2000+SUM(J$5:J336))</f>
        <v>2740.25</v>
      </c>
      <c r="L336" s="119">
        <f>IF(OR($I336="Ganada",$I336="Perdida",$I336="Medio Ganada",$I336="Medio Perdida"),IF($G336=0,"",J336/$G336),"")</f>
        <v>-1</v>
      </c>
      <c r="M336" s="120">
        <f>IF(OR($A336="",$B336=""),"",COUNTIFS($A$5:A336,A336,$B$5:B336,B336))</f>
        <v>3</v>
      </c>
      <c r="N336" s="120">
        <f>IF($A336="","",COUNTA($A$5:$A336))</f>
        <v>332</v>
      </c>
      <c r="O336" s="120">
        <f>IF($A336="","",COUNTA($A$5:$A336))</f>
        <v>332</v>
      </c>
      <c r="P336" s="118">
        <f>IF($K336="","",MAX($K$5:K336))</f>
        <v>2807.25</v>
      </c>
      <c r="Q336" s="117">
        <f>IF($K336="","",K336-P336)</f>
        <v>-67</v>
      </c>
      <c r="R336" s="2"/>
      <c r="S336" s="2">
        <f>IF(OR($A336="",$F336=""),"",IF($I336="Pendiente","",ROUND($G336*($F336*0.609-1),2)))</f>
        <v>1.56</v>
      </c>
      <c r="T336" s="2">
        <f>IF($A336="","",IFERROR(SUM($S$5:S336),0))</f>
        <v>521.62999999999988</v>
      </c>
    </row>
    <row r="337" spans="1:20" ht="30.75" customHeight="1">
      <c r="A337" s="110">
        <v>46214</v>
      </c>
      <c r="B337" s="111" t="s">
        <v>30</v>
      </c>
      <c r="C337" s="156" t="s">
        <v>602</v>
      </c>
      <c r="D337" s="113" t="s">
        <v>67</v>
      </c>
      <c r="E337" s="106" t="s">
        <v>603</v>
      </c>
      <c r="F337" s="115">
        <v>2.2000000000000002</v>
      </c>
      <c r="G337" s="116">
        <v>13</v>
      </c>
      <c r="H337" s="120" t="s">
        <v>69</v>
      </c>
      <c r="I337" s="120" t="s">
        <v>75</v>
      </c>
      <c r="J337" s="117">
        <f>IF($A337="","",IF($I337="Ganada",ROUND($G337*($F337-1),2),IF($I337="Medio Ganada",ROUND($G337/2*($F337-1),2),IF($I337="Perdida",IF($H337="Free Bet",0,-$G337),IF($I337="Medio Perdida",IF($H337="Free Bet",0,-$G337/2),IF($I337="Reembolso",IF($R337="","",ROUND($R337-$G337,2)),IF($I337="Anulada",0,"")))))))</f>
        <v>-13</v>
      </c>
      <c r="K337" s="118">
        <f>IF(J337="","",2000+SUM(J$5:J337))</f>
        <v>2727.25</v>
      </c>
      <c r="L337" s="119">
        <f>IF(OR($I337="Ganada",$I337="Perdida",$I337="Medio Ganada",$I337="Medio Perdida"),IF($G337=0,"",J337/$G337),"")</f>
        <v>-1</v>
      </c>
      <c r="M337" s="120">
        <f>IF(OR($A337="",$B337=""),"",COUNTIFS($A$5:A337,A337,$B$5:B337,B337))</f>
        <v>4</v>
      </c>
      <c r="N337" s="120">
        <f>IF($A337="","",COUNTA($A$5:$A337))</f>
        <v>333</v>
      </c>
      <c r="O337" s="120">
        <f>IF($A337="","",COUNTA($A$5:$A337))</f>
        <v>333</v>
      </c>
      <c r="P337" s="118">
        <f>IF($K337="","",MAX($K$5:K337))</f>
        <v>2807.25</v>
      </c>
      <c r="Q337" s="117">
        <f>IF($K337="","",K337-P337)</f>
        <v>-80</v>
      </c>
      <c r="R337" s="2"/>
      <c r="S337" s="2">
        <f>IF(OR($A337="",$F337=""),"",IF($I337="Pendiente","",ROUND($G337*($F337*0.609-1),2)))</f>
        <v>4.42</v>
      </c>
      <c r="T337" s="2">
        <f>IF($A337="","",IFERROR(SUM($S$5:S337),0))</f>
        <v>526.04999999999984</v>
      </c>
    </row>
    <row r="338" spans="1:20" ht="30.75" customHeight="1">
      <c r="A338" s="110">
        <v>46214</v>
      </c>
      <c r="B338" s="159" t="s">
        <v>34</v>
      </c>
      <c r="C338" s="156" t="s">
        <v>604</v>
      </c>
      <c r="D338" s="113" t="s">
        <v>67</v>
      </c>
      <c r="E338" s="158" t="s">
        <v>289</v>
      </c>
      <c r="F338" s="115">
        <v>1.62</v>
      </c>
      <c r="G338" s="116">
        <v>27</v>
      </c>
      <c r="H338" s="120" t="s">
        <v>69</v>
      </c>
      <c r="I338" s="120" t="s">
        <v>70</v>
      </c>
      <c r="J338" s="117">
        <f>IF($A338="","",IF($I338="Ganada",ROUND($G338*($F338-1),2),IF($I338="Medio Ganada",ROUND($G338/2*($F338-1),2),IF($I338="Perdida",IF($H338="Free Bet",0,-$G338),IF($I338="Medio Perdida",IF($H338="Free Bet",0,-$G338/2),IF($I338="Reembolso",IF($R338="","",ROUND($R338-$G338,2)),IF($I338="Anulada",0,"")))))))</f>
        <v>16.739999999999998</v>
      </c>
      <c r="K338" s="118">
        <f>IF(J338="","",2000+SUM(J$5:J338))</f>
        <v>2743.99</v>
      </c>
      <c r="L338" s="119">
        <f>IF(OR($I338="Ganada",$I338="Perdida",$I338="Medio Ganada",$I338="Medio Perdida"),IF($G338=0,"",J338/$G338),"")</f>
        <v>0.62</v>
      </c>
      <c r="M338" s="120">
        <f>IF(OR($A338="",$B338=""),"",COUNTIFS($A$5:A338,A338,$B$5:B338,B338))</f>
        <v>1</v>
      </c>
      <c r="N338" s="120">
        <f>IF($A338="","",COUNTA($A$5:$A338))</f>
        <v>334</v>
      </c>
      <c r="O338" s="120">
        <f>IF($A338="","",COUNTA($A$5:$A338))</f>
        <v>334</v>
      </c>
      <c r="P338" s="118">
        <f>IF($K338="","",MAX($K$5:K338))</f>
        <v>2807.25</v>
      </c>
      <c r="Q338" s="117">
        <f>IF($K338="","",K338-P338)</f>
        <v>-63.260000000000218</v>
      </c>
      <c r="R338" s="2"/>
      <c r="S338" s="2">
        <f>IF(OR($A338="",$F338=""),"",IF($I338="Pendiente","",ROUND($G338*($F338*0.609-1),2)))</f>
        <v>-0.36</v>
      </c>
      <c r="T338" s="2">
        <f>IF($A338="","",IFERROR(SUM($S$5:S338),0))</f>
        <v>525.68999999999983</v>
      </c>
    </row>
    <row r="339" spans="1:20" ht="30.75" customHeight="1">
      <c r="A339" s="110">
        <v>46214</v>
      </c>
      <c r="B339" s="111" t="s">
        <v>30</v>
      </c>
      <c r="C339" s="154" t="s">
        <v>605</v>
      </c>
      <c r="D339" s="113" t="s">
        <v>67</v>
      </c>
      <c r="E339" s="158" t="s">
        <v>459</v>
      </c>
      <c r="F339" s="115">
        <v>2.1</v>
      </c>
      <c r="G339" s="116">
        <v>13</v>
      </c>
      <c r="H339" s="120" t="s">
        <v>69</v>
      </c>
      <c r="I339" s="120" t="s">
        <v>75</v>
      </c>
      <c r="J339" s="117">
        <f>IF($A339="","",IF($I339="Ganada",ROUND($G339*($F339-1),2),IF($I339="Medio Ganada",ROUND($G339/2*($F339-1),2),IF($I339="Perdida",IF($H339="Free Bet",0,-$G339),IF($I339="Medio Perdida",IF($H339="Free Bet",0,-$G339/2),IF($I339="Reembolso",IF($R339="","",ROUND($R339-$G339,2)),IF($I339="Anulada",0,"")))))))</f>
        <v>-13</v>
      </c>
      <c r="K339" s="118">
        <f>IF(J339="","",2000+SUM(J$5:J339))</f>
        <v>2730.99</v>
      </c>
      <c r="L339" s="119">
        <f>IF(OR($I339="Ganada",$I339="Perdida",$I339="Medio Ganada",$I339="Medio Perdida"),IF($G339=0,"",J339/$G339),"")</f>
        <v>-1</v>
      </c>
      <c r="M339" s="120">
        <f>IF(OR($A339="",$B339=""),"",COUNTIFS($A$5:A339,A339,$B$5:B339,B339))</f>
        <v>5</v>
      </c>
      <c r="N339" s="120">
        <f>IF($A339="","",COUNTA($A$5:$A339))</f>
        <v>335</v>
      </c>
      <c r="O339" s="120">
        <f>IF($A339="","",COUNTA($A$5:$A339))</f>
        <v>335</v>
      </c>
      <c r="P339" s="118">
        <f>IF($K339="","",MAX($K$5:K339))</f>
        <v>2807.25</v>
      </c>
      <c r="Q339" s="117">
        <f>IF($K339="","",K339-P339)</f>
        <v>-76.260000000000218</v>
      </c>
      <c r="R339" s="2"/>
      <c r="S339" s="2">
        <f>IF(OR($A339="",$F339=""),"",IF($I339="Pendiente","",ROUND($G339*($F339*0.609-1),2)))</f>
        <v>3.63</v>
      </c>
      <c r="T339" s="2">
        <f>IF($A339="","",IFERROR(SUM($S$5:S339),0))</f>
        <v>529.31999999999982</v>
      </c>
    </row>
    <row r="340" spans="1:20" ht="15" customHeight="1">
      <c r="A340" s="110">
        <v>46214</v>
      </c>
      <c r="B340" s="159" t="s">
        <v>34</v>
      </c>
      <c r="C340" s="154" t="s">
        <v>606</v>
      </c>
      <c r="D340" s="113" t="s">
        <v>67</v>
      </c>
      <c r="E340" s="106" t="s">
        <v>319</v>
      </c>
      <c r="F340" s="115">
        <v>1.74</v>
      </c>
      <c r="G340" s="116">
        <v>27</v>
      </c>
      <c r="H340" s="120" t="s">
        <v>69</v>
      </c>
      <c r="I340" s="120" t="s">
        <v>70</v>
      </c>
      <c r="J340" s="117">
        <f>IF($A340="","",IF($I340="Ganada",ROUND($G340*($F340-1),2),IF($I340="Medio Ganada",ROUND($G340/2*($F340-1),2),IF($I340="Perdida",IF($H340="Free Bet",0,-$G340),IF($I340="Medio Perdida",IF($H340="Free Bet",0,-$G340/2),IF($I340="Reembolso",IF($R340="","",ROUND($R340-$G340,2)),IF($I340="Anulada",0,"")))))))</f>
        <v>19.98</v>
      </c>
      <c r="K340" s="118">
        <f>IF(J340="","",2000+SUM(J$5:J340))</f>
        <v>2750.9700000000003</v>
      </c>
      <c r="L340" s="119">
        <f>IF(OR($I340="Ganada",$I340="Perdida",$I340="Medio Ganada",$I340="Medio Perdida"),IF($G340=0,"",J340/$G340),"")</f>
        <v>0.74</v>
      </c>
      <c r="M340" s="120">
        <f>IF(OR($A340="",$B340=""),"",COUNTIFS($A$5:A340,A340,$B$5:B340,B340))</f>
        <v>2</v>
      </c>
      <c r="N340" s="120">
        <f>IF($A340="","",COUNTA($A$5:$A340))</f>
        <v>336</v>
      </c>
      <c r="O340" s="120">
        <f>IF($A340="","",COUNTA($A$5:$A340))</f>
        <v>336</v>
      </c>
      <c r="P340" s="118">
        <f>IF($K340="","",MAX($K$5:K340))</f>
        <v>2807.25</v>
      </c>
      <c r="Q340" s="117">
        <f>IF($K340="","",K340-P340)</f>
        <v>-56.279999999999745</v>
      </c>
      <c r="R340" s="2"/>
      <c r="S340" s="2">
        <f>IF(OR($A340="",$F340=""),"",IF($I340="Pendiente","",ROUND($G340*($F340*0.609-1),2)))</f>
        <v>1.61</v>
      </c>
      <c r="T340" s="2">
        <f>IF($A340="","",IFERROR(SUM($S$5:S340),0))</f>
        <v>530.92999999999984</v>
      </c>
    </row>
    <row r="341" spans="1:20" ht="30.75" customHeight="1">
      <c r="A341" s="110">
        <v>46214</v>
      </c>
      <c r="B341" s="111" t="s">
        <v>30</v>
      </c>
      <c r="C341" s="154" t="s">
        <v>607</v>
      </c>
      <c r="D341" s="113" t="s">
        <v>67</v>
      </c>
      <c r="E341" s="158" t="s">
        <v>473</v>
      </c>
      <c r="F341" s="115">
        <v>2.02</v>
      </c>
      <c r="G341" s="116">
        <v>20</v>
      </c>
      <c r="H341" s="120" t="s">
        <v>69</v>
      </c>
      <c r="I341" s="120" t="s">
        <v>75</v>
      </c>
      <c r="J341" s="117">
        <f>IF($A341="","",IF($I341="Ganada",ROUND($G341*($F341-1),2),IF($I341="Medio Ganada",ROUND($G341/2*($F341-1),2),IF($I341="Perdida",IF($H341="Free Bet",0,-$G341),IF($I341="Medio Perdida",IF($H341="Free Bet",0,-$G341/2),IF($I341="Reembolso",IF($R341="","",ROUND($R341-$G341,2)),IF($I341="Anulada",0,"")))))))</f>
        <v>-20</v>
      </c>
      <c r="K341" s="118">
        <f>IF(J341="","",2000+SUM(J$5:J341))</f>
        <v>2730.9700000000003</v>
      </c>
      <c r="L341" s="119">
        <f>IF(OR($I341="Ganada",$I341="Perdida",$I341="Medio Ganada",$I341="Medio Perdida"),IF($G341=0,"",J341/$G341),"")</f>
        <v>-1</v>
      </c>
      <c r="M341" s="120">
        <f>IF(OR($A341="",$B341=""),"",COUNTIFS($A$5:A341,A341,$B$5:B341,B341))</f>
        <v>6</v>
      </c>
      <c r="N341" s="120">
        <f>IF($A341="","",COUNTA($A$5:$A341))</f>
        <v>337</v>
      </c>
      <c r="O341" s="120">
        <f>IF($A341="","",COUNTA($A$5:$A341))</f>
        <v>337</v>
      </c>
      <c r="P341" s="118">
        <f>IF($K341="","",MAX($K$5:K341))</f>
        <v>2807.25</v>
      </c>
      <c r="Q341" s="117">
        <f>IF($K341="","",K341-P341)</f>
        <v>-76.279999999999745</v>
      </c>
      <c r="R341" s="2"/>
      <c r="S341" s="2">
        <f>IF(OR($A341="",$F341=""),"",IF($I341="Pendiente","",ROUND($G341*($F341*0.609-1),2)))</f>
        <v>4.5999999999999996</v>
      </c>
      <c r="T341" s="2">
        <f>IF($A341="","",IFERROR(SUM($S$5:S341),0))</f>
        <v>535.52999999999986</v>
      </c>
    </row>
    <row r="342" spans="1:20" ht="15" customHeight="1">
      <c r="A342" s="110">
        <v>46214</v>
      </c>
      <c r="B342" s="124" t="s">
        <v>28</v>
      </c>
      <c r="C342" s="154" t="s">
        <v>608</v>
      </c>
      <c r="D342" s="113" t="s">
        <v>90</v>
      </c>
      <c r="E342" s="106" t="s">
        <v>366</v>
      </c>
      <c r="F342" s="115">
        <v>1.78</v>
      </c>
      <c r="G342" s="116">
        <v>27</v>
      </c>
      <c r="H342" s="120" t="s">
        <v>69</v>
      </c>
      <c r="I342" s="120" t="s">
        <v>75</v>
      </c>
      <c r="J342" s="117">
        <f>IF($A342="","",IF($I342="Ganada",ROUND($G342*($F342-1),2),IF($I342="Medio Ganada",ROUND($G342/2*($F342-1),2),IF($I342="Perdida",IF($H342="Free Bet",0,-$G342),IF($I342="Medio Perdida",IF($H342="Free Bet",0,-$G342/2),IF($I342="Reembolso",IF($R342="","",ROUND($R342-$G342,2)),IF($I342="Anulada",0,"")))))))</f>
        <v>-27</v>
      </c>
      <c r="K342" s="118">
        <f>IF(J342="","",2000+SUM(J$5:J342))</f>
        <v>2703.9700000000003</v>
      </c>
      <c r="L342" s="119">
        <f>IF(OR($I342="Ganada",$I342="Perdida",$I342="Medio Ganada",$I342="Medio Perdida"),IF($G342=0,"",J342/$G342),"")</f>
        <v>-1</v>
      </c>
      <c r="M342" s="120">
        <f>IF(OR($A342="",$B342=""),"",COUNTIFS($A$5:A342,A342,$B$5:B342,B342))</f>
        <v>3</v>
      </c>
      <c r="N342" s="120">
        <f>IF($A342="","",COUNTA($A$5:$A342))</f>
        <v>338</v>
      </c>
      <c r="O342" s="120">
        <f>IF($A342="","",COUNTA($A$5:$A342))</f>
        <v>338</v>
      </c>
      <c r="P342" s="118">
        <f>IF($K342="","",MAX($K$5:K342))</f>
        <v>2807.25</v>
      </c>
      <c r="Q342" s="117">
        <f>IF($K342="","",K342-P342)</f>
        <v>-103.27999999999975</v>
      </c>
      <c r="R342" s="2"/>
      <c r="S342" s="2">
        <f>IF(OR($A342="",$F342=""),"",IF($I342="Pendiente","",ROUND($G342*($F342*0.609-1),2)))</f>
        <v>2.27</v>
      </c>
      <c r="T342" s="2">
        <f>IF($A342="","",IFERROR(SUM($S$5:S342),0))</f>
        <v>537.79999999999984</v>
      </c>
    </row>
    <row r="343" spans="1:20" ht="30.75" customHeight="1">
      <c r="A343" s="110">
        <v>46214</v>
      </c>
      <c r="B343" s="111" t="s">
        <v>30</v>
      </c>
      <c r="C343" s="154" t="s">
        <v>609</v>
      </c>
      <c r="D343" s="113" t="s">
        <v>67</v>
      </c>
      <c r="E343" s="158" t="s">
        <v>610</v>
      </c>
      <c r="F343" s="115">
        <v>1.47</v>
      </c>
      <c r="G343" s="116">
        <v>27</v>
      </c>
      <c r="H343" s="120" t="s">
        <v>69</v>
      </c>
      <c r="I343" s="120" t="s">
        <v>70</v>
      </c>
      <c r="J343" s="117">
        <f>IF($A343="","",IF($I343="Ganada",ROUND($G343*($F343-1),2),IF($I343="Medio Ganada",ROUND($G343/2*($F343-1),2),IF($I343="Perdida",IF($H343="Free Bet",0,-$G343),IF($I343="Medio Perdida",IF($H343="Free Bet",0,-$G343/2),IF($I343="Reembolso",IF($R343="","",ROUND($R343-$G343,2)),IF($I343="Anulada",0,"")))))))</f>
        <v>12.69</v>
      </c>
      <c r="K343" s="118">
        <f>IF(J343="","",2000+SUM(J$5:J343))</f>
        <v>2716.66</v>
      </c>
      <c r="L343" s="119">
        <f>IF(OR($I343="Ganada",$I343="Perdida",$I343="Medio Ganada",$I343="Medio Perdida"),IF($G343=0,"",J343/$G343),"")</f>
        <v>0.47</v>
      </c>
      <c r="M343" s="120">
        <f>IF(OR($A343="",$B343=""),"",COUNTIFS($A$5:A343,A343,$B$5:B343,B343))</f>
        <v>7</v>
      </c>
      <c r="N343" s="120">
        <f>IF($A343="","",COUNTA($A$5:$A343))</f>
        <v>339</v>
      </c>
      <c r="O343" s="120">
        <f>IF($A343="","",COUNTA($A$5:$A343))</f>
        <v>339</v>
      </c>
      <c r="P343" s="118">
        <f>IF($K343="","",MAX($K$5:K343))</f>
        <v>2807.25</v>
      </c>
      <c r="Q343" s="117">
        <f>IF($K343="","",K343-P343)</f>
        <v>-90.590000000000146</v>
      </c>
      <c r="R343" s="2"/>
      <c r="S343" s="2">
        <f>IF(OR($A343="",$F343=""),"",IF($I343="Pendiente","",ROUND($G343*($F343*0.609-1),2)))</f>
        <v>-2.83</v>
      </c>
      <c r="T343" s="2">
        <f>IF($A343="","",IFERROR(SUM($S$5:S343),0))</f>
        <v>534.9699999999998</v>
      </c>
    </row>
    <row r="344" spans="1:20" ht="15" customHeight="1">
      <c r="A344" s="110">
        <v>46214</v>
      </c>
      <c r="B344" s="124" t="s">
        <v>28</v>
      </c>
      <c r="C344" s="154" t="s">
        <v>611</v>
      </c>
      <c r="D344" s="113" t="s">
        <v>95</v>
      </c>
      <c r="E344" s="106" t="s">
        <v>254</v>
      </c>
      <c r="F344" s="115">
        <v>1.4</v>
      </c>
      <c r="G344" s="116">
        <v>27</v>
      </c>
      <c r="H344" s="120" t="s">
        <v>69</v>
      </c>
      <c r="I344" s="120" t="s">
        <v>88</v>
      </c>
      <c r="J344" s="117">
        <f>IF($A344="","",IF($I344="Ganada",ROUND($G344*($F344-1),2),IF($I344="Medio Ganada",ROUND($G344/2*($F344-1),2),IF($I344="Perdida",IF($H344="Free Bet",0,-$G344),IF($I344="Medio Perdida",IF($H344="Free Bet",0,-$G344/2),IF($I344="Reembolso",IF($R344="","",ROUND($R344-$G344,2)),IF($I344="Anulada",0,"")))))))</f>
        <v>0</v>
      </c>
      <c r="K344" s="118">
        <f>IF(J344="","",2000+SUM(J$5:J344))</f>
        <v>2716.66</v>
      </c>
      <c r="L344" s="119" t="str">
        <f>IF(OR($I344="Ganada",$I344="Perdida",$I344="Medio Ganada",$I344="Medio Perdida"),IF($G344=0,"",J344/$G344),"")</f>
        <v/>
      </c>
      <c r="M344" s="120">
        <f>IF(OR($A344="",$B344=""),"",COUNTIFS($A$5:A344,A344,$B$5:B344,B344))</f>
        <v>4</v>
      </c>
      <c r="N344" s="120">
        <f>IF($A344="","",COUNTA($A$5:$A344))</f>
        <v>340</v>
      </c>
      <c r="O344" s="120">
        <f>IF($A344="","",COUNTA($A$5:$A344))</f>
        <v>340</v>
      </c>
      <c r="P344" s="118">
        <f>IF($K344="","",MAX($K$5:K344))</f>
        <v>2807.25</v>
      </c>
      <c r="Q344" s="117">
        <f>IF($K344="","",K344-P344)</f>
        <v>-90.590000000000146</v>
      </c>
      <c r="R344" s="2"/>
      <c r="S344" s="2">
        <f>IF(OR($A344="",$F344=""),"",IF($I344="Pendiente","",ROUND($G344*($F344*0.609-1),2)))</f>
        <v>-3.98</v>
      </c>
      <c r="T344" s="2">
        <f>IF($A344="","",IFERROR(SUM($S$5:S344),0))</f>
        <v>530.98999999999978</v>
      </c>
    </row>
    <row r="345" spans="1:20" ht="15" customHeight="1">
      <c r="A345" s="110">
        <v>46214</v>
      </c>
      <c r="B345" s="161" t="s">
        <v>28</v>
      </c>
      <c r="C345" s="156" t="s">
        <v>612</v>
      </c>
      <c r="D345" s="113" t="s">
        <v>67</v>
      </c>
      <c r="E345" s="106" t="s">
        <v>613</v>
      </c>
      <c r="F345" s="115">
        <v>2</v>
      </c>
      <c r="G345" s="116">
        <v>27</v>
      </c>
      <c r="H345" s="120" t="s">
        <v>69</v>
      </c>
      <c r="I345" s="120" t="s">
        <v>88</v>
      </c>
      <c r="J345" s="117">
        <f>IF($A345="","",IF($I345="Ganada",ROUND($G345*($F345-1),2),IF($I345="Medio Ganada",ROUND($G345/2*($F345-1),2),IF($I345="Perdida",IF($H345="Free Bet",0,-$G345),IF($I345="Medio Perdida",IF($H345="Free Bet",0,-$G345/2),IF($I345="Reembolso",IF($R345="","",ROUND($R345-$G345,2)),IF($I345="Anulada",0,"")))))))</f>
        <v>0</v>
      </c>
      <c r="K345" s="118">
        <f>IF(J345="","",2000+SUM(J$5:J345))</f>
        <v>2716.66</v>
      </c>
      <c r="L345" s="119" t="str">
        <f>IF(OR($I345="Ganada",$I345="Perdida",$I345="Medio Ganada",$I345="Medio Perdida"),IF($G345=0,"",J345/$G345),"")</f>
        <v/>
      </c>
      <c r="M345" s="120">
        <f>IF(OR($A345="",$B345=""),"",COUNTIFS($A$5:A345,A345,$B$5:B345,B345))</f>
        <v>5</v>
      </c>
      <c r="N345" s="120">
        <f>IF($A345="","",COUNTA($A$5:$A345))</f>
        <v>341</v>
      </c>
      <c r="O345" s="120">
        <f>IF($A345="","",COUNTA($A$5:$A345))</f>
        <v>341</v>
      </c>
      <c r="P345" s="118">
        <f>IF($K345="","",MAX($K$5:K345))</f>
        <v>2807.25</v>
      </c>
      <c r="Q345" s="117">
        <f>IF($K345="","",K345-P345)</f>
        <v>-90.590000000000146</v>
      </c>
      <c r="R345" s="2"/>
      <c r="S345" s="2">
        <f>IF(OR($A345="",$F345=""),"",IF($I345="Pendiente","",ROUND($G345*($F345*0.609-1),2)))</f>
        <v>5.89</v>
      </c>
      <c r="T345" s="2">
        <f>IF($A345="","",IFERROR(SUM($S$5:S345),0))</f>
        <v>536.87999999999977</v>
      </c>
    </row>
    <row r="346" spans="1:20" ht="30.75" customHeight="1">
      <c r="A346" s="110">
        <v>46214</v>
      </c>
      <c r="B346" s="111" t="s">
        <v>30</v>
      </c>
      <c r="C346" s="156" t="s">
        <v>614</v>
      </c>
      <c r="D346" s="113" t="s">
        <v>76</v>
      </c>
      <c r="E346" s="106" t="s">
        <v>546</v>
      </c>
      <c r="F346" s="115">
        <v>1.52</v>
      </c>
      <c r="G346" s="116">
        <v>27</v>
      </c>
      <c r="H346" s="120" t="s">
        <v>69</v>
      </c>
      <c r="I346" s="120" t="s">
        <v>75</v>
      </c>
      <c r="J346" s="117">
        <f>IF($A346="","",IF($I346="Ganada",ROUND($G346*($F346-1),2),IF($I346="Medio Ganada",ROUND($G346/2*($F346-1),2),IF($I346="Perdida",IF($H346="Free Bet",0,-$G346),IF($I346="Medio Perdida",IF($H346="Free Bet",0,-$G346/2),IF($I346="Reembolso",IF($R346="","",ROUND($R346-$G346,2)),IF($I346="Anulada",0,"")))))))</f>
        <v>-27</v>
      </c>
      <c r="K346" s="118">
        <f>IF(J346="","",2000+SUM(J$5:J346))</f>
        <v>2689.66</v>
      </c>
      <c r="L346" s="119">
        <f>IF(OR($I346="Ganada",$I346="Perdida",$I346="Medio Ganada",$I346="Medio Perdida"),IF($G346=0,"",J346/$G346),"")</f>
        <v>-1</v>
      </c>
      <c r="M346" s="120">
        <f>IF(OR($A346="",$B346=""),"",COUNTIFS($A$5:A346,A346,$B$5:B346,B346))</f>
        <v>8</v>
      </c>
      <c r="N346" s="120">
        <f>IF($A346="","",COUNTA($A$5:$A346))</f>
        <v>342</v>
      </c>
      <c r="O346" s="120">
        <f>IF($A346="","",COUNTA($A$5:$A346))</f>
        <v>342</v>
      </c>
      <c r="P346" s="118">
        <f>IF($K346="","",MAX($K$5:K346))</f>
        <v>2807.25</v>
      </c>
      <c r="Q346" s="117">
        <f>IF($K346="","",K346-P346)</f>
        <v>-117.59000000000015</v>
      </c>
      <c r="R346" s="2"/>
      <c r="S346" s="2">
        <f>IF(OR($A346="",$F346=""),"",IF($I346="Pendiente","",ROUND($G346*($F346*0.609-1),2)))</f>
        <v>-2.0099999999999998</v>
      </c>
      <c r="T346" s="2">
        <f>IF($A346="","",IFERROR(SUM($S$5:S346),0))</f>
        <v>534.86999999999978</v>
      </c>
    </row>
    <row r="347" spans="1:20" ht="30.75" customHeight="1">
      <c r="A347" s="110">
        <v>46214</v>
      </c>
      <c r="B347" s="111" t="s">
        <v>30</v>
      </c>
      <c r="C347" s="154" t="s">
        <v>615</v>
      </c>
      <c r="D347" s="113" t="s">
        <v>67</v>
      </c>
      <c r="E347" s="158" t="s">
        <v>244</v>
      </c>
      <c r="F347" s="115">
        <v>1.78</v>
      </c>
      <c r="G347" s="116">
        <v>20</v>
      </c>
      <c r="H347" s="120" t="s">
        <v>69</v>
      </c>
      <c r="I347" s="120" t="s">
        <v>70</v>
      </c>
      <c r="J347" s="117">
        <f>IF($A347="","",IF($I347="Ganada",ROUND($G347*($F347-1),2),IF($I347="Medio Ganada",ROUND($G347/2*($F347-1),2),IF($I347="Perdida",IF($H347="Free Bet",0,-$G347),IF($I347="Medio Perdida",IF($H347="Free Bet",0,-$G347/2),IF($I347="Reembolso",IF($R347="","",ROUND($R347-$G347,2)),IF($I347="Anulada",0,"")))))))</f>
        <v>15.6</v>
      </c>
      <c r="K347" s="118">
        <f>IF(J347="","",2000+SUM(J$5:J347))</f>
        <v>2705.26</v>
      </c>
      <c r="L347" s="119">
        <f>IF(OR($I347="Ganada",$I347="Perdida",$I347="Medio Ganada",$I347="Medio Perdida"),IF($G347=0,"",J347/$G347),"")</f>
        <v>0.78</v>
      </c>
      <c r="M347" s="120">
        <f>IF(OR($A347="",$B347=""),"",COUNTIFS($A$5:A347,A347,$B$5:B347,B347))</f>
        <v>9</v>
      </c>
      <c r="N347" s="120">
        <f>IF($A347="","",COUNTA($A$5:$A347))</f>
        <v>343</v>
      </c>
      <c r="O347" s="120">
        <f>IF($A347="","",COUNTA($A$5:$A347))</f>
        <v>343</v>
      </c>
      <c r="P347" s="118">
        <f>IF($K347="","",MAX($K$5:K347))</f>
        <v>2807.25</v>
      </c>
      <c r="Q347" s="117">
        <f>IF($K347="","",K347-P347)</f>
        <v>-101.98999999999978</v>
      </c>
      <c r="R347" s="2"/>
      <c r="S347" s="2">
        <f>IF(OR($A347="",$F347=""),"",IF($I347="Pendiente","",ROUND($G347*($F347*0.609-1),2)))</f>
        <v>1.68</v>
      </c>
      <c r="T347" s="2">
        <f>IF($A347="","",IFERROR(SUM($S$5:S347),0))</f>
        <v>536.54999999999973</v>
      </c>
    </row>
    <row r="348" spans="1:20" ht="30.75" customHeight="1">
      <c r="A348" s="110">
        <v>46214</v>
      </c>
      <c r="B348" s="111" t="s">
        <v>30</v>
      </c>
      <c r="C348" s="156" t="s">
        <v>616</v>
      </c>
      <c r="D348" s="113" t="s">
        <v>67</v>
      </c>
      <c r="E348" s="158" t="s">
        <v>617</v>
      </c>
      <c r="F348" s="115">
        <v>1.87</v>
      </c>
      <c r="G348" s="116">
        <v>14</v>
      </c>
      <c r="H348" s="120" t="s">
        <v>69</v>
      </c>
      <c r="I348" s="120" t="s">
        <v>70</v>
      </c>
      <c r="J348" s="117">
        <f>IF($A348="","",IF($I348="Ganada",ROUND($G348*($F348-1),2),IF($I348="Medio Ganada",ROUND($G348/2*($F348-1),2),IF($I348="Perdida",IF($H348="Free Bet",0,-$G348),IF($I348="Medio Perdida",IF($H348="Free Bet",0,-$G348/2),IF($I348="Reembolso",IF($R348="","",ROUND($R348-$G348,2)),IF($I348="Anulada",0,"")))))))</f>
        <v>12.18</v>
      </c>
      <c r="K348" s="118">
        <f>IF(J348="","",2000+SUM(J$5:J348))</f>
        <v>2717.44</v>
      </c>
      <c r="L348" s="119">
        <f>IF(OR($I348="Ganada",$I348="Perdida",$I348="Medio Ganada",$I348="Medio Perdida"),IF($G348=0,"",J348/$G348),"")</f>
        <v>0.87</v>
      </c>
      <c r="M348" s="120">
        <f>IF(OR($A348="",$B348=""),"",COUNTIFS($A$5:A348,A348,$B$5:B348,B348))</f>
        <v>10</v>
      </c>
      <c r="N348" s="120">
        <f>IF($A348="","",COUNTA($A$5:$A348))</f>
        <v>344</v>
      </c>
      <c r="O348" s="120">
        <f>IF($A348="","",COUNTA($A$5:$A348))</f>
        <v>344</v>
      </c>
      <c r="P348" s="118">
        <f>IF($K348="","",MAX($K$5:K348))</f>
        <v>2807.25</v>
      </c>
      <c r="Q348" s="117">
        <f>IF($K348="","",K348-P348)</f>
        <v>-89.809999999999945</v>
      </c>
      <c r="R348" s="2"/>
      <c r="S348" s="2">
        <f>IF(OR($A348="",$F348=""),"",IF($I348="Pendiente","",ROUND($G348*($F348*0.609-1),2)))</f>
        <v>1.94</v>
      </c>
      <c r="T348" s="2">
        <f>IF($A348="","",IFERROR(SUM($S$5:S348),0))</f>
        <v>538.48999999999978</v>
      </c>
    </row>
    <row r="349" spans="1:20" ht="30.75" customHeight="1">
      <c r="A349" s="110">
        <v>46214</v>
      </c>
      <c r="B349" s="148" t="s">
        <v>36</v>
      </c>
      <c r="C349" s="156" t="s">
        <v>618</v>
      </c>
      <c r="D349" s="113" t="s">
        <v>76</v>
      </c>
      <c r="E349" s="106" t="s">
        <v>619</v>
      </c>
      <c r="F349" s="115">
        <v>1.97</v>
      </c>
      <c r="G349" s="116">
        <v>20</v>
      </c>
      <c r="H349" s="120" t="s">
        <v>69</v>
      </c>
      <c r="I349" s="120" t="s">
        <v>70</v>
      </c>
      <c r="J349" s="117">
        <f>IF($A349="","",IF($I349="Ganada",ROUND($G349*($F349-1),2),IF($I349="Medio Ganada",ROUND($G349/2*($F349-1),2),IF($I349="Perdida",IF($H349="Free Bet",0,-$G349),IF($I349="Medio Perdida",IF($H349="Free Bet",0,-$G349/2),IF($I349="Reembolso",IF($R349="","",ROUND($R349-$G349,2)),IF($I349="Anulada",0,"")))))))</f>
        <v>19.399999999999999</v>
      </c>
      <c r="K349" s="118">
        <f>IF(J349="","",2000+SUM(J$5:J349))</f>
        <v>2736.84</v>
      </c>
      <c r="L349" s="119">
        <f>IF(OR($I349="Ganada",$I349="Perdida",$I349="Medio Ganada",$I349="Medio Perdida"),IF($G349=0,"",J349/$G349),"")</f>
        <v>0.97</v>
      </c>
      <c r="M349" s="120">
        <f>IF(OR($A349="",$B349=""),"",COUNTIFS($A$5:A349,A349,$B$5:B349,B349))</f>
        <v>1</v>
      </c>
      <c r="N349" s="120">
        <f>IF($A349="","",COUNTA($A$5:$A349))</f>
        <v>345</v>
      </c>
      <c r="O349" s="120">
        <f>IF($A349="","",COUNTA($A$5:$A349))</f>
        <v>345</v>
      </c>
      <c r="P349" s="118">
        <f>IF($K349="","",MAX($K$5:K349))</f>
        <v>2807.25</v>
      </c>
      <c r="Q349" s="117">
        <f>IF($K349="","",K349-P349)</f>
        <v>-70.409999999999854</v>
      </c>
      <c r="R349" s="2"/>
      <c r="S349" s="2">
        <f>IF(OR($A349="",$F349=""),"",IF($I349="Pendiente","",ROUND($G349*($F349*0.609-1),2)))</f>
        <v>3.99</v>
      </c>
      <c r="T349" s="2">
        <f>IF($A349="","",IFERROR(SUM($S$5:S349),0))</f>
        <v>542.47999999999979</v>
      </c>
    </row>
    <row r="350" spans="1:20" ht="15" customHeight="1">
      <c r="A350" s="110">
        <v>46214</v>
      </c>
      <c r="B350" s="159" t="s">
        <v>34</v>
      </c>
      <c r="C350" s="154" t="s">
        <v>620</v>
      </c>
      <c r="D350" s="113" t="s">
        <v>90</v>
      </c>
      <c r="E350" s="106" t="s">
        <v>621</v>
      </c>
      <c r="F350" s="115">
        <v>1.67</v>
      </c>
      <c r="G350" s="116">
        <v>27</v>
      </c>
      <c r="H350" s="120" t="s">
        <v>69</v>
      </c>
      <c r="I350" s="120" t="s">
        <v>88</v>
      </c>
      <c r="J350" s="117">
        <f>IF($A350="","",IF($I350="Ganada",ROUND($G350*($F350-1),2),IF($I350="Medio Ganada",ROUND($G350/2*($F350-1),2),IF($I350="Perdida",IF($H350="Free Bet",0,-$G350),IF($I350="Medio Perdida",IF($H350="Free Bet",0,-$G350/2),IF($I350="Reembolso",IF($R350="","",ROUND($R350-$G350,2)),IF($I350="Anulada",0,"")))))))</f>
        <v>0</v>
      </c>
      <c r="K350" s="118">
        <f>IF(J350="","",2000+SUM(J$5:J350))</f>
        <v>2736.84</v>
      </c>
      <c r="L350" s="119" t="str">
        <f>IF(OR($I350="Ganada",$I350="Perdida",$I350="Medio Ganada",$I350="Medio Perdida"),IF($G350=0,"",J350/$G350),"")</f>
        <v/>
      </c>
      <c r="M350" s="120">
        <f>IF(OR($A350="",$B350=""),"",COUNTIFS($A$5:A350,A350,$B$5:B350,B350))</f>
        <v>3</v>
      </c>
      <c r="N350" s="120">
        <f>IF($A350="","",COUNTA($A$5:$A350))</f>
        <v>346</v>
      </c>
      <c r="O350" s="120">
        <f>IF($A350="","",COUNTA($A$5:$A350))</f>
        <v>346</v>
      </c>
      <c r="P350" s="118">
        <f>IF($K350="","",MAX($K$5:K350))</f>
        <v>2807.25</v>
      </c>
      <c r="Q350" s="117">
        <f>IF($K350="","",K350-P350)</f>
        <v>-70.409999999999854</v>
      </c>
      <c r="R350" s="2"/>
      <c r="S350" s="2">
        <f>IF(OR($A350="",$F350=""),"",IF($I350="Pendiente","",ROUND($G350*($F350*0.609-1),2)))</f>
        <v>0.46</v>
      </c>
      <c r="T350" s="2">
        <f>IF($A350="","",IFERROR(SUM($S$5:S350),0))</f>
        <v>542.93999999999983</v>
      </c>
    </row>
    <row r="351" spans="1:20" ht="30.75" customHeight="1">
      <c r="A351" s="110">
        <v>46214</v>
      </c>
      <c r="B351" s="159" t="s">
        <v>34</v>
      </c>
      <c r="C351" s="156" t="s">
        <v>622</v>
      </c>
      <c r="D351" s="113" t="s">
        <v>76</v>
      </c>
      <c r="E351" s="158" t="s">
        <v>623</v>
      </c>
      <c r="F351" s="115">
        <v>1.44</v>
      </c>
      <c r="G351" s="116">
        <v>27</v>
      </c>
      <c r="H351" s="120" t="s">
        <v>69</v>
      </c>
      <c r="I351" s="120" t="s">
        <v>70</v>
      </c>
      <c r="J351" s="117">
        <f>IF($A351="","",IF($I351="Ganada",ROUND($G351*($F351-1),2),IF($I351="Medio Ganada",ROUND($G351/2*($F351-1),2),IF($I351="Perdida",IF($H351="Free Bet",0,-$G351),IF($I351="Medio Perdida",IF($H351="Free Bet",0,-$G351/2),IF($I351="Reembolso",IF($R351="","",ROUND($R351-$G351,2)),IF($I351="Anulada",0,"")))))))</f>
        <v>11.88</v>
      </c>
      <c r="K351" s="118">
        <f>IF(J351="","",2000+SUM(J$5:J351))</f>
        <v>2748.7200000000003</v>
      </c>
      <c r="L351" s="119">
        <f>IF(OR($I351="Ganada",$I351="Perdida",$I351="Medio Ganada",$I351="Medio Perdida"),IF($G351=0,"",J351/$G351),"")</f>
        <v>0.44</v>
      </c>
      <c r="M351" s="120">
        <f>IF(OR($A351="",$B351=""),"",COUNTIFS($A$5:A351,A351,$B$5:B351,B351))</f>
        <v>4</v>
      </c>
      <c r="N351" s="120">
        <f>IF($A351="","",COUNTA($A$5:$A351))</f>
        <v>347</v>
      </c>
      <c r="O351" s="120">
        <f>IF($A351="","",COUNTA($A$5:$A351))</f>
        <v>347</v>
      </c>
      <c r="P351" s="118">
        <f>IF($K351="","",MAX($K$5:K351))</f>
        <v>2807.25</v>
      </c>
      <c r="Q351" s="117">
        <f>IF($K351="","",K351-P351)</f>
        <v>-58.529999999999745</v>
      </c>
      <c r="R351" s="2"/>
      <c r="S351" s="2">
        <f>IF(OR($A351="",$F351=""),"",IF($I351="Pendiente","",ROUND($G351*($F351*0.609-1),2)))</f>
        <v>-3.32</v>
      </c>
      <c r="T351" s="2">
        <f>IF($A351="","",IFERROR(SUM($S$5:S351),0))</f>
        <v>539.61999999999978</v>
      </c>
    </row>
    <row r="352" spans="1:20" ht="30.75" customHeight="1">
      <c r="A352" s="110">
        <v>46214</v>
      </c>
      <c r="B352" s="148" t="s">
        <v>36</v>
      </c>
      <c r="C352" s="156" t="s">
        <v>624</v>
      </c>
      <c r="D352" s="113" t="s">
        <v>76</v>
      </c>
      <c r="E352" s="106">
        <v>2</v>
      </c>
      <c r="F352" s="115">
        <v>1.91</v>
      </c>
      <c r="G352" s="116">
        <v>20</v>
      </c>
      <c r="H352" s="120" t="s">
        <v>69</v>
      </c>
      <c r="I352" s="120" t="s">
        <v>75</v>
      </c>
      <c r="J352" s="117">
        <f>IF($A352="","",IF($I352="Ganada",ROUND($G352*($F352-1),2),IF($I352="Medio Ganada",ROUND($G352/2*($F352-1),2),IF($I352="Perdida",IF($H352="Free Bet",0,-$G352),IF($I352="Medio Perdida",IF($H352="Free Bet",0,-$G352/2),IF($I352="Reembolso",IF($R352="","",ROUND($R352-$G352,2)),IF($I352="Anulada",0,"")))))))</f>
        <v>-20</v>
      </c>
      <c r="K352" s="118">
        <f>IF(J352="","",2000+SUM(J$5:J352))</f>
        <v>2728.7200000000003</v>
      </c>
      <c r="L352" s="119">
        <f>IF(OR($I352="Ganada",$I352="Perdida",$I352="Medio Ganada",$I352="Medio Perdida"),IF($G352=0,"",J352/$G352),"")</f>
        <v>-1</v>
      </c>
      <c r="M352" s="120">
        <f>IF(OR($A352="",$B352=""),"",COUNTIFS($A$5:A352,A352,$B$5:B352,B352))</f>
        <v>2</v>
      </c>
      <c r="N352" s="120">
        <f>IF($A352="","",COUNTA($A$5:$A352))</f>
        <v>348</v>
      </c>
      <c r="O352" s="120">
        <f>IF($A352="","",COUNTA($A$5:$A352))</f>
        <v>348</v>
      </c>
      <c r="P352" s="118">
        <f>IF($K352="","",MAX($K$5:K352))</f>
        <v>2807.25</v>
      </c>
      <c r="Q352" s="117">
        <f>IF($K352="","",K352-P352)</f>
        <v>-78.529999999999745</v>
      </c>
      <c r="R352" s="2"/>
      <c r="S352" s="2">
        <f>IF(OR($A352="",$F352=""),"",IF($I352="Pendiente","",ROUND($G352*($F352*0.609-1),2)))</f>
        <v>3.26</v>
      </c>
      <c r="T352" s="2">
        <f>IF($A352="","",IFERROR(SUM($S$5:S352),0))</f>
        <v>542.87999999999977</v>
      </c>
    </row>
    <row r="353" spans="1:20" ht="15" customHeight="1">
      <c r="A353" s="110">
        <v>46214</v>
      </c>
      <c r="B353" s="148" t="s">
        <v>36</v>
      </c>
      <c r="C353" s="154" t="s">
        <v>625</v>
      </c>
      <c r="D353" s="113" t="s">
        <v>67</v>
      </c>
      <c r="E353" s="106" t="s">
        <v>136</v>
      </c>
      <c r="F353" s="115">
        <v>1.96</v>
      </c>
      <c r="G353" s="116">
        <v>20</v>
      </c>
      <c r="H353" s="120" t="s">
        <v>69</v>
      </c>
      <c r="I353" s="120" t="s">
        <v>70</v>
      </c>
      <c r="J353" s="117">
        <f>IF($A353="","",IF($I353="Ganada",ROUND($G353*($F353-1),2),IF($I353="Medio Ganada",ROUND($G353/2*($F353-1),2),IF($I353="Perdida",IF($H353="Free Bet",0,-$G353),IF($I353="Medio Perdida",IF($H353="Free Bet",0,-$G353/2),IF($I353="Reembolso",IF($R353="","",ROUND($R353-$G353,2)),IF($I353="Anulada",0,"")))))))</f>
        <v>19.2</v>
      </c>
      <c r="K353" s="118">
        <f>IF(J353="","",2000+SUM(J$5:J353))</f>
        <v>2747.92</v>
      </c>
      <c r="L353" s="119">
        <f>IF(OR($I353="Ganada",$I353="Perdida",$I353="Medio Ganada",$I353="Medio Perdida"),IF($G353=0,"",J353/$G353),"")</f>
        <v>0.96</v>
      </c>
      <c r="M353" s="120">
        <f>IF(OR($A353="",$B353=""),"",COUNTIFS($A$5:A353,A353,$B$5:B353,B353))</f>
        <v>3</v>
      </c>
      <c r="N353" s="120">
        <f>IF($A353="","",COUNTA($A$5:$A353))</f>
        <v>349</v>
      </c>
      <c r="O353" s="120">
        <f>IF($A353="","",COUNTA($A$5:$A353))</f>
        <v>349</v>
      </c>
      <c r="P353" s="118">
        <f>IF($K353="","",MAX($K$5:K353))</f>
        <v>2807.25</v>
      </c>
      <c r="Q353" s="117">
        <f>IF($K353="","",K353-P353)</f>
        <v>-59.329999999999927</v>
      </c>
      <c r="R353" s="2"/>
      <c r="S353" s="2">
        <f>IF(OR($A353="",$F353=""),"",IF($I353="Pendiente","",ROUND($G353*($F353*0.609-1),2)))</f>
        <v>3.87</v>
      </c>
      <c r="T353" s="2">
        <f>IF($A353="","",IFERROR(SUM($S$5:S353),0))</f>
        <v>546.74999999999977</v>
      </c>
    </row>
    <row r="354" spans="1:20" ht="30.75" customHeight="1">
      <c r="A354" s="110">
        <v>46214</v>
      </c>
      <c r="B354" s="148" t="s">
        <v>36</v>
      </c>
      <c r="C354" s="156" t="s">
        <v>626</v>
      </c>
      <c r="D354" s="113" t="s">
        <v>67</v>
      </c>
      <c r="E354" s="158" t="s">
        <v>286</v>
      </c>
      <c r="F354" s="115">
        <v>2.23</v>
      </c>
      <c r="G354" s="116">
        <v>14</v>
      </c>
      <c r="H354" s="120" t="s">
        <v>69</v>
      </c>
      <c r="I354" s="120" t="s">
        <v>75</v>
      </c>
      <c r="J354" s="117">
        <f>IF($A354="","",IF($I354="Ganada",ROUND($G354*($F354-1),2),IF($I354="Medio Ganada",ROUND($G354/2*($F354-1),2),IF($I354="Perdida",IF($H354="Free Bet",0,-$G354),IF($I354="Medio Perdida",IF($H354="Free Bet",0,-$G354/2),IF($I354="Reembolso",IF($R354="","",ROUND($R354-$G354,2)),IF($I354="Anulada",0,"")))))))</f>
        <v>-14</v>
      </c>
      <c r="K354" s="118">
        <f>IF(J354="","",2000+SUM(J$5:J354))</f>
        <v>2733.92</v>
      </c>
      <c r="L354" s="119">
        <f>IF(OR($I354="Ganada",$I354="Perdida",$I354="Medio Ganada",$I354="Medio Perdida"),IF($G354=0,"",J354/$G354),"")</f>
        <v>-1</v>
      </c>
      <c r="M354" s="120">
        <f>IF(OR($A354="",$B354=""),"",COUNTIFS($A$5:A354,A354,$B$5:B354,B354))</f>
        <v>4</v>
      </c>
      <c r="N354" s="120">
        <f>IF($A354="","",COUNTA($A$5:$A354))</f>
        <v>350</v>
      </c>
      <c r="O354" s="120">
        <f>IF($A354="","",COUNTA($A$5:$A354))</f>
        <v>350</v>
      </c>
      <c r="P354" s="118">
        <f>IF($K354="","",MAX($K$5:K354))</f>
        <v>2807.25</v>
      </c>
      <c r="Q354" s="117">
        <f>IF($K354="","",K354-P354)</f>
        <v>-73.329999999999927</v>
      </c>
      <c r="R354" s="2"/>
      <c r="S354" s="2">
        <f>IF(OR($A354="",$F354=""),"",IF($I354="Pendiente","",ROUND($G354*($F354*0.609-1),2)))</f>
        <v>5.01</v>
      </c>
      <c r="T354" s="2">
        <f>IF($A354="","",IFERROR(SUM($S$5:S354),0))</f>
        <v>551.75999999999976</v>
      </c>
    </row>
    <row r="355" spans="1:20" ht="30.75" customHeight="1">
      <c r="A355" s="110">
        <v>46214</v>
      </c>
      <c r="B355" s="148" t="s">
        <v>36</v>
      </c>
      <c r="C355" s="154" t="s">
        <v>627</v>
      </c>
      <c r="D355" s="113" t="s">
        <v>67</v>
      </c>
      <c r="E355" s="158" t="s">
        <v>289</v>
      </c>
      <c r="F355" s="115">
        <v>1.89</v>
      </c>
      <c r="G355" s="116">
        <v>16</v>
      </c>
      <c r="H355" s="120" t="s">
        <v>69</v>
      </c>
      <c r="I355" s="120" t="s">
        <v>70</v>
      </c>
      <c r="J355" s="117">
        <f>IF($A355="","",IF($I355="Ganada",ROUND($G355*($F355-1),2),IF($I355="Medio Ganada",ROUND($G355/2*($F355-1),2),IF($I355="Perdida",IF($H355="Free Bet",0,-$G355),IF($I355="Medio Perdida",IF($H355="Free Bet",0,-$G355/2),IF($I355="Reembolso",IF($R355="","",ROUND($R355-$G355,2)),IF($I355="Anulada",0,"")))))))</f>
        <v>14.24</v>
      </c>
      <c r="K355" s="118">
        <f>IF(J355="","",2000+SUM(J$5:J355))</f>
        <v>2748.16</v>
      </c>
      <c r="L355" s="119">
        <f>IF(OR($I355="Ganada",$I355="Perdida",$I355="Medio Ganada",$I355="Medio Perdida"),IF($G355=0,"",J355/$G355),"")</f>
        <v>0.89</v>
      </c>
      <c r="M355" s="120">
        <f>IF(OR($A355="",$B355=""),"",COUNTIFS($A$5:A355,A355,$B$5:B355,B355))</f>
        <v>5</v>
      </c>
      <c r="N355" s="120">
        <f>IF($A355="","",COUNTA($A$5:$A355))</f>
        <v>351</v>
      </c>
      <c r="O355" s="120">
        <f>IF($A355="","",COUNTA($A$5:$A355))</f>
        <v>351</v>
      </c>
      <c r="P355" s="118">
        <f>IF($K355="","",MAX($K$5:K355))</f>
        <v>2807.25</v>
      </c>
      <c r="Q355" s="117">
        <f>IF($K355="","",K355-P355)</f>
        <v>-59.090000000000146</v>
      </c>
      <c r="R355" s="2"/>
      <c r="S355" s="2">
        <f>IF(OR($A355="",$F355=""),"",IF($I355="Pendiente","",ROUND($G355*($F355*0.609-1),2)))</f>
        <v>2.42</v>
      </c>
      <c r="T355" s="2">
        <f>IF($A355="","",IFERROR(SUM($S$5:S355),0))</f>
        <v>554.17999999999972</v>
      </c>
    </row>
    <row r="356" spans="1:20" ht="15" customHeight="1">
      <c r="A356" s="110">
        <v>46214</v>
      </c>
      <c r="B356" s="148" t="s">
        <v>36</v>
      </c>
      <c r="C356" s="154" t="s">
        <v>628</v>
      </c>
      <c r="D356" s="113" t="s">
        <v>67</v>
      </c>
      <c r="E356" s="106" t="s">
        <v>629</v>
      </c>
      <c r="F356" s="115">
        <v>2.1</v>
      </c>
      <c r="G356" s="116">
        <v>14</v>
      </c>
      <c r="H356" s="120" t="s">
        <v>69</v>
      </c>
      <c r="I356" s="120" t="s">
        <v>70</v>
      </c>
      <c r="J356" s="117">
        <f>IF($A356="","",IF($I356="Ganada",ROUND($G356*($F356-1),2),IF($I356="Medio Ganada",ROUND($G356/2*($F356-1),2),IF($I356="Perdida",IF($H356="Free Bet",0,-$G356),IF($I356="Medio Perdida",IF($H356="Free Bet",0,-$G356/2),IF($I356="Reembolso",IF($R356="","",ROUND($R356-$G356,2)),IF($I356="Anulada",0,"")))))))</f>
        <v>15.4</v>
      </c>
      <c r="K356" s="118">
        <f>IF(J356="","",2000+SUM(J$5:J356))</f>
        <v>2763.56</v>
      </c>
      <c r="L356" s="119">
        <f>IF(OR($I356="Ganada",$I356="Perdida",$I356="Medio Ganada",$I356="Medio Perdida"),IF($G356=0,"",J356/$G356),"")</f>
        <v>1.1000000000000001</v>
      </c>
      <c r="M356" s="120">
        <f>IF(OR($A356="",$B356=""),"",COUNTIFS($A$5:A356,A356,$B$5:B356,B356))</f>
        <v>6</v>
      </c>
      <c r="N356" s="120">
        <f>IF($A356="","",COUNTA($A$5:$A356))</f>
        <v>352</v>
      </c>
      <c r="O356" s="120">
        <f>IF($A356="","",COUNTA($A$5:$A356))</f>
        <v>352</v>
      </c>
      <c r="P356" s="118">
        <f>IF($K356="","",MAX($K$5:K356))</f>
        <v>2807.25</v>
      </c>
      <c r="Q356" s="117">
        <f>IF($K356="","",K356-P356)</f>
        <v>-43.690000000000055</v>
      </c>
      <c r="R356" s="2"/>
      <c r="S356" s="2">
        <f>IF(OR($A356="",$F356=""),"",IF($I356="Pendiente","",ROUND($G356*($F356*0.609-1),2)))</f>
        <v>3.9</v>
      </c>
      <c r="T356" s="2">
        <f>IF($A356="","",IFERROR(SUM($S$5:S356),0))</f>
        <v>558.0799999999997</v>
      </c>
    </row>
    <row r="357" spans="1:20" ht="30.75" customHeight="1">
      <c r="A357" s="110">
        <v>46214</v>
      </c>
      <c r="B357" s="148" t="s">
        <v>36</v>
      </c>
      <c r="C357" s="156" t="s">
        <v>630</v>
      </c>
      <c r="D357" s="113" t="s">
        <v>67</v>
      </c>
      <c r="E357" s="106" t="s">
        <v>631</v>
      </c>
      <c r="F357" s="115">
        <v>2.15</v>
      </c>
      <c r="G357" s="116">
        <v>20</v>
      </c>
      <c r="H357" s="120" t="s">
        <v>69</v>
      </c>
      <c r="I357" s="120" t="s">
        <v>75</v>
      </c>
      <c r="J357" s="117">
        <f>IF($A357="","",IF($I357="Ganada",ROUND($G357*($F357-1),2),IF($I357="Medio Ganada",ROUND($G357/2*($F357-1),2),IF($I357="Perdida",IF($H357="Free Bet",0,-$G357),IF($I357="Medio Perdida",IF($H357="Free Bet",0,-$G357/2),IF($I357="Reembolso",IF($R357="","",ROUND($R357-$G357,2)),IF($I357="Anulada",0,"")))))))</f>
        <v>-20</v>
      </c>
      <c r="K357" s="118">
        <f>IF(J357="","",2000+SUM(J$5:J357))</f>
        <v>2743.56</v>
      </c>
      <c r="L357" s="119">
        <f>IF(OR($I357="Ganada",$I357="Perdida",$I357="Medio Ganada",$I357="Medio Perdida"),IF($G357=0,"",J357/$G357),"")</f>
        <v>-1</v>
      </c>
      <c r="M357" s="120">
        <f>IF(OR($A357="",$B357=""),"",COUNTIFS($A$5:A357,A357,$B$5:B357,B357))</f>
        <v>7</v>
      </c>
      <c r="N357" s="120">
        <f>IF($A357="","",COUNTA($A$5:$A357))</f>
        <v>353</v>
      </c>
      <c r="O357" s="120">
        <f>IF($A357="","",COUNTA($A$5:$A357))</f>
        <v>353</v>
      </c>
      <c r="P357" s="118">
        <f>IF($K357="","",MAX($K$5:K357))</f>
        <v>2807.25</v>
      </c>
      <c r="Q357" s="117">
        <f>IF($K357="","",K357-P357)</f>
        <v>-63.690000000000055</v>
      </c>
      <c r="R357" s="2"/>
      <c r="S357" s="2">
        <f>IF(OR($A357="",$F357=""),"",IF($I357="Pendiente","",ROUND($G357*($F357*0.609-1),2)))</f>
        <v>6.19</v>
      </c>
      <c r="T357" s="2">
        <f>IF($A357="","",IFERROR(SUM($S$5:S357),0))</f>
        <v>564.26999999999975</v>
      </c>
    </row>
    <row r="358" spans="1:20" ht="30.75" customHeight="1">
      <c r="A358" s="110">
        <v>46214</v>
      </c>
      <c r="B358" s="159" t="s">
        <v>34</v>
      </c>
      <c r="C358" s="156" t="s">
        <v>632</v>
      </c>
      <c r="D358" s="113" t="s">
        <v>76</v>
      </c>
      <c r="E358" s="106" t="s">
        <v>633</v>
      </c>
      <c r="F358" s="115">
        <v>1.84</v>
      </c>
      <c r="G358" s="116">
        <v>20</v>
      </c>
      <c r="H358" s="120" t="s">
        <v>69</v>
      </c>
      <c r="I358" s="120" t="s">
        <v>70</v>
      </c>
      <c r="J358" s="117">
        <f>IF($A358="","",IF($I358="Ganada",ROUND($G358*($F358-1),2),IF($I358="Medio Ganada",ROUND($G358/2*($F358-1),2),IF($I358="Perdida",IF($H358="Free Bet",0,-$G358),IF($I358="Medio Perdida",IF($H358="Free Bet",0,-$G358/2),IF($I358="Reembolso",IF($R358="","",ROUND($R358-$G358,2)),IF($I358="Anulada",0,"")))))))</f>
        <v>16.8</v>
      </c>
      <c r="K358" s="118">
        <f>IF(J358="","",2000+SUM(J$5:J358))</f>
        <v>2760.36</v>
      </c>
      <c r="L358" s="119">
        <f>IF(OR($I358="Ganada",$I358="Perdida",$I358="Medio Ganada",$I358="Medio Perdida"),IF($G358=0,"",J358/$G358),"")</f>
        <v>0.84000000000000008</v>
      </c>
      <c r="M358" s="120">
        <f>IF(OR($A358="",$B358=""),"",COUNTIFS($A$5:A358,A358,$B$5:B358,B358))</f>
        <v>5</v>
      </c>
      <c r="N358" s="120">
        <f>IF($A358="","",COUNTA($A$5:$A358))</f>
        <v>354</v>
      </c>
      <c r="O358" s="120">
        <f>IF($A358="","",COUNTA($A$5:$A358))</f>
        <v>354</v>
      </c>
      <c r="P358" s="118">
        <f>IF($K358="","",MAX($K$5:K358))</f>
        <v>2807.25</v>
      </c>
      <c r="Q358" s="117">
        <f>IF($K358="","",K358-P358)</f>
        <v>-46.889999999999873</v>
      </c>
      <c r="R358" s="2"/>
      <c r="S358" s="2">
        <f>IF(OR($A358="",$F358=""),"",IF($I358="Pendiente","",ROUND($G358*($F358*0.609-1),2)))</f>
        <v>2.41</v>
      </c>
      <c r="T358" s="2">
        <f>IF($A358="","",IFERROR(SUM($S$5:S358),0))</f>
        <v>566.67999999999972</v>
      </c>
    </row>
    <row r="359" spans="1:20" ht="30.75" customHeight="1">
      <c r="A359" s="110">
        <v>46214</v>
      </c>
      <c r="B359" s="148" t="s">
        <v>36</v>
      </c>
      <c r="C359" s="156" t="s">
        <v>634</v>
      </c>
      <c r="D359" s="113" t="s">
        <v>67</v>
      </c>
      <c r="E359" s="158" t="s">
        <v>263</v>
      </c>
      <c r="F359" s="115">
        <v>1.96</v>
      </c>
      <c r="G359" s="116">
        <v>16</v>
      </c>
      <c r="H359" s="120" t="s">
        <v>69</v>
      </c>
      <c r="I359" s="120" t="s">
        <v>70</v>
      </c>
      <c r="J359" s="117">
        <f>IF($A359="","",IF($I359="Ganada",ROUND($G359*($F359-1),2),IF($I359="Medio Ganada",ROUND($G359/2*($F359-1),2),IF($I359="Perdida",IF($H359="Free Bet",0,-$G359),IF($I359="Medio Perdida",IF($H359="Free Bet",0,-$G359/2),IF($I359="Reembolso",IF($R359="","",ROUND($R359-$G359,2)),IF($I359="Anulada",0,"")))))))</f>
        <v>15.36</v>
      </c>
      <c r="K359" s="118">
        <f>IF(J359="","",2000+SUM(J$5:J359))</f>
        <v>2775.7200000000003</v>
      </c>
      <c r="L359" s="119">
        <f>IF(OR($I359="Ganada",$I359="Perdida",$I359="Medio Ganada",$I359="Medio Perdida"),IF($G359=0,"",J359/$G359),"")</f>
        <v>0.96</v>
      </c>
      <c r="M359" s="120">
        <f>IF(OR($A359="",$B359=""),"",COUNTIFS($A$5:A359,A359,$B$5:B359,B359))</f>
        <v>8</v>
      </c>
      <c r="N359" s="120">
        <f>IF($A359="","",COUNTA($A$5:$A359))</f>
        <v>355</v>
      </c>
      <c r="O359" s="120">
        <f>IF($A359="","",COUNTA($A$5:$A359))</f>
        <v>355</v>
      </c>
      <c r="P359" s="118">
        <f>IF($K359="","",MAX($K$5:K359))</f>
        <v>2807.25</v>
      </c>
      <c r="Q359" s="117">
        <f>IF($K359="","",K359-P359)</f>
        <v>-31.529999999999745</v>
      </c>
      <c r="R359" s="2"/>
      <c r="S359" s="2">
        <f>IF(OR($A359="",$F359=""),"",IF($I359="Pendiente","",ROUND($G359*($F359*0.609-1),2)))</f>
        <v>3.1</v>
      </c>
      <c r="T359" s="2">
        <f>IF($A359="","",IFERROR(SUM($S$5:S359),0))</f>
        <v>569.77999999999975</v>
      </c>
    </row>
    <row r="360" spans="1:20" ht="30.75" customHeight="1">
      <c r="A360" s="110">
        <v>46214</v>
      </c>
      <c r="B360" s="148" t="s">
        <v>36</v>
      </c>
      <c r="C360" s="156" t="s">
        <v>635</v>
      </c>
      <c r="D360" s="113" t="s">
        <v>95</v>
      </c>
      <c r="E360" s="106" t="s">
        <v>636</v>
      </c>
      <c r="F360" s="115">
        <v>1.72</v>
      </c>
      <c r="G360" s="116">
        <v>27</v>
      </c>
      <c r="H360" s="120" t="s">
        <v>69</v>
      </c>
      <c r="I360" s="120" t="s">
        <v>70</v>
      </c>
      <c r="J360" s="117">
        <f>IF($A360="","",IF($I360="Ganada",ROUND($G360*($F360-1),2),IF($I360="Medio Ganada",ROUND($G360/2*($F360-1),2),IF($I360="Perdida",IF($H360="Free Bet",0,-$G360),IF($I360="Medio Perdida",IF($H360="Free Bet",0,-$G360/2),IF($I360="Reembolso",IF($R360="","",ROUND($R360-$G360,2)),IF($I360="Anulada",0,"")))))))</f>
        <v>19.440000000000001</v>
      </c>
      <c r="K360" s="118">
        <f>IF(J360="","",2000+SUM(J$5:J360))</f>
        <v>2795.16</v>
      </c>
      <c r="L360" s="119">
        <f>IF(OR($I360="Ganada",$I360="Perdida",$I360="Medio Ganada",$I360="Medio Perdida"),IF($G360=0,"",J360/$G360),"")</f>
        <v>0.72000000000000008</v>
      </c>
      <c r="M360" s="120">
        <f>IF(OR($A360="",$B360=""),"",COUNTIFS($A$5:A360,A360,$B$5:B360,B360))</f>
        <v>9</v>
      </c>
      <c r="N360" s="120">
        <f>IF($A360="","",COUNTA($A$5:$A360))</f>
        <v>356</v>
      </c>
      <c r="O360" s="120">
        <f>IF($A360="","",COUNTA($A$5:$A360))</f>
        <v>356</v>
      </c>
      <c r="P360" s="118">
        <f>IF($K360="","",MAX($K$5:K360))</f>
        <v>2807.25</v>
      </c>
      <c r="Q360" s="117">
        <f>IF($K360="","",K360-P360)</f>
        <v>-12.090000000000146</v>
      </c>
      <c r="R360" s="2"/>
      <c r="S360" s="2">
        <f>IF(OR($A360="",$F360=""),"",IF($I360="Pendiente","",ROUND($G360*($F360*0.609-1),2)))</f>
        <v>1.28</v>
      </c>
      <c r="T360" s="2">
        <f>IF($A360="","",IFERROR(SUM($S$5:S360),0))</f>
        <v>571.05999999999972</v>
      </c>
    </row>
    <row r="361" spans="1:20" ht="29.25" customHeight="1">
      <c r="A361" s="110">
        <v>46214</v>
      </c>
      <c r="B361" s="148" t="s">
        <v>36</v>
      </c>
      <c r="C361" s="156" t="s">
        <v>637</v>
      </c>
      <c r="D361" s="113" t="s">
        <v>67</v>
      </c>
      <c r="E361" s="106" t="s">
        <v>638</v>
      </c>
      <c r="F361" s="115">
        <v>2.0699999999999998</v>
      </c>
      <c r="G361" s="116">
        <v>20</v>
      </c>
      <c r="H361" s="120" t="s">
        <v>69</v>
      </c>
      <c r="I361" s="120" t="s">
        <v>75</v>
      </c>
      <c r="J361" s="117">
        <f>IF($A361="","",IF($I361="Ganada",ROUND($G361*($F361-1),2),IF($I361="Medio Ganada",ROUND($G361/2*($F361-1),2),IF($I361="Perdida",IF($H361="Free Bet",0,-$G361),IF($I361="Medio Perdida",IF($H361="Free Bet",0,-$G361/2),IF($I361="Reembolso",IF($R361="","",ROUND($R361-$G361,2)),IF($I361="Anulada",0,"")))))))</f>
        <v>-20</v>
      </c>
      <c r="K361" s="118">
        <f>IF(J361="","",2000+SUM(J$5:J361))</f>
        <v>2775.16</v>
      </c>
      <c r="L361" s="119">
        <f>IF(OR($I361="Ganada",$I361="Perdida",$I361="Medio Ganada",$I361="Medio Perdida"),IF($G361=0,"",J361/$G361),"")</f>
        <v>-1</v>
      </c>
      <c r="M361" s="120">
        <f>IF(OR($A361="",$B361=""),"",COUNTIFS($A$5:A361,A361,$B$5:B361,B361))</f>
        <v>10</v>
      </c>
      <c r="N361" s="120">
        <f>IF($A361="","",COUNTA($A$5:$A361))</f>
        <v>357</v>
      </c>
      <c r="O361" s="120">
        <f>IF($A361="","",COUNTA($A$5:$A361))</f>
        <v>357</v>
      </c>
      <c r="P361" s="118">
        <f>IF($K361="","",MAX($K$5:K361))</f>
        <v>2807.25</v>
      </c>
      <c r="Q361" s="117">
        <f>IF($K361="","",K361-P361)</f>
        <v>-32.090000000000146</v>
      </c>
      <c r="R361" s="2"/>
      <c r="S361" s="2">
        <f>IF(OR($A361="",$F361=""),"",IF($I361="Pendiente","",ROUND($G361*($F361*0.609-1),2)))</f>
        <v>5.21</v>
      </c>
      <c r="T361" s="2">
        <f>IF($A361="","",IFERROR(SUM($S$5:S361),0))</f>
        <v>576.26999999999975</v>
      </c>
    </row>
    <row r="362" spans="1:20" ht="15" customHeight="1">
      <c r="A362" s="110">
        <v>46215</v>
      </c>
      <c r="B362" s="150" t="s">
        <v>33</v>
      </c>
      <c r="C362" s="154" t="s">
        <v>639</v>
      </c>
      <c r="D362" s="113" t="s">
        <v>90</v>
      </c>
      <c r="E362" s="158" t="s">
        <v>640</v>
      </c>
      <c r="F362" s="115">
        <v>1.58</v>
      </c>
      <c r="G362" s="116">
        <v>17</v>
      </c>
      <c r="H362" s="120" t="s">
        <v>69</v>
      </c>
      <c r="I362" s="120" t="s">
        <v>70</v>
      </c>
      <c r="J362" s="117">
        <f>IF($A362="","",IF($I362="Ganada",ROUND($G362*($F362-1),2),IF($I362="Medio Ganada",ROUND($G362/2*($F362-1),2),IF($I362="Perdida",IF($H362="Free Bet",0,-$G362),IF($I362="Medio Perdida",IF($H362="Free Bet",0,-$G362/2),IF($I362="Reembolso",IF($R362="","",ROUND($R362-$G362,2)),IF($I362="Anulada",0,"")))))))</f>
        <v>9.86</v>
      </c>
      <c r="K362" s="118">
        <f>IF(J362="","",2000+SUM(J$5:J362))</f>
        <v>2785.02</v>
      </c>
      <c r="L362" s="119">
        <f>IF(OR($I362="Ganada",$I362="Perdida",$I362="Medio Ganada",$I362="Medio Perdida"),IF($G362=0,"",J362/$G362),"")</f>
        <v>0.57999999999999996</v>
      </c>
      <c r="M362" s="120">
        <f>IF(OR($A362="",$B362=""),"",COUNTIFS($A$5:A362,A362,$B$5:B362,B362))</f>
        <v>1</v>
      </c>
      <c r="N362" s="120">
        <f>IF($A362="","",COUNTA($A$5:$A362))</f>
        <v>358</v>
      </c>
      <c r="O362" s="120">
        <f>IF($A362="","",COUNTA($A$5:$A362))</f>
        <v>358</v>
      </c>
      <c r="P362" s="118">
        <f>IF($K362="","",MAX($K$5:K362))</f>
        <v>2807.25</v>
      </c>
      <c r="Q362" s="117">
        <f>IF($K362="","",K362-P362)</f>
        <v>-22.230000000000018</v>
      </c>
      <c r="R362" s="2"/>
      <c r="S362" s="2">
        <f>IF(OR($A362="",$F362=""),"",IF($I362="Pendiente","",ROUND($G362*($F362*0.609-1),2)))</f>
        <v>-0.64</v>
      </c>
      <c r="T362" s="2">
        <f>IF($A362="","",IFERROR(SUM($S$5:S362),0))</f>
        <v>575.62999999999977</v>
      </c>
    </row>
    <row r="363" spans="1:20" ht="30.75" customHeight="1">
      <c r="A363" s="110">
        <v>46215</v>
      </c>
      <c r="B363" s="124" t="s">
        <v>28</v>
      </c>
      <c r="C363" s="154" t="s">
        <v>641</v>
      </c>
      <c r="D363" s="113" t="s">
        <v>95</v>
      </c>
      <c r="E363" s="158" t="s">
        <v>642</v>
      </c>
      <c r="F363" s="115">
        <v>1.64</v>
      </c>
      <c r="G363" s="116">
        <v>27</v>
      </c>
      <c r="H363" s="120" t="s">
        <v>69</v>
      </c>
      <c r="I363" s="120" t="s">
        <v>75</v>
      </c>
      <c r="J363" s="117">
        <f>IF($A363="","",IF($I363="Ganada",ROUND($G363*($F363-1),2),IF($I363="Medio Ganada",ROUND($G363/2*($F363-1),2),IF($I363="Perdida",IF($H363="Free Bet",0,-$G363),IF($I363="Medio Perdida",IF($H363="Free Bet",0,-$G363/2),IF($I363="Reembolso",IF($R363="","",ROUND($R363-$G363,2)),IF($I363="Anulada",0,"")))))))</f>
        <v>-27</v>
      </c>
      <c r="K363" s="118">
        <f>IF(J363="","",2000+SUM(J$5:J363))</f>
        <v>2758.02</v>
      </c>
      <c r="L363" s="119">
        <f>IF(OR($I363="Ganada",$I363="Perdida",$I363="Medio Ganada",$I363="Medio Perdida"),IF($G363=0,"",J363/$G363),"")</f>
        <v>-1</v>
      </c>
      <c r="M363" s="120">
        <f>IF(OR($A363="",$B363=""),"",COUNTIFS($A$5:A363,A363,$B$5:B363,B363))</f>
        <v>1</v>
      </c>
      <c r="N363" s="120">
        <f>IF($A363="","",COUNTA($A$5:$A363))</f>
        <v>359</v>
      </c>
      <c r="O363" s="120">
        <f>IF($A363="","",COUNTA($A$5:$A363))</f>
        <v>359</v>
      </c>
      <c r="P363" s="118">
        <f>IF($K363="","",MAX($K$5:K363))</f>
        <v>2807.25</v>
      </c>
      <c r="Q363" s="117">
        <f>IF($K363="","",K363-P363)</f>
        <v>-49.230000000000018</v>
      </c>
      <c r="R363" s="2"/>
      <c r="S363" s="2">
        <f>IF(OR($A363="",$F363=""),"",IF($I363="Pendiente","",ROUND($G363*($F363*0.609-1),2)))</f>
        <v>-0.03</v>
      </c>
      <c r="T363" s="2">
        <f>IF($A363="","",IFERROR(SUM($S$5:S363),0))</f>
        <v>575.5999999999998</v>
      </c>
    </row>
    <row r="364" spans="1:20" ht="30.75" customHeight="1">
      <c r="A364" s="110">
        <v>46215</v>
      </c>
      <c r="B364" s="152" t="s">
        <v>32</v>
      </c>
      <c r="C364" s="156" t="s">
        <v>643</v>
      </c>
      <c r="D364" s="113" t="s">
        <v>95</v>
      </c>
      <c r="E364" s="158" t="s">
        <v>644</v>
      </c>
      <c r="F364" s="115">
        <v>1.9</v>
      </c>
      <c r="G364" s="116">
        <v>20</v>
      </c>
      <c r="H364" s="120" t="s">
        <v>69</v>
      </c>
      <c r="I364" s="120" t="s">
        <v>75</v>
      </c>
      <c r="J364" s="117">
        <f>IF($A364="","",IF($I364="Ganada",ROUND($G364*($F364-1),2),IF($I364="Medio Ganada",ROUND($G364/2*($F364-1),2),IF($I364="Perdida",IF($H364="Free Bet",0,-$G364),IF($I364="Medio Perdida",IF($H364="Free Bet",0,-$G364/2),IF($I364="Reembolso",IF($R364="","",ROUND($R364-$G364,2)),IF($I364="Anulada",0,"")))))))</f>
        <v>-20</v>
      </c>
      <c r="K364" s="118">
        <f>IF(J364="","",2000+SUM(J$5:J364))</f>
        <v>2738.02</v>
      </c>
      <c r="L364" s="119">
        <f>IF(OR($I364="Ganada",$I364="Perdida",$I364="Medio Ganada",$I364="Medio Perdida"),IF($G364=0,"",J364/$G364),"")</f>
        <v>-1</v>
      </c>
      <c r="M364" s="120">
        <f>IF(OR($A364="",$B364=""),"",COUNTIFS($A$5:A364,A364,$B$5:B364,B364))</f>
        <v>1</v>
      </c>
      <c r="N364" s="120">
        <f>IF($A364="","",COUNTA($A$5:$A364))</f>
        <v>360</v>
      </c>
      <c r="O364" s="120">
        <f>IF($A364="","",COUNTA($A$5:$A364))</f>
        <v>360</v>
      </c>
      <c r="P364" s="118">
        <f>IF($K364="","",MAX($K$5:K364))</f>
        <v>2807.25</v>
      </c>
      <c r="Q364" s="117">
        <f>IF($K364="","",K364-P364)</f>
        <v>-69.230000000000018</v>
      </c>
      <c r="R364" s="2"/>
      <c r="S364" s="2">
        <f>IF(OR($A364="",$F364=""),"",IF($I364="Pendiente","",ROUND($G364*($F364*0.609-1),2)))</f>
        <v>3.14</v>
      </c>
      <c r="T364" s="2">
        <f>IF($A364="","",IFERROR(SUM($S$5:S364),0))</f>
        <v>578.73999999999978</v>
      </c>
    </row>
    <row r="365" spans="1:20" ht="15" customHeight="1">
      <c r="A365" s="110">
        <v>46215</v>
      </c>
      <c r="B365" s="150" t="s">
        <v>33</v>
      </c>
      <c r="C365" s="154" t="s">
        <v>645</v>
      </c>
      <c r="D365" s="113" t="s">
        <v>67</v>
      </c>
      <c r="E365" s="106" t="s">
        <v>136</v>
      </c>
      <c r="F365" s="115">
        <v>1.68</v>
      </c>
      <c r="G365" s="116">
        <v>23</v>
      </c>
      <c r="H365" s="120" t="s">
        <v>69</v>
      </c>
      <c r="I365" s="120" t="s">
        <v>75</v>
      </c>
      <c r="J365" s="117">
        <f>IF($A365="","",IF($I365="Ganada",ROUND($G365*($F365-1),2),IF($I365="Medio Ganada",ROUND($G365/2*($F365-1),2),IF($I365="Perdida",IF($H365="Free Bet",0,-$G365),IF($I365="Medio Perdida",IF($H365="Free Bet",0,-$G365/2),IF($I365="Reembolso",IF($R365="","",ROUND($R365-$G365,2)),IF($I365="Anulada",0,"")))))))</f>
        <v>-23</v>
      </c>
      <c r="K365" s="118">
        <f>IF(J365="","",2000+SUM(J$5:J365))</f>
        <v>2715.02</v>
      </c>
      <c r="L365" s="119">
        <f>IF(OR($I365="Ganada",$I365="Perdida",$I365="Medio Ganada",$I365="Medio Perdida"),IF($G365=0,"",J365/$G365),"")</f>
        <v>-1</v>
      </c>
      <c r="M365" s="120">
        <f>IF(OR($A365="",$B365=""),"",COUNTIFS($A$5:A365,A365,$B$5:B365,B365))</f>
        <v>2</v>
      </c>
      <c r="N365" s="120">
        <f>IF($A365="","",COUNTA($A$5:$A365))</f>
        <v>361</v>
      </c>
      <c r="O365" s="120">
        <f>IF($A365="","",COUNTA($A$5:$A365))</f>
        <v>361</v>
      </c>
      <c r="P365" s="118">
        <f>IF($K365="","",MAX($K$5:K365))</f>
        <v>2807.25</v>
      </c>
      <c r="Q365" s="117">
        <f>IF($K365="","",K365-P365)</f>
        <v>-92.230000000000018</v>
      </c>
      <c r="R365" s="2"/>
      <c r="S365" s="2">
        <f>IF(OR($A365="",$F365=""),"",IF($I365="Pendiente","",ROUND($G365*($F365*0.609-1),2)))</f>
        <v>0.53</v>
      </c>
      <c r="T365" s="2">
        <f>IF($A365="","",IFERROR(SUM($S$5:S365),0))</f>
        <v>579.26999999999975</v>
      </c>
    </row>
    <row r="366" spans="1:20" ht="30.75" customHeight="1">
      <c r="A366" s="110">
        <v>46215</v>
      </c>
      <c r="B366" s="150" t="s">
        <v>33</v>
      </c>
      <c r="C366" s="156" t="s">
        <v>646</v>
      </c>
      <c r="D366" s="113" t="s">
        <v>67</v>
      </c>
      <c r="E366" s="158" t="s">
        <v>647</v>
      </c>
      <c r="F366" s="115">
        <v>1.87</v>
      </c>
      <c r="G366" s="116">
        <v>20</v>
      </c>
      <c r="H366" s="120" t="s">
        <v>69</v>
      </c>
      <c r="I366" s="120" t="s">
        <v>70</v>
      </c>
      <c r="J366" s="117">
        <f>IF($A366="","",IF($I366="Ganada",ROUND($G366*($F366-1),2),IF($I366="Medio Ganada",ROUND($G366/2*($F366-1),2),IF($I366="Perdida",IF($H366="Free Bet",0,-$G366),IF($I366="Medio Perdida",IF($H366="Free Bet",0,-$G366/2),IF($I366="Reembolso",IF($R366="","",ROUND($R366-$G366,2)),IF($I366="Anulada",0,"")))))))</f>
        <v>17.399999999999999</v>
      </c>
      <c r="K366" s="118">
        <f>IF(J366="","",2000+SUM(J$5:J366))</f>
        <v>2732.42</v>
      </c>
      <c r="L366" s="119">
        <f>IF(OR($I366="Ganada",$I366="Perdida",$I366="Medio Ganada",$I366="Medio Perdida"),IF($G366=0,"",J366/$G366),"")</f>
        <v>0.86999999999999988</v>
      </c>
      <c r="M366" s="120">
        <f>IF(OR($A366="",$B366=""),"",COUNTIFS($A$5:A366,A366,$B$5:B366,B366))</f>
        <v>3</v>
      </c>
      <c r="N366" s="120">
        <f>IF($A366="","",COUNTA($A$5:$A366))</f>
        <v>362</v>
      </c>
      <c r="O366" s="120">
        <f>IF($A366="","",COUNTA($A$5:$A366))</f>
        <v>362</v>
      </c>
      <c r="P366" s="118">
        <f>IF($K366="","",MAX($K$5:K366))</f>
        <v>2807.25</v>
      </c>
      <c r="Q366" s="117">
        <f>IF($K366="","",K366-P366)</f>
        <v>-74.829999999999927</v>
      </c>
      <c r="R366" s="2"/>
      <c r="S366" s="2">
        <f>IF(OR($A366="",$F366=""),"",IF($I366="Pendiente","",ROUND($G366*($F366*0.609-1),2)))</f>
        <v>2.78</v>
      </c>
      <c r="T366" s="2">
        <f>IF($A366="","",IFERROR(SUM($S$5:S366),0))</f>
        <v>582.04999999999973</v>
      </c>
    </row>
    <row r="367" spans="1:20" ht="30.75" customHeight="1">
      <c r="A367" s="110">
        <v>46215</v>
      </c>
      <c r="B367" s="124" t="s">
        <v>28</v>
      </c>
      <c r="C367" s="156" t="s">
        <v>648</v>
      </c>
      <c r="D367" s="113" t="s">
        <v>250</v>
      </c>
      <c r="E367" s="106" t="s">
        <v>649</v>
      </c>
      <c r="F367" s="115">
        <v>1.86</v>
      </c>
      <c r="G367" s="116">
        <v>27</v>
      </c>
      <c r="H367" s="120" t="s">
        <v>69</v>
      </c>
      <c r="I367" s="120" t="s">
        <v>75</v>
      </c>
      <c r="J367" s="117">
        <f>IF($A367="","",IF($I367="Ganada",ROUND($G367*($F367-1),2),IF($I367="Medio Ganada",ROUND($G367/2*($F367-1),2),IF($I367="Perdida",IF($H367="Free Bet",0,-$G367),IF($I367="Medio Perdida",IF($H367="Free Bet",0,-$G367/2),IF($I367="Reembolso",IF($R367="","",ROUND($R367-$G367,2)),IF($I367="Anulada",0,"")))))))</f>
        <v>-27</v>
      </c>
      <c r="K367" s="118">
        <f>IF(J367="","",2000+SUM(J$5:J367))</f>
        <v>2705.42</v>
      </c>
      <c r="L367" s="119">
        <f>IF(OR($I367="Ganada",$I367="Perdida",$I367="Medio Ganada",$I367="Medio Perdida"),IF($G367=0,"",J367/$G367),"")</f>
        <v>-1</v>
      </c>
      <c r="M367" s="120">
        <f>IF(OR($A367="",$B367=""),"",COUNTIFS($A$5:A367,A367,$B$5:B367,B367))</f>
        <v>2</v>
      </c>
      <c r="N367" s="120">
        <f>IF($A367="","",COUNTA($A$5:$A367))</f>
        <v>363</v>
      </c>
      <c r="O367" s="120">
        <f>IF($A367="","",COUNTA($A$5:$A367))</f>
        <v>363</v>
      </c>
      <c r="P367" s="118">
        <f>IF($K367="","",MAX($K$5:K367))</f>
        <v>2807.25</v>
      </c>
      <c r="Q367" s="117">
        <f>IF($K367="","",K367-P367)</f>
        <v>-101.82999999999993</v>
      </c>
      <c r="R367" s="2"/>
      <c r="S367" s="2">
        <f>IF(OR($A367="",$F367=""),"",IF($I367="Pendiente","",ROUND($G367*($F367*0.609-1),2)))</f>
        <v>3.58</v>
      </c>
      <c r="T367" s="2">
        <f>IF($A367="","",IFERROR(SUM($S$5:S367),0))</f>
        <v>585.62999999999977</v>
      </c>
    </row>
    <row r="368" spans="1:20" ht="30.75" customHeight="1">
      <c r="A368" s="110">
        <v>46215</v>
      </c>
      <c r="B368" s="150" t="s">
        <v>33</v>
      </c>
      <c r="C368" s="156" t="s">
        <v>650</v>
      </c>
      <c r="D368" s="113" t="s">
        <v>67</v>
      </c>
      <c r="E368" s="158" t="s">
        <v>246</v>
      </c>
      <c r="F368" s="115">
        <v>2.12</v>
      </c>
      <c r="G368" s="116">
        <v>14</v>
      </c>
      <c r="H368" s="120" t="s">
        <v>69</v>
      </c>
      <c r="I368" s="120" t="s">
        <v>75</v>
      </c>
      <c r="J368" s="117">
        <f>IF($A368="","",IF($I368="Ganada",ROUND($G368*($F368-1),2),IF($I368="Medio Ganada",ROUND($G368/2*($F368-1),2),IF($I368="Perdida",IF($H368="Free Bet",0,-$G368),IF($I368="Medio Perdida",IF($H368="Free Bet",0,-$G368/2),IF($I368="Reembolso",IF($R368="","",ROUND($R368-$G368,2)),IF($I368="Anulada",0,"")))))))</f>
        <v>-14</v>
      </c>
      <c r="K368" s="118">
        <f>IF(J368="","",2000+SUM(J$5:J368))</f>
        <v>2691.42</v>
      </c>
      <c r="L368" s="119">
        <f>IF(OR($I368="Ganada",$I368="Perdida",$I368="Medio Ganada",$I368="Medio Perdida"),IF($G368=0,"",J368/$G368),"")</f>
        <v>-1</v>
      </c>
      <c r="M368" s="120">
        <f>IF(OR($A368="",$B368=""),"",COUNTIFS($A$5:A368,A368,$B$5:B368,B368))</f>
        <v>4</v>
      </c>
      <c r="N368" s="120">
        <f>IF($A368="","",COUNTA($A$5:$A368))</f>
        <v>364</v>
      </c>
      <c r="O368" s="120">
        <f>IF($A368="","",COUNTA($A$5:$A368))</f>
        <v>364</v>
      </c>
      <c r="P368" s="118">
        <f>IF($K368="","",MAX($K$5:K368))</f>
        <v>2807.25</v>
      </c>
      <c r="Q368" s="117">
        <f>IF($K368="","",K368-P368)</f>
        <v>-115.82999999999993</v>
      </c>
      <c r="R368" s="2"/>
      <c r="S368" s="2">
        <f>IF(OR($A368="",$F368=""),"",IF($I368="Pendiente","",ROUND($G368*($F368*0.609-1),2)))</f>
        <v>4.08</v>
      </c>
      <c r="T368" s="2">
        <f>IF($A368="","",IFERROR(SUM($S$5:S368),0))</f>
        <v>589.70999999999981</v>
      </c>
    </row>
    <row r="369" spans="1:20" ht="30.75" customHeight="1">
      <c r="A369" s="110">
        <v>46215</v>
      </c>
      <c r="B369" s="150" t="s">
        <v>33</v>
      </c>
      <c r="C369" s="156" t="s">
        <v>651</v>
      </c>
      <c r="D369" s="113" t="s">
        <v>67</v>
      </c>
      <c r="E369" s="158" t="s">
        <v>496</v>
      </c>
      <c r="F369" s="115">
        <v>1.77</v>
      </c>
      <c r="G369" s="116">
        <v>20</v>
      </c>
      <c r="H369" s="120" t="s">
        <v>69</v>
      </c>
      <c r="I369" s="120" t="s">
        <v>75</v>
      </c>
      <c r="J369" s="117">
        <f>IF($A369="","",IF($I369="Ganada",ROUND($G369*($F369-1),2),IF($I369="Medio Ganada",ROUND($G369/2*($F369-1),2),IF($I369="Perdida",IF($H369="Free Bet",0,-$G369),IF($I369="Medio Perdida",IF($H369="Free Bet",0,-$G369/2),IF($I369="Reembolso",IF($R369="","",ROUND($R369-$G369,2)),IF($I369="Anulada",0,"")))))))</f>
        <v>-20</v>
      </c>
      <c r="K369" s="118">
        <f>IF(J369="","",2000+SUM(J$5:J369))</f>
        <v>2671.42</v>
      </c>
      <c r="L369" s="119">
        <f>IF(OR($I369="Ganada",$I369="Perdida",$I369="Medio Ganada",$I369="Medio Perdida"),IF($G369=0,"",J369/$G369),"")</f>
        <v>-1</v>
      </c>
      <c r="M369" s="120">
        <f>IF(OR($A369="",$B369=""),"",COUNTIFS($A$5:A369,A369,$B$5:B369,B369))</f>
        <v>5</v>
      </c>
      <c r="N369" s="120">
        <f>IF($A369="","",COUNTA($A$5:$A369))</f>
        <v>365</v>
      </c>
      <c r="O369" s="120">
        <f>IF($A369="","",COUNTA($A$5:$A369))</f>
        <v>365</v>
      </c>
      <c r="P369" s="118">
        <f>IF($K369="","",MAX($K$5:K369))</f>
        <v>2807.25</v>
      </c>
      <c r="Q369" s="117">
        <f>IF($K369="","",K369-P369)</f>
        <v>-135.82999999999993</v>
      </c>
      <c r="R369" s="2"/>
      <c r="S369" s="2">
        <f>IF(OR($A369="",$F369=""),"",IF($I369="Pendiente","",ROUND($G369*($F369*0.609-1),2)))</f>
        <v>1.56</v>
      </c>
      <c r="T369" s="2">
        <f>IF($A369="","",IFERROR(SUM($S$5:S369),0))</f>
        <v>591.26999999999975</v>
      </c>
    </row>
    <row r="370" spans="1:20" ht="15" customHeight="1">
      <c r="A370" s="110">
        <v>46215</v>
      </c>
      <c r="B370" s="162" t="s">
        <v>33</v>
      </c>
      <c r="C370" s="156" t="s">
        <v>652</v>
      </c>
      <c r="D370" s="113" t="s">
        <v>67</v>
      </c>
      <c r="E370" s="106" t="s">
        <v>653</v>
      </c>
      <c r="F370" s="115">
        <v>2.08</v>
      </c>
      <c r="G370" s="116">
        <v>20</v>
      </c>
      <c r="H370" s="120" t="s">
        <v>69</v>
      </c>
      <c r="I370" s="120" t="s">
        <v>70</v>
      </c>
      <c r="J370" s="117">
        <f>IF($A370="","",IF($I370="Ganada",ROUND($G370*($F370-1),2),IF($I370="Medio Ganada",ROUND($G370/2*($F370-1),2),IF($I370="Perdida",IF($H370="Free Bet",0,-$G370),IF($I370="Medio Perdida",IF($H370="Free Bet",0,-$G370/2),IF($I370="Reembolso",IF($R370="","",ROUND($R370-$G370,2)),IF($I370="Anulada",0,"")))))))</f>
        <v>21.6</v>
      </c>
      <c r="K370" s="118">
        <f>IF(J370="","",2000+SUM(J$5:J370))</f>
        <v>2693.02</v>
      </c>
      <c r="L370" s="119">
        <f>IF(OR($I370="Ganada",$I370="Perdida",$I370="Medio Ganada",$I370="Medio Perdida"),IF($G370=0,"",J370/$G370),"")</f>
        <v>1.08</v>
      </c>
      <c r="M370" s="120">
        <f>IF(OR($A370="",$B370=""),"",COUNTIFS($A$5:A370,A370,$B$5:B370,B370))</f>
        <v>6</v>
      </c>
      <c r="N370" s="120">
        <f>IF($A370="","",COUNTA($A$5:$A370))</f>
        <v>366</v>
      </c>
      <c r="O370" s="120">
        <f>IF($A370="","",COUNTA($A$5:$A370))</f>
        <v>366</v>
      </c>
      <c r="P370" s="118">
        <f>IF($K370="","",MAX($K$5:K370))</f>
        <v>2807.25</v>
      </c>
      <c r="Q370" s="117">
        <f>IF($K370="","",K370-P370)</f>
        <v>-114.23000000000002</v>
      </c>
      <c r="R370" s="2"/>
      <c r="S370" s="2">
        <f>IF(OR($A370="",$F370=""),"",IF($I370="Pendiente","",ROUND($G370*($F370*0.609-1),2)))</f>
        <v>5.33</v>
      </c>
      <c r="T370" s="2">
        <f>IF($A370="","",IFERROR(SUM($S$5:S370),0))</f>
        <v>596.5999999999998</v>
      </c>
    </row>
    <row r="371" spans="1:20" ht="30.75" customHeight="1">
      <c r="A371" s="110">
        <v>46215</v>
      </c>
      <c r="B371" s="150" t="s">
        <v>33</v>
      </c>
      <c r="C371" s="154" t="s">
        <v>654</v>
      </c>
      <c r="D371" s="113" t="s">
        <v>67</v>
      </c>
      <c r="E371" s="158" t="s">
        <v>655</v>
      </c>
      <c r="F371" s="115">
        <v>1.82</v>
      </c>
      <c r="G371" s="116">
        <v>19</v>
      </c>
      <c r="H371" s="120" t="s">
        <v>69</v>
      </c>
      <c r="I371" s="120" t="s">
        <v>70</v>
      </c>
      <c r="J371" s="117">
        <f>IF($A371="","",IF($I371="Ganada",ROUND($G371*($F371-1),2),IF($I371="Medio Ganada",ROUND($G371/2*($F371-1),2),IF($I371="Perdida",IF($H371="Free Bet",0,-$G371),IF($I371="Medio Perdida",IF($H371="Free Bet",0,-$G371/2),IF($I371="Reembolso",IF($R371="","",ROUND($R371-$G371,2)),IF($I371="Anulada",0,"")))))))</f>
        <v>15.58</v>
      </c>
      <c r="K371" s="118">
        <f>IF(J371="","",2000+SUM(J$5:J371))</f>
        <v>2708.6000000000004</v>
      </c>
      <c r="L371" s="119">
        <f>IF(OR($I371="Ganada",$I371="Perdida",$I371="Medio Ganada",$I371="Medio Perdida"),IF($G371=0,"",J371/$G371),"")</f>
        <v>0.82</v>
      </c>
      <c r="M371" s="120">
        <f>IF(OR($A371="",$B371=""),"",COUNTIFS($A$5:A371,A371,$B$5:B371,B371))</f>
        <v>7</v>
      </c>
      <c r="N371" s="120">
        <f>IF($A371="","",COUNTA($A$5:$A371))</f>
        <v>367</v>
      </c>
      <c r="O371" s="120">
        <f>IF($A371="","",COUNTA($A$5:$A371))</f>
        <v>367</v>
      </c>
      <c r="P371" s="118">
        <f>IF($K371="","",MAX($K$5:K371))</f>
        <v>2807.25</v>
      </c>
      <c r="Q371" s="117">
        <f>IF($K371="","",K371-P371)</f>
        <v>-98.649999999999636</v>
      </c>
      <c r="R371" s="2"/>
      <c r="S371" s="2">
        <f>IF(OR($A371="",$F371=""),"",IF($I371="Pendiente","",ROUND($G371*($F371*0.609-1),2)))</f>
        <v>2.06</v>
      </c>
      <c r="T371" s="2">
        <f>IF($A371="","",IFERROR(SUM($S$5:S371),0))</f>
        <v>598.65999999999974</v>
      </c>
    </row>
    <row r="372" spans="1:20" ht="15" customHeight="1">
      <c r="A372" s="110">
        <v>46215</v>
      </c>
      <c r="B372" s="152" t="s">
        <v>32</v>
      </c>
      <c r="C372" s="156" t="s">
        <v>656</v>
      </c>
      <c r="D372" s="113" t="s">
        <v>67</v>
      </c>
      <c r="E372" s="158" t="s">
        <v>657</v>
      </c>
      <c r="F372" s="115">
        <v>1.833</v>
      </c>
      <c r="G372" s="116">
        <v>20</v>
      </c>
      <c r="H372" s="120" t="s">
        <v>69</v>
      </c>
      <c r="I372" s="120" t="s">
        <v>70</v>
      </c>
      <c r="J372" s="117">
        <f>IF($A372="","",IF($I372="Ganada",ROUND($G372*($F372-1),2),IF($I372="Medio Ganada",ROUND($G372/2*($F372-1),2),IF($I372="Perdida",IF($H372="Free Bet",0,-$G372),IF($I372="Medio Perdida",IF($H372="Free Bet",0,-$G372/2),IF($I372="Reembolso",IF($R372="","",ROUND($R372-$G372,2)),IF($I372="Anulada",0,"")))))))</f>
        <v>16.66</v>
      </c>
      <c r="K372" s="118">
        <f>IF(J372="","",2000+SUM(J$5:J372))</f>
        <v>2725.26</v>
      </c>
      <c r="L372" s="119">
        <f>IF(OR($I372="Ganada",$I372="Perdida",$I372="Medio Ganada",$I372="Medio Perdida"),IF($G372=0,"",J372/$G372),"")</f>
        <v>0.83299999999999996</v>
      </c>
      <c r="M372" s="120">
        <f>IF(OR($A372="",$B372=""),"",COUNTIFS($A$5:A372,A372,$B$5:B372,B372))</f>
        <v>2</v>
      </c>
      <c r="N372" s="120">
        <f>IF($A372="","",COUNTA($A$5:$A372))</f>
        <v>368</v>
      </c>
      <c r="O372" s="120">
        <f>IF($A372="","",COUNTA($A$5:$A372))</f>
        <v>368</v>
      </c>
      <c r="P372" s="118">
        <f>IF($K372="","",MAX($K$5:K372))</f>
        <v>2807.25</v>
      </c>
      <c r="Q372" s="117">
        <f>IF($K372="","",K372-P372)</f>
        <v>-81.989999999999782</v>
      </c>
      <c r="R372" s="2"/>
      <c r="S372" s="2">
        <f>IF(OR($A372="",$F372=""),"",IF($I372="Pendiente","",ROUND($G372*($F372*0.609-1),2)))</f>
        <v>2.33</v>
      </c>
      <c r="T372" s="2">
        <f>IF($A372="","",IFERROR(SUM($S$5:S372),0))</f>
        <v>600.98999999999978</v>
      </c>
    </row>
    <row r="373" spans="1:20" ht="15" customHeight="1">
      <c r="A373" s="110">
        <v>46215</v>
      </c>
      <c r="B373" s="113" t="s">
        <v>37</v>
      </c>
      <c r="C373" s="154" t="s">
        <v>658</v>
      </c>
      <c r="D373" s="113" t="s">
        <v>76</v>
      </c>
      <c r="E373" s="106" t="s">
        <v>659</v>
      </c>
      <c r="F373" s="115">
        <v>2.4</v>
      </c>
      <c r="G373" s="116">
        <v>5</v>
      </c>
      <c r="H373" s="120" t="s">
        <v>69</v>
      </c>
      <c r="I373" s="120" t="s">
        <v>70</v>
      </c>
      <c r="J373" s="117">
        <f>IF($A373="","",IF($I373="Ganada",ROUND($G373*($F373-1),2),IF($I373="Medio Ganada",ROUND($G373/2*($F373-1),2),IF($I373="Perdida",IF($H373="Free Bet",0,-$G373),IF($I373="Medio Perdida",IF($H373="Free Bet",0,-$G373/2),IF($I373="Reembolso",IF($R373="","",ROUND($R373-$G373,2)),IF($I373="Anulada",0,"")))))))</f>
        <v>7</v>
      </c>
      <c r="K373" s="118">
        <f>IF(J373="","",2000+SUM(J$5:J373))</f>
        <v>2732.26</v>
      </c>
      <c r="L373" s="119">
        <f>IF(OR($I373="Ganada",$I373="Perdida",$I373="Medio Ganada",$I373="Medio Perdida"),IF($G373=0,"",J373/$G373),"")</f>
        <v>1.4</v>
      </c>
      <c r="M373" s="120">
        <f>IF(OR($A373="",$B373=""),"",COUNTIFS($A$5:A373,A373,$B$5:B373,B373))</f>
        <v>1</v>
      </c>
      <c r="N373" s="120">
        <f>IF($A373="","",COUNTA($A$5:$A373))</f>
        <v>369</v>
      </c>
      <c r="O373" s="120">
        <f>IF($A373="","",COUNTA($A$5:$A373))</f>
        <v>369</v>
      </c>
      <c r="P373" s="118">
        <f>IF($K373="","",MAX($K$5:K373))</f>
        <v>2807.25</v>
      </c>
      <c r="Q373" s="117">
        <f>IF($K373="","",K373-P373)</f>
        <v>-74.989999999999782</v>
      </c>
      <c r="R373" s="2"/>
      <c r="S373" s="2">
        <f>IF(OR($A373="",$F373=""),"",IF($I373="Pendiente","",ROUND($G373*($F373*0.609-1),2)))</f>
        <v>2.31</v>
      </c>
      <c r="T373" s="2">
        <f>IF($A373="","",IFERROR(SUM($S$5:S373),0))</f>
        <v>603.29999999999973</v>
      </c>
    </row>
    <row r="374" spans="1:20">
      <c r="A374" s="110">
        <v>46215</v>
      </c>
      <c r="B374" s="113" t="s">
        <v>33</v>
      </c>
      <c r="C374" s="156" t="s">
        <v>660</v>
      </c>
      <c r="D374" s="113" t="s">
        <v>67</v>
      </c>
      <c r="E374" s="106" t="s">
        <v>661</v>
      </c>
      <c r="F374" s="115">
        <v>1.8</v>
      </c>
      <c r="G374" s="116">
        <v>12</v>
      </c>
      <c r="H374" s="120" t="s">
        <v>69</v>
      </c>
      <c r="I374" s="120" t="s">
        <v>70</v>
      </c>
      <c r="J374" s="117">
        <f>IF($A374="","",IF($I374="Ganada",ROUND($G374*($F374-1),2),IF($I374="Medio Ganada",ROUND($G374/2*($F374-1),2),IF($I374="Perdida",IF($H374="Free Bet",0,-$G374),IF($I374="Medio Perdida",IF($H374="Free Bet",0,-$G374/2),IF($I374="Reembolso",IF($R374="","",ROUND($R374-$G374,2)),IF($I374="Anulada",0,"")))))))</f>
        <v>9.6</v>
      </c>
      <c r="K374" s="118">
        <f>IF(J374="","",2000+SUM(J$5:J374))</f>
        <v>2741.86</v>
      </c>
      <c r="L374" s="119">
        <f>IF(OR($I374="Ganada",$I374="Perdida",$I374="Medio Ganada",$I374="Medio Perdida"),IF($G374=0,"",J374/$G374),"")</f>
        <v>0.79999999999999993</v>
      </c>
      <c r="M374" s="120">
        <f>IF(OR($A374="",$B374=""),"",COUNTIFS($A$5:A374,A374,$B$5:B374,B374))</f>
        <v>8</v>
      </c>
      <c r="N374" s="120">
        <f>IF($A374="","",COUNTA($A$5:$A374))</f>
        <v>370</v>
      </c>
      <c r="O374" s="120">
        <f>IF($A374="","",COUNTA($A$5:$A374))</f>
        <v>370</v>
      </c>
      <c r="P374" s="118">
        <f>IF($K374="","",MAX($K$5:K374))</f>
        <v>2807.25</v>
      </c>
      <c r="Q374" s="117">
        <f>IF($K374="","",K374-P374)</f>
        <v>-65.389999999999873</v>
      </c>
      <c r="R374" s="2"/>
      <c r="S374" s="2">
        <f>IF(OR($A374="",$F374=""),"",IF($I374="Pendiente","",ROUND($G374*($F374*0.609-1),2)))</f>
        <v>1.1499999999999999</v>
      </c>
      <c r="T374" s="2">
        <f>IF($A374="","",IFERROR(SUM($S$5:S374),0))</f>
        <v>604.4499999999997</v>
      </c>
    </row>
    <row r="375" spans="1:20" ht="23.25">
      <c r="A375" s="110">
        <v>46215</v>
      </c>
      <c r="B375" s="113" t="s">
        <v>32</v>
      </c>
      <c r="C375" s="156" t="s">
        <v>662</v>
      </c>
      <c r="D375" s="113" t="s">
        <v>95</v>
      </c>
      <c r="E375" s="106" t="s">
        <v>663</v>
      </c>
      <c r="F375" s="115">
        <v>1.333</v>
      </c>
      <c r="G375" s="116">
        <v>45</v>
      </c>
      <c r="H375" s="120" t="s">
        <v>69</v>
      </c>
      <c r="I375" s="120" t="s">
        <v>70</v>
      </c>
      <c r="J375" s="117">
        <f>IF($A375="","",IF($I375="Ganada",ROUND($G375*($F375-1),2),IF($I375="Medio Ganada",ROUND($G375/2*($F375-1),2),IF($I375="Perdida",IF($H375="Free Bet",0,-$G375),IF($I375="Medio Perdida",IF($H375="Free Bet",0,-$G375/2),IF($I375="Reembolso",IF($R375="","",ROUND($R375-$G375,2)),IF($I375="Anulada",0,"")))))))</f>
        <v>14.99</v>
      </c>
      <c r="K375" s="118">
        <f>IF(J375="","",2000+SUM(J$5:J375))</f>
        <v>2756.8500000000004</v>
      </c>
      <c r="L375" s="119">
        <f>IF(OR($I375="Ganada",$I375="Perdida",$I375="Medio Ganada",$I375="Medio Perdida"),IF($G375=0,"",J375/$G375),"")</f>
        <v>0.33311111111111114</v>
      </c>
      <c r="M375" s="120">
        <f>IF(OR($A375="",$B375=""),"",COUNTIFS($A$5:A375,A375,$B$5:B375,B375))</f>
        <v>3</v>
      </c>
      <c r="N375" s="120">
        <f>IF($A375="","",COUNTA($A$5:$A375))</f>
        <v>371</v>
      </c>
      <c r="O375" s="120">
        <f>IF($A375="","",COUNTA($A$5:$A375))</f>
        <v>371</v>
      </c>
      <c r="P375" s="118">
        <f>IF($K375="","",MAX($K$5:K375))</f>
        <v>2807.25</v>
      </c>
      <c r="Q375" s="117">
        <f>IF($K375="","",K375-P375)</f>
        <v>-50.399999999999636</v>
      </c>
      <c r="R375" s="2"/>
      <c r="S375" s="2">
        <f>IF(OR($A375="",$F375=""),"",IF($I375="Pendiente","",ROUND($G375*($F375*0.609-1),2)))</f>
        <v>-8.4700000000000006</v>
      </c>
      <c r="T375" s="2">
        <f>IF($A375="","",IFERROR(SUM($S$5:S375),0))</f>
        <v>595.97999999999968</v>
      </c>
    </row>
    <row r="376" spans="1:20">
      <c r="A376" s="110">
        <v>46215</v>
      </c>
      <c r="B376" s="113" t="s">
        <v>33</v>
      </c>
      <c r="C376" s="156" t="s">
        <v>664</v>
      </c>
      <c r="D376" s="113" t="s">
        <v>76</v>
      </c>
      <c r="E376" s="158" t="s">
        <v>190</v>
      </c>
      <c r="F376" s="115">
        <v>1.35</v>
      </c>
      <c r="G376" s="116">
        <v>45</v>
      </c>
      <c r="H376" s="120" t="s">
        <v>69</v>
      </c>
      <c r="I376" s="120" t="s">
        <v>75</v>
      </c>
      <c r="J376" s="117">
        <f>IF($A376="","",IF($I376="Ganada",ROUND($G376*($F376-1),2),IF($I376="Medio Ganada",ROUND($G376/2*($F376-1),2),IF($I376="Perdida",IF($H376="Free Bet",0,-$G376),IF($I376="Medio Perdida",IF($H376="Free Bet",0,-$G376/2),IF($I376="Reembolso",IF($R376="","",ROUND($R376-$G376,2)),IF($I376="Anulada",0,"")))))))</f>
        <v>-45</v>
      </c>
      <c r="K376" s="118">
        <f>IF(J376="","",2000+SUM(J$5:J376))</f>
        <v>2711.8500000000004</v>
      </c>
      <c r="L376" s="119">
        <f>IF(OR($I376="Ganada",$I376="Perdida",$I376="Medio Ganada",$I376="Medio Perdida"),IF($G376=0,"",J376/$G376),"")</f>
        <v>-1</v>
      </c>
      <c r="M376" s="120">
        <f>IF(OR($A376="",$B376=""),"",COUNTIFS($A$5:A376,A376,$B$5:B376,B376))</f>
        <v>9</v>
      </c>
      <c r="N376" s="120">
        <f>IF($A376="","",COUNTA($A$5:$A376))</f>
        <v>372</v>
      </c>
      <c r="O376" s="120">
        <f>IF($A376="","",COUNTA($A$5:$A376))</f>
        <v>372</v>
      </c>
      <c r="P376" s="118">
        <f>IF($K376="","",MAX($K$5:K376))</f>
        <v>2807.25</v>
      </c>
      <c r="Q376" s="117">
        <f>IF($K376="","",K376-P376)</f>
        <v>-95.399999999999636</v>
      </c>
      <c r="R376" s="2"/>
      <c r="S376" s="2">
        <f>IF(OR($A376="",$F376=""),"",IF($I376="Pendiente","",ROUND($G376*($F376*0.609-1),2)))</f>
        <v>-8</v>
      </c>
      <c r="T376" s="2">
        <f>IF($A376="","",IFERROR(SUM($S$5:S376),0))</f>
        <v>587.97999999999968</v>
      </c>
    </row>
    <row r="377" spans="1:20" ht="27.75">
      <c r="A377" s="110">
        <v>46215</v>
      </c>
      <c r="B377" s="113" t="s">
        <v>33</v>
      </c>
      <c r="C377" s="154" t="s">
        <v>665</v>
      </c>
      <c r="D377" s="113" t="s">
        <v>67</v>
      </c>
      <c r="E377" s="158" t="s">
        <v>428</v>
      </c>
      <c r="F377" s="115">
        <v>1.62</v>
      </c>
      <c r="G377" s="116">
        <v>20</v>
      </c>
      <c r="H377" s="120" t="s">
        <v>69</v>
      </c>
      <c r="I377" s="120" t="s">
        <v>70</v>
      </c>
      <c r="J377" s="117">
        <f>IF($A377="","",IF($I377="Ganada",ROUND($G377*($F377-1),2),IF($I377="Medio Ganada",ROUND($G377/2*($F377-1),2),IF($I377="Perdida",IF($H377="Free Bet",0,-$G377),IF($I377="Medio Perdida",IF($H377="Free Bet",0,-$G377/2),IF($I377="Reembolso",IF($R377="","",ROUND($R377-$G377,2)),IF($I377="Anulada",0,"")))))))</f>
        <v>12.4</v>
      </c>
      <c r="K377" s="118">
        <f>IF(J377="","",2000+SUM(J$5:J377))</f>
        <v>2724.25</v>
      </c>
      <c r="L377" s="119">
        <f>IF(OR($I377="Ganada",$I377="Perdida",$I377="Medio Ganada",$I377="Medio Perdida"),IF($G377=0,"",J377/$G377),"")</f>
        <v>0.62</v>
      </c>
      <c r="M377" s="120">
        <f>IF(OR($A377="",$B377=""),"",COUNTIFS($A$5:A377,A377,$B$5:B377,B377))</f>
        <v>10</v>
      </c>
      <c r="N377" s="120">
        <f>IF($A377="","",COUNTA($A$5:$A377))</f>
        <v>373</v>
      </c>
      <c r="O377" s="120">
        <f>IF($A377="","",COUNTA($A$5:$A377))</f>
        <v>373</v>
      </c>
      <c r="P377" s="118">
        <f>IF($K377="","",MAX($K$5:K377))</f>
        <v>2807.25</v>
      </c>
      <c r="Q377" s="117">
        <f>IF($K377="","",K377-P377)</f>
        <v>-83</v>
      </c>
      <c r="R377" s="2"/>
      <c r="S377" s="2">
        <f>IF(OR($A377="",$F377=""),"",IF($I377="Pendiente","",ROUND($G377*($F377*0.609-1),2)))</f>
        <v>-0.27</v>
      </c>
      <c r="T377" s="2">
        <f>IF($A377="","",IFERROR(SUM($S$5:S377),0))</f>
        <v>587.7099999999997</v>
      </c>
    </row>
    <row r="378" spans="1:20" ht="27.75">
      <c r="A378" s="110">
        <v>46215</v>
      </c>
      <c r="B378" s="113" t="s">
        <v>28</v>
      </c>
      <c r="C378" s="156" t="s">
        <v>666</v>
      </c>
      <c r="D378" s="113" t="s">
        <v>95</v>
      </c>
      <c r="E378" s="158" t="s">
        <v>667</v>
      </c>
      <c r="F378" s="115">
        <v>1.96</v>
      </c>
      <c r="G378" s="116">
        <v>27</v>
      </c>
      <c r="H378" s="120" t="s">
        <v>69</v>
      </c>
      <c r="I378" s="120" t="s">
        <v>75</v>
      </c>
      <c r="J378" s="117">
        <f>IF($A378="","",IF($I378="Ganada",ROUND($G378*($F378-1),2),IF($I378="Medio Ganada",ROUND($G378/2*($F378-1),2),IF($I378="Perdida",IF($H378="Free Bet",0,-$G378),IF($I378="Medio Perdida",IF($H378="Free Bet",0,-$G378/2),IF($I378="Reembolso",IF($R378="","",ROUND($R378-$G378,2)),IF($I378="Anulada",0,"")))))))</f>
        <v>-27</v>
      </c>
      <c r="K378" s="118">
        <f>IF(J378="","",2000+SUM(J$5:J378))</f>
        <v>2697.25</v>
      </c>
      <c r="L378" s="119">
        <f>IF(OR($I378="Ganada",$I378="Perdida",$I378="Medio Ganada",$I378="Medio Perdida"),IF($G378=0,"",J378/$G378),"")</f>
        <v>-1</v>
      </c>
      <c r="M378" s="120">
        <f>IF(OR($A378="",$B378=""),"",COUNTIFS($A$5:A378,A378,$B$5:B378,B378))</f>
        <v>3</v>
      </c>
      <c r="N378" s="120">
        <f>IF($A378="","",COUNTA($A$5:$A378))</f>
        <v>374</v>
      </c>
      <c r="O378" s="120">
        <f>IF($A378="","",COUNTA($A$5:$A378))</f>
        <v>374</v>
      </c>
      <c r="P378" s="118">
        <f>IF($K378="","",MAX($K$5:K378))</f>
        <v>2807.25</v>
      </c>
      <c r="Q378" s="117">
        <f>IF($K378="","",K378-P378)</f>
        <v>-110</v>
      </c>
      <c r="R378" s="2"/>
      <c r="S378" s="2">
        <f>IF(OR($A378="",$F378=""),"",IF($I378="Pendiente","",ROUND($G378*($F378*0.609-1),2)))</f>
        <v>5.23</v>
      </c>
      <c r="T378" s="2">
        <f>IF($A378="","",IFERROR(SUM($S$5:S378),0))</f>
        <v>592.93999999999971</v>
      </c>
    </row>
    <row r="379" spans="1:20" ht="27.75">
      <c r="A379" s="110">
        <v>46215</v>
      </c>
      <c r="B379" s="113" t="s">
        <v>32</v>
      </c>
      <c r="C379" s="154" t="s">
        <v>668</v>
      </c>
      <c r="D379" s="113" t="s">
        <v>95</v>
      </c>
      <c r="E379" s="158" t="s">
        <v>669</v>
      </c>
      <c r="F379" s="115">
        <v>2</v>
      </c>
      <c r="G379" s="116">
        <v>20</v>
      </c>
      <c r="H379" s="120" t="s">
        <v>69</v>
      </c>
      <c r="I379" s="120" t="s">
        <v>75</v>
      </c>
      <c r="J379" s="117">
        <f>IF($A379="","",IF($I379="Ganada",ROUND($G379*($F379-1),2),IF($I379="Medio Ganada",ROUND($G379/2*($F379-1),2),IF($I379="Perdida",IF($H379="Free Bet",0,-$G379),IF($I379="Medio Perdida",IF($H379="Free Bet",0,-$G379/2),IF($I379="Reembolso",IF($R379="","",ROUND($R379-$G379,2)),IF($I379="Anulada",0,"")))))))</f>
        <v>-20</v>
      </c>
      <c r="K379" s="118">
        <f>IF(J379="","",2000+SUM(J$5:J379))</f>
        <v>2677.25</v>
      </c>
      <c r="L379" s="119">
        <f>IF(OR($I379="Ganada",$I379="Perdida",$I379="Medio Ganada",$I379="Medio Perdida"),IF($G379=0,"",J379/$G379),"")</f>
        <v>-1</v>
      </c>
      <c r="M379" s="120">
        <f>IF(OR($A379="",$B379=""),"",COUNTIFS($A$5:A379,A379,$B$5:B379,B379))</f>
        <v>4</v>
      </c>
      <c r="N379" s="120">
        <f>IF($A379="","",COUNTA($A$5:$A379))</f>
        <v>375</v>
      </c>
      <c r="O379" s="120">
        <f>IF($A379="","",COUNTA($A$5:$A379))</f>
        <v>375</v>
      </c>
      <c r="P379" s="118">
        <f>IF($K379="","",MAX($K$5:K379))</f>
        <v>2807.25</v>
      </c>
      <c r="Q379" s="117">
        <f>IF($K379="","",K379-P379)</f>
        <v>-130</v>
      </c>
      <c r="R379" s="2"/>
      <c r="S379" s="2">
        <f>IF(OR($A379="",$F379=""),"",IF($I379="Pendiente","",ROUND($G379*($F379*0.609-1),2)))</f>
        <v>4.3600000000000003</v>
      </c>
      <c r="T379" s="2">
        <f>IF($A379="","",IFERROR(SUM($S$5:S379),0))</f>
        <v>597.29999999999973</v>
      </c>
    </row>
    <row r="380" spans="1:20">
      <c r="A380" s="110">
        <v>46215</v>
      </c>
      <c r="B380" s="113" t="s">
        <v>30</v>
      </c>
      <c r="C380" s="154" t="s">
        <v>670</v>
      </c>
      <c r="D380" s="113" t="s">
        <v>67</v>
      </c>
      <c r="E380" s="158" t="s">
        <v>521</v>
      </c>
      <c r="F380" s="115">
        <v>1.58</v>
      </c>
      <c r="G380" s="116">
        <v>27</v>
      </c>
      <c r="H380" s="120" t="s">
        <v>69</v>
      </c>
      <c r="I380" s="120" t="s">
        <v>70</v>
      </c>
      <c r="J380" s="117">
        <f>IF($A380="","",IF($I380="Ganada",ROUND($G380*($F380-1),2),IF($I380="Medio Ganada",ROUND($G380/2*($F380-1),2),IF($I380="Perdida",IF($H380="Free Bet",0,-$G380),IF($I380="Medio Perdida",IF($H380="Free Bet",0,-$G380/2),IF($I380="Reembolso",IF($R380="","",ROUND($R380-$G380,2)),IF($I380="Anulada",0,"")))))))</f>
        <v>15.66</v>
      </c>
      <c r="K380" s="118">
        <f>IF(J380="","",2000+SUM(J$5:J380))</f>
        <v>2692.91</v>
      </c>
      <c r="L380" s="119">
        <f>IF(OR($I380="Ganada",$I380="Perdida",$I380="Medio Ganada",$I380="Medio Perdida"),IF($G380=0,"",J380/$G380),"")</f>
        <v>0.57999999999999996</v>
      </c>
      <c r="M380" s="120">
        <f>IF(OR($A380="",$B380=""),"",COUNTIFS($A$5:A380,A380,$B$5:B380,B380))</f>
        <v>1</v>
      </c>
      <c r="N380" s="120">
        <f>IF($A380="","",COUNTA($A$5:$A380))</f>
        <v>376</v>
      </c>
      <c r="O380" s="120">
        <f>IF($A380="","",COUNTA($A$5:$A380))</f>
        <v>376</v>
      </c>
      <c r="P380" s="118">
        <f>IF($K380="","",MAX($K$5:K380))</f>
        <v>2807.25</v>
      </c>
      <c r="Q380" s="117">
        <f>IF($K380="","",K380-P380)</f>
        <v>-114.34000000000015</v>
      </c>
      <c r="R380" s="2"/>
      <c r="S380" s="2">
        <f>IF(OR($A380="",$F380=""),"",IF($I380="Pendiente","",ROUND($G380*($F380*0.609-1),2)))</f>
        <v>-1.02</v>
      </c>
      <c r="T380" s="2">
        <f>IF($A380="","",IFERROR(SUM($S$5:S380),0))</f>
        <v>596.27999999999975</v>
      </c>
    </row>
    <row r="381" spans="1:20">
      <c r="A381" s="110">
        <v>46215</v>
      </c>
      <c r="B381" s="113" t="s">
        <v>30</v>
      </c>
      <c r="C381" s="154" t="s">
        <v>671</v>
      </c>
      <c r="D381" s="113" t="s">
        <v>67</v>
      </c>
      <c r="E381" s="158" t="s">
        <v>459</v>
      </c>
      <c r="F381" s="115">
        <v>2</v>
      </c>
      <c r="G381" s="116">
        <v>20</v>
      </c>
      <c r="H381" s="120" t="s">
        <v>69</v>
      </c>
      <c r="I381" s="120" t="s">
        <v>70</v>
      </c>
      <c r="J381" s="117">
        <f>IF($A381="","",IF($I381="Ganada",ROUND($G381*($F381-1),2),IF($I381="Medio Ganada",ROUND($G381/2*($F381-1),2),IF($I381="Perdida",IF($H381="Free Bet",0,-$G381),IF($I381="Medio Perdida",IF($H381="Free Bet",0,-$G381/2),IF($I381="Reembolso",IF($R381="","",ROUND($R381-$G381,2)),IF($I381="Anulada",0,"")))))))</f>
        <v>20</v>
      </c>
      <c r="K381" s="118">
        <f>IF(J381="","",2000+SUM(J$5:J381))</f>
        <v>2712.91</v>
      </c>
      <c r="L381" s="119">
        <f>IF(OR($I381="Ganada",$I381="Perdida",$I381="Medio Ganada",$I381="Medio Perdida"),IF($G381=0,"",J381/$G381),"")</f>
        <v>1</v>
      </c>
      <c r="M381" s="120">
        <f>IF(OR($A381="",$B381=""),"",COUNTIFS($A$5:A381,A381,$B$5:B381,B381))</f>
        <v>2</v>
      </c>
      <c r="N381" s="120">
        <f>IF($A381="","",COUNTA($A$5:$A381))</f>
        <v>377</v>
      </c>
      <c r="O381" s="120">
        <f>IF($A381="","",COUNTA($A$5:$A381))</f>
        <v>377</v>
      </c>
      <c r="P381" s="118">
        <f>IF($K381="","",MAX($K$5:K381))</f>
        <v>2807.25</v>
      </c>
      <c r="Q381" s="117">
        <f>IF($K381="","",K381-P381)</f>
        <v>-94.340000000000146</v>
      </c>
      <c r="R381" s="2"/>
      <c r="S381" s="2">
        <f>IF(OR($A381="",$F381=""),"",IF($I381="Pendiente","",ROUND($G381*($F381*0.609-1),2)))</f>
        <v>4.3600000000000003</v>
      </c>
      <c r="T381" s="2">
        <f>IF($A381="","",IFERROR(SUM($S$5:S381),0))</f>
        <v>600.63999999999976</v>
      </c>
    </row>
    <row r="382" spans="1:20">
      <c r="A382" s="110">
        <v>46215</v>
      </c>
      <c r="B382" s="113" t="s">
        <v>30</v>
      </c>
      <c r="C382" s="154" t="s">
        <v>672</v>
      </c>
      <c r="D382" s="113" t="s">
        <v>76</v>
      </c>
      <c r="E382" s="158" t="s">
        <v>560</v>
      </c>
      <c r="F382" s="115">
        <v>1.65</v>
      </c>
      <c r="G382" s="116">
        <v>27</v>
      </c>
      <c r="H382" s="120" t="s">
        <v>69</v>
      </c>
      <c r="I382" s="120" t="s">
        <v>70</v>
      </c>
      <c r="J382" s="117">
        <f>IF($A382="","",IF($I382="Ganada",ROUND($G382*($F382-1),2),IF($I382="Medio Ganada",ROUND($G382/2*($F382-1),2),IF($I382="Perdida",IF($H382="Free Bet",0,-$G382),IF($I382="Medio Perdida",IF($H382="Free Bet",0,-$G382/2),IF($I382="Reembolso",IF($R382="","",ROUND($R382-$G382,2)),IF($I382="Anulada",0,"")))))))</f>
        <v>17.55</v>
      </c>
      <c r="K382" s="118">
        <f>IF(J382="","",2000+SUM(J$5:J382))</f>
        <v>2730.46</v>
      </c>
      <c r="L382" s="119">
        <f>IF(OR($I382="Ganada",$I382="Perdida",$I382="Medio Ganada",$I382="Medio Perdida"),IF($G382=0,"",J382/$G382),"")</f>
        <v>0.65</v>
      </c>
      <c r="M382" s="120">
        <f>IF(OR($A382="",$B382=""),"",COUNTIFS($A$5:A382,A382,$B$5:B382,B382))</f>
        <v>3</v>
      </c>
      <c r="N382" s="120">
        <f>IF($A382="","",COUNTA($A$5:$A382))</f>
        <v>378</v>
      </c>
      <c r="O382" s="120">
        <f>IF($A382="","",COUNTA($A$5:$A382))</f>
        <v>378</v>
      </c>
      <c r="P382" s="118">
        <f>IF($K382="","",MAX($K$5:K382))</f>
        <v>2807.25</v>
      </c>
      <c r="Q382" s="117">
        <f>IF($K382="","",K382-P382)</f>
        <v>-76.789999999999964</v>
      </c>
      <c r="R382" s="2"/>
      <c r="S382" s="2">
        <f>IF(OR($A382="",$F382=""),"",IF($I382="Pendiente","",ROUND($G382*($F382*0.609-1),2)))</f>
        <v>0.13</v>
      </c>
      <c r="T382" s="2">
        <f>IF($A382="","",IFERROR(SUM($S$5:S382),0))</f>
        <v>600.76999999999975</v>
      </c>
    </row>
    <row r="383" spans="1:20" ht="27.75">
      <c r="A383" s="110">
        <v>46215</v>
      </c>
      <c r="B383" s="113" t="s">
        <v>30</v>
      </c>
      <c r="C383" s="154" t="s">
        <v>673</v>
      </c>
      <c r="D383" s="113" t="s">
        <v>95</v>
      </c>
      <c r="E383" s="158" t="s">
        <v>403</v>
      </c>
      <c r="F383" s="115">
        <v>1.7</v>
      </c>
      <c r="G383" s="116">
        <v>27</v>
      </c>
      <c r="H383" s="120" t="s">
        <v>69</v>
      </c>
      <c r="I383" s="120" t="s">
        <v>70</v>
      </c>
      <c r="J383" s="117">
        <f>IF($A383="","",IF($I383="Ganada",ROUND($G383*($F383-1),2),IF($I383="Medio Ganada",ROUND($G383/2*($F383-1),2),IF($I383="Perdida",IF($H383="Free Bet",0,-$G383),IF($I383="Medio Perdida",IF($H383="Free Bet",0,-$G383/2),IF($I383="Reembolso",IF($R383="","",ROUND($R383-$G383,2)),IF($I383="Anulada",0,"")))))))</f>
        <v>18.899999999999999</v>
      </c>
      <c r="K383" s="118">
        <f>IF(J383="","",2000+SUM(J$5:J383))</f>
        <v>2749.36</v>
      </c>
      <c r="L383" s="119">
        <f>IF(OR($I383="Ganada",$I383="Perdida",$I383="Medio Ganada",$I383="Medio Perdida"),IF($G383=0,"",J383/$G383),"")</f>
        <v>0.7</v>
      </c>
      <c r="M383" s="120">
        <f>IF(OR($A383="",$B383=""),"",COUNTIFS($A$5:A383,A383,$B$5:B383,B383))</f>
        <v>4</v>
      </c>
      <c r="N383" s="120">
        <f>IF($A383="","",COUNTA($A$5:$A383))</f>
        <v>379</v>
      </c>
      <c r="O383" s="120">
        <f>IF($A383="","",COUNTA($A$5:$A383))</f>
        <v>379</v>
      </c>
      <c r="P383" s="118">
        <f>IF($K383="","",MAX($K$5:K383))</f>
        <v>2807.25</v>
      </c>
      <c r="Q383" s="117">
        <f>IF($K383="","",K383-P383)</f>
        <v>-57.889999999999873</v>
      </c>
      <c r="R383" s="2"/>
      <c r="S383" s="2">
        <f>IF(OR($A383="",$F383=""),"",IF($I383="Pendiente","",ROUND($G383*($F383*0.609-1),2)))</f>
        <v>0.95</v>
      </c>
      <c r="T383" s="2">
        <f>IF($A383="","",IFERROR(SUM($S$5:S383),0))</f>
        <v>601.7199999999998</v>
      </c>
    </row>
    <row r="384" spans="1:20" ht="27.75">
      <c r="A384" s="110">
        <v>46215</v>
      </c>
      <c r="B384" s="113" t="s">
        <v>32</v>
      </c>
      <c r="C384" s="156" t="s">
        <v>674</v>
      </c>
      <c r="D384" s="113" t="s">
        <v>95</v>
      </c>
      <c r="E384" s="158" t="s">
        <v>675</v>
      </c>
      <c r="F384" s="115">
        <v>1.7</v>
      </c>
      <c r="G384" s="116">
        <v>27</v>
      </c>
      <c r="H384" s="120" t="s">
        <v>69</v>
      </c>
      <c r="I384" s="120" t="s">
        <v>70</v>
      </c>
      <c r="J384" s="117">
        <f>IF($A384="","",IF($I384="Ganada",ROUND($G384*($F384-1),2),IF($I384="Medio Ganada",ROUND($G384/2*($F384-1),2),IF($I384="Perdida",IF($H384="Free Bet",0,-$G384),IF($I384="Medio Perdida",IF($H384="Free Bet",0,-$G384/2),IF($I384="Reembolso",IF($R384="","",ROUND($R384-$G384,2)),IF($I384="Anulada",0,"")))))))</f>
        <v>18.899999999999999</v>
      </c>
      <c r="K384" s="118">
        <f>IF(J384="","",2000+SUM(J$5:J384))</f>
        <v>2768.26</v>
      </c>
      <c r="L384" s="119">
        <f>IF(OR($I384="Ganada",$I384="Perdida",$I384="Medio Ganada",$I384="Medio Perdida"),IF($G384=0,"",J384/$G384),"")</f>
        <v>0.7</v>
      </c>
      <c r="M384" s="120">
        <f>IF(OR($A384="",$B384=""),"",COUNTIFS($A$5:A384,A384,$B$5:B384,B384))</f>
        <v>5</v>
      </c>
      <c r="N384" s="120">
        <f>IF($A384="","",COUNTA($A$5:$A384))</f>
        <v>380</v>
      </c>
      <c r="O384" s="120">
        <f>IF($A384="","",COUNTA($A$5:$A384))</f>
        <v>380</v>
      </c>
      <c r="P384" s="118">
        <f>IF($K384="","",MAX($K$5:K384))</f>
        <v>2807.25</v>
      </c>
      <c r="Q384" s="117">
        <f>IF($K384="","",K384-P384)</f>
        <v>-38.989999999999782</v>
      </c>
      <c r="R384" s="2"/>
      <c r="S384" s="2">
        <f>IF(OR($A384="",$F384=""),"",IF($I384="Pendiente","",ROUND($G384*($F384*0.609-1),2)))</f>
        <v>0.95</v>
      </c>
      <c r="T384" s="2">
        <f>IF($A384="","",IFERROR(SUM($S$5:S384),0))</f>
        <v>602.66999999999985</v>
      </c>
    </row>
    <row r="385" spans="1:20">
      <c r="A385" s="110">
        <v>46215</v>
      </c>
      <c r="B385" s="113" t="s">
        <v>30</v>
      </c>
      <c r="C385" s="154" t="s">
        <v>676</v>
      </c>
      <c r="D385" s="113" t="s">
        <v>76</v>
      </c>
      <c r="E385" s="158" t="s">
        <v>455</v>
      </c>
      <c r="F385" s="115">
        <v>1.5</v>
      </c>
      <c r="G385" s="116">
        <v>27</v>
      </c>
      <c r="H385" s="120" t="s">
        <v>69</v>
      </c>
      <c r="I385" s="120" t="s">
        <v>70</v>
      </c>
      <c r="J385" s="117">
        <f>IF($A385="","",IF($I385="Ganada",ROUND($G385*($F385-1),2),IF($I385="Medio Ganada",ROUND($G385/2*($F385-1),2),IF($I385="Perdida",IF($H385="Free Bet",0,-$G385),IF($I385="Medio Perdida",IF($H385="Free Bet",0,-$G385/2),IF($I385="Reembolso",IF($R385="","",ROUND($R385-$G385,2)),IF($I385="Anulada",0,"")))))))</f>
        <v>13.5</v>
      </c>
      <c r="K385" s="118">
        <f>IF(J385="","",2000+SUM(J$5:J385))</f>
        <v>2781.76</v>
      </c>
      <c r="L385" s="119">
        <f>IF(OR($I385="Ganada",$I385="Perdida",$I385="Medio Ganada",$I385="Medio Perdida"),IF($G385=0,"",J385/$G385),"")</f>
        <v>0.5</v>
      </c>
      <c r="M385" s="120">
        <f>IF(OR($A385="",$B385=""),"",COUNTIFS($A$5:A385,A385,$B$5:B385,B385))</f>
        <v>5</v>
      </c>
      <c r="N385" s="120">
        <f>IF($A385="","",COUNTA($A$5:$A385))</f>
        <v>381</v>
      </c>
      <c r="O385" s="120">
        <f>IF($A385="","",COUNTA($A$5:$A385))</f>
        <v>381</v>
      </c>
      <c r="P385" s="118">
        <f>IF($K385="","",MAX($K$5:K385))</f>
        <v>2807.25</v>
      </c>
      <c r="Q385" s="117">
        <f>IF($K385="","",K385-P385)</f>
        <v>-25.489999999999782</v>
      </c>
      <c r="R385" s="2"/>
      <c r="S385" s="2">
        <f>IF(OR($A385="",$F385=""),"",IF($I385="Pendiente","",ROUND($G385*($F385*0.609-1),2)))</f>
        <v>-2.34</v>
      </c>
      <c r="T385" s="2">
        <f>IF($A385="","",IFERROR(SUM($S$5:S385),0))</f>
        <v>600.32999999999981</v>
      </c>
    </row>
    <row r="386" spans="1:20">
      <c r="A386" s="110">
        <v>46215</v>
      </c>
      <c r="B386" s="113" t="s">
        <v>30</v>
      </c>
      <c r="C386" s="156" t="s">
        <v>677</v>
      </c>
      <c r="D386" s="113" t="s">
        <v>76</v>
      </c>
      <c r="E386" s="158" t="s">
        <v>623</v>
      </c>
      <c r="F386" s="115">
        <v>1.61</v>
      </c>
      <c r="G386" s="116">
        <v>27</v>
      </c>
      <c r="H386" s="120" t="s">
        <v>69</v>
      </c>
      <c r="I386" s="120" t="s">
        <v>70</v>
      </c>
      <c r="J386" s="117">
        <f>IF($A386="","",IF($I386="Ganada",ROUND($G386*($F386-1),2),IF($I386="Medio Ganada",ROUND($G386/2*($F386-1),2),IF($I386="Perdida",IF($H386="Free Bet",0,-$G386),IF($I386="Medio Perdida",IF($H386="Free Bet",0,-$G386/2),IF($I386="Reembolso",IF($R386="","",ROUND($R386-$G386,2)),IF($I386="Anulada",0,"")))))))</f>
        <v>16.47</v>
      </c>
      <c r="K386" s="118">
        <f>IF(J386="","",2000+SUM(J$5:J386))</f>
        <v>2798.23</v>
      </c>
      <c r="L386" s="119">
        <f>IF(OR($I386="Ganada",$I386="Perdida",$I386="Medio Ganada",$I386="Medio Perdida"),IF($G386=0,"",J386/$G386),"")</f>
        <v>0.61</v>
      </c>
      <c r="M386" s="120">
        <f>IF(OR($A386="",$B386=""),"",COUNTIFS($A$5:A386,A386,$B$5:B386,B386))</f>
        <v>6</v>
      </c>
      <c r="N386" s="120">
        <f>IF($A386="","",COUNTA($A$5:$A386))</f>
        <v>382</v>
      </c>
      <c r="O386" s="120">
        <f>IF($A386="","",COUNTA($A$5:$A386))</f>
        <v>382</v>
      </c>
      <c r="P386" s="118">
        <f>IF($K386="","",MAX($K$5:K386))</f>
        <v>2807.25</v>
      </c>
      <c r="Q386" s="117">
        <f>IF($K386="","",K386-P386)</f>
        <v>-9.0199999999999818</v>
      </c>
      <c r="R386" s="2"/>
      <c r="S386" s="2">
        <f>IF(OR($A386="",$F386=""),"",IF($I386="Pendiente","",ROUND($G386*($F386*0.609-1),2)))</f>
        <v>-0.53</v>
      </c>
      <c r="T386" s="2">
        <f>IF($A386="","",IFERROR(SUM($S$5:S386),0))</f>
        <v>599.79999999999984</v>
      </c>
    </row>
    <row r="387" spans="1:20">
      <c r="A387" s="110">
        <v>46215</v>
      </c>
      <c r="B387" s="113" t="s">
        <v>30</v>
      </c>
      <c r="C387" s="154" t="s">
        <v>670</v>
      </c>
      <c r="D387" s="113" t="s">
        <v>67</v>
      </c>
      <c r="E387" s="106" t="s">
        <v>324</v>
      </c>
      <c r="F387" s="115">
        <v>2.0699999999999998</v>
      </c>
      <c r="G387" s="116">
        <v>20</v>
      </c>
      <c r="H387" s="120" t="s">
        <v>69</v>
      </c>
      <c r="I387" s="120" t="s">
        <v>75</v>
      </c>
      <c r="J387" s="117">
        <f>IF($A387="","",IF($I387="Ganada",ROUND($G387*($F387-1),2),IF($I387="Medio Ganada",ROUND($G387/2*($F387-1),2),IF($I387="Perdida",IF($H387="Free Bet",0,-$G387),IF($I387="Medio Perdida",IF($H387="Free Bet",0,-$G387/2),IF($I387="Reembolso",IF($R387="","",ROUND($R387-$G387,2)),IF($I387="Anulada",0,"")))))))</f>
        <v>-20</v>
      </c>
      <c r="K387" s="118">
        <f>IF(J387="","",2000+SUM(J$5:J387))</f>
        <v>2778.23</v>
      </c>
      <c r="L387" s="119">
        <f>IF(OR($I387="Ganada",$I387="Perdida",$I387="Medio Ganada",$I387="Medio Perdida"),IF($G387=0,"",J387/$G387),"")</f>
        <v>-1</v>
      </c>
      <c r="M387" s="120">
        <f>IF(OR($A387="",$B387=""),"",COUNTIFS($A$5:A387,A387,$B$5:B387,B387))</f>
        <v>7</v>
      </c>
      <c r="N387" s="120">
        <f>IF($A387="","",COUNTA($A$5:$A387))</f>
        <v>383</v>
      </c>
      <c r="O387" s="120">
        <f>IF($A387="","",COUNTA($A$5:$A387))</f>
        <v>383</v>
      </c>
      <c r="P387" s="118">
        <f>IF($K387="","",MAX($K$5:K387))</f>
        <v>2807.25</v>
      </c>
      <c r="Q387" s="117">
        <f>IF($K387="","",K387-P387)</f>
        <v>-29.019999999999982</v>
      </c>
      <c r="R387" s="2"/>
      <c r="S387" s="2">
        <f>IF(OR($A387="",$F387=""),"",IF($I387="Pendiente","",ROUND($G387*($F387*0.609-1),2)))</f>
        <v>5.21</v>
      </c>
      <c r="T387" s="2">
        <f>IF($A387="","",IFERROR(SUM($S$5:S387),0))</f>
        <v>605.00999999999988</v>
      </c>
    </row>
    <row r="388" spans="1:20">
      <c r="A388" s="110">
        <v>46215</v>
      </c>
      <c r="B388" s="113" t="s">
        <v>30</v>
      </c>
      <c r="C388" s="156" t="s">
        <v>678</v>
      </c>
      <c r="D388" s="113" t="s">
        <v>76</v>
      </c>
      <c r="E388" s="158" t="s">
        <v>167</v>
      </c>
      <c r="F388" s="115">
        <v>1.77</v>
      </c>
      <c r="G388" s="116">
        <v>27</v>
      </c>
      <c r="H388" s="120" t="s">
        <v>69</v>
      </c>
      <c r="I388" s="120" t="s">
        <v>75</v>
      </c>
      <c r="J388" s="117">
        <f>IF($A388="","",IF($I388="Ganada",ROUND($G388*($F388-1),2),IF($I388="Medio Ganada",ROUND($G388/2*($F388-1),2),IF($I388="Perdida",IF($H388="Free Bet",0,-$G388),IF($I388="Medio Perdida",IF($H388="Free Bet",0,-$G388/2),IF($I388="Reembolso",IF($R388="","",ROUND($R388-$G388,2)),IF($I388="Anulada",0,"")))))))</f>
        <v>-27</v>
      </c>
      <c r="K388" s="118">
        <f>IF(J388="","",2000+SUM(J$5:J388))</f>
        <v>2751.23</v>
      </c>
      <c r="L388" s="119">
        <f>IF(OR($I388="Ganada",$I388="Perdida",$I388="Medio Ganada",$I388="Medio Perdida"),IF($G388=0,"",J388/$G388),"")</f>
        <v>-1</v>
      </c>
      <c r="M388" s="120">
        <f>IF(OR($A388="",$B388=""),"",COUNTIFS($A$5:A388,A388,$B$5:B388,B388))</f>
        <v>8</v>
      </c>
      <c r="N388" s="120">
        <f>IF($A388="","",COUNTA($A$5:$A388))</f>
        <v>384</v>
      </c>
      <c r="O388" s="120">
        <f>IF($A388="","",COUNTA($A$5:$A388))</f>
        <v>384</v>
      </c>
      <c r="P388" s="118">
        <f>IF($K388="","",MAX($K$5:K388))</f>
        <v>2807.25</v>
      </c>
      <c r="Q388" s="117">
        <f>IF($K388="","",K388-P388)</f>
        <v>-56.019999999999982</v>
      </c>
      <c r="R388" s="2"/>
      <c r="S388" s="2">
        <f>IF(OR($A388="",$F388=""),"",IF($I388="Pendiente","",ROUND($G388*($F388*0.609-1),2)))</f>
        <v>2.1</v>
      </c>
      <c r="T388" s="2">
        <f>IF($A388="","",IFERROR(SUM($S$5:S388),0))</f>
        <v>607.1099999999999</v>
      </c>
    </row>
    <row r="389" spans="1:20">
      <c r="A389" s="110">
        <v>46215</v>
      </c>
      <c r="B389" s="113" t="s">
        <v>30</v>
      </c>
      <c r="C389" s="154" t="s">
        <v>679</v>
      </c>
      <c r="D389" s="113" t="s">
        <v>76</v>
      </c>
      <c r="E389" s="158" t="s">
        <v>680</v>
      </c>
      <c r="F389" s="115">
        <v>1.78</v>
      </c>
      <c r="G389" s="116">
        <v>27</v>
      </c>
      <c r="H389" s="120" t="s">
        <v>69</v>
      </c>
      <c r="I389" s="120" t="s">
        <v>88</v>
      </c>
      <c r="J389" s="117">
        <f>IF($A389="","",IF($I389="Ganada",ROUND($G389*($F389-1),2),IF($I389="Medio Ganada",ROUND($G389/2*($F389-1),2),IF($I389="Perdida",IF($H389="Free Bet",0,-$G389),IF($I389="Medio Perdida",IF($H389="Free Bet",0,-$G389/2),IF($I389="Reembolso",IF($R389="","",ROUND($R389-$G389,2)),IF($I389="Anulada",0,"")))))))</f>
        <v>0</v>
      </c>
      <c r="K389" s="118">
        <f>IF(J389="","",2000+SUM(J$5:J389))</f>
        <v>2751.23</v>
      </c>
      <c r="L389" s="119" t="str">
        <f>IF(OR($I389="Ganada",$I389="Perdida",$I389="Medio Ganada",$I389="Medio Perdida"),IF($G389=0,"",J389/$G389),"")</f>
        <v/>
      </c>
      <c r="M389" s="120">
        <f>IF(OR($A389="",$B389=""),"",COUNTIFS($A$5:A389,A389,$B$5:B389,B389))</f>
        <v>9</v>
      </c>
      <c r="N389" s="120">
        <f>IF($A389="","",COUNTA($A$5:$A389))</f>
        <v>385</v>
      </c>
      <c r="O389" s="120">
        <f>IF($A389="","",COUNTA($A$5:$A389))</f>
        <v>385</v>
      </c>
      <c r="P389" s="118">
        <f>IF($K389="","",MAX($K$5:K389))</f>
        <v>2807.25</v>
      </c>
      <c r="Q389" s="117">
        <f>IF($K389="","",K389-P389)</f>
        <v>-56.019999999999982</v>
      </c>
      <c r="R389" s="2"/>
      <c r="S389" s="2">
        <f>IF(OR($A389="",$F389=""),"",IF($I389="Pendiente","",ROUND($G389*($F389*0.609-1),2)))</f>
        <v>2.27</v>
      </c>
      <c r="T389" s="2">
        <f>IF($A389="","",IFERROR(SUM($S$5:S389),0))</f>
        <v>609.37999999999988</v>
      </c>
    </row>
    <row r="390" spans="1:20">
      <c r="A390" s="110">
        <v>46215</v>
      </c>
      <c r="B390" s="113" t="s">
        <v>30</v>
      </c>
      <c r="C390" s="154" t="s">
        <v>681</v>
      </c>
      <c r="D390" s="113" t="s">
        <v>67</v>
      </c>
      <c r="E390" s="106" t="s">
        <v>682</v>
      </c>
      <c r="F390" s="115">
        <v>2.48</v>
      </c>
      <c r="G390" s="116">
        <v>10</v>
      </c>
      <c r="H390" s="120" t="s">
        <v>69</v>
      </c>
      <c r="I390" s="120" t="s">
        <v>70</v>
      </c>
      <c r="J390" s="117">
        <f>IF($A390="","",IF($I390="Ganada",ROUND($G390*($F390-1),2),IF($I390="Medio Ganada",ROUND($G390/2*($F390-1),2),IF($I390="Perdida",IF($H390="Free Bet",0,-$G390),IF($I390="Medio Perdida",IF($H390="Free Bet",0,-$G390/2),IF($I390="Reembolso",IF($R390="","",ROUND($R390-$G390,2)),IF($I390="Anulada",0,"")))))))</f>
        <v>14.8</v>
      </c>
      <c r="K390" s="118">
        <f>IF(J390="","",2000+SUM(J$5:J390))</f>
        <v>2766.0299999999997</v>
      </c>
      <c r="L390" s="119">
        <f>IF(OR($I390="Ganada",$I390="Perdida",$I390="Medio Ganada",$I390="Medio Perdida"),IF($G390=0,"",J390/$G390),"")</f>
        <v>1.48</v>
      </c>
      <c r="M390" s="120">
        <f>IF(OR($A390="",$B390=""),"",COUNTIFS($A$5:A390,A390,$B$5:B390,B390))</f>
        <v>10</v>
      </c>
      <c r="N390" s="120">
        <f>IF($A390="","",COUNTA($A$5:$A390))</f>
        <v>386</v>
      </c>
      <c r="O390" s="120">
        <f>IF($A390="","",COUNTA($A$5:$A390))</f>
        <v>386</v>
      </c>
      <c r="P390" s="118">
        <f>IF($K390="","",MAX($K$5:K390))</f>
        <v>2807.25</v>
      </c>
      <c r="Q390" s="117">
        <f>IF($K390="","",K390-P390)</f>
        <v>-41.220000000000255</v>
      </c>
      <c r="R390" s="2"/>
      <c r="S390" s="2">
        <f>IF(OR($A390="",$F390=""),"",IF($I390="Pendiente","",ROUND($G390*($F390*0.609-1),2)))</f>
        <v>5.0999999999999996</v>
      </c>
      <c r="T390" s="2">
        <f>IF($A390="","",IFERROR(SUM($S$5:S390),0))</f>
        <v>614.4799999999999</v>
      </c>
    </row>
    <row r="391" spans="1:20" ht="15" customHeight="1">
      <c r="A391" s="110">
        <v>46215</v>
      </c>
      <c r="B391" s="113" t="s">
        <v>36</v>
      </c>
      <c r="C391" s="156" t="s">
        <v>683</v>
      </c>
      <c r="D391" s="113" t="s">
        <v>76</v>
      </c>
      <c r="E391" s="158" t="s">
        <v>684</v>
      </c>
      <c r="F391" s="115">
        <v>1.43</v>
      </c>
      <c r="G391" s="116">
        <v>27</v>
      </c>
      <c r="H391" s="120" t="s">
        <v>69</v>
      </c>
      <c r="I391" s="120" t="s">
        <v>70</v>
      </c>
      <c r="J391" s="117">
        <f>IF($A391="","",IF($I391="Ganada",ROUND($G391*($F391-1),2),IF($I391="Medio Ganada",ROUND($G391/2*($F391-1),2),IF($I391="Perdida",IF($H391="Free Bet",0,-$G391),IF($I391="Medio Perdida",IF($H391="Free Bet",0,-$G391/2),IF($I391="Reembolso",IF($R391="","",ROUND($R391-$G391,2)),IF($I391="Anulada",0,"")))))))</f>
        <v>11.61</v>
      </c>
      <c r="K391" s="118">
        <f>IF(J391="","",2000+SUM(J$5:J391))</f>
        <v>2777.64</v>
      </c>
      <c r="L391" s="119">
        <f>IF(OR($I391="Ganada",$I391="Perdida",$I391="Medio Ganada",$I391="Medio Perdida"),IF($G391=0,"",J391/$G391),"")</f>
        <v>0.43</v>
      </c>
      <c r="M391" s="120">
        <f>IF(OR($A391="",$B391=""),"",COUNTIFS($A$5:A391,A391,$B$5:B391,B391))</f>
        <v>1</v>
      </c>
      <c r="N391" s="120">
        <f>IF($A391="","",COUNTA($A$5:$A391))</f>
        <v>387</v>
      </c>
      <c r="O391" s="120">
        <f>IF($A391="","",COUNTA($A$5:$A391))</f>
        <v>387</v>
      </c>
      <c r="P391" s="118">
        <f>IF($K391="","",MAX($K$5:K391))</f>
        <v>2807.25</v>
      </c>
      <c r="Q391" s="117">
        <f>IF($K391="","",K391-P391)</f>
        <v>-29.610000000000127</v>
      </c>
      <c r="R391" s="2"/>
      <c r="S391" s="2">
        <f>IF(OR($A391="",$F391=""),"",IF($I391="Pendiente","",ROUND($G391*($F391*0.609-1),2)))</f>
        <v>-3.49</v>
      </c>
      <c r="T391" s="2">
        <f>IF($A391="","",IFERROR(SUM($S$5:S391),0))</f>
        <v>610.9899999999999</v>
      </c>
    </row>
    <row r="392" spans="1:20" ht="23.25">
      <c r="A392" s="110">
        <v>46215</v>
      </c>
      <c r="B392" s="113" t="s">
        <v>32</v>
      </c>
      <c r="C392" s="156" t="s">
        <v>685</v>
      </c>
      <c r="D392" s="113" t="s">
        <v>76</v>
      </c>
      <c r="E392" s="158" t="s">
        <v>686</v>
      </c>
      <c r="F392" s="115">
        <v>1.6</v>
      </c>
      <c r="G392" s="116">
        <v>27</v>
      </c>
      <c r="H392" s="120" t="s">
        <v>69</v>
      </c>
      <c r="I392" s="120" t="s">
        <v>70</v>
      </c>
      <c r="J392" s="117">
        <f>IF($A392="","",IF($I392="Ganada",ROUND($G392*($F392-1),2),IF($I392="Medio Ganada",ROUND($G392/2*($F392-1),2),IF($I392="Perdida",IF($H392="Free Bet",0,-$G392),IF($I392="Medio Perdida",IF($H392="Free Bet",0,-$G392/2),IF($I392="Reembolso",IF($R392="","",ROUND($R392-$G392,2)),IF($I392="Anulada",0,"")))))))</f>
        <v>16.2</v>
      </c>
      <c r="K392" s="118">
        <f>IF(J392="","",2000+SUM(J$5:J392))</f>
        <v>2793.84</v>
      </c>
      <c r="L392" s="119">
        <f>IF(OR($I392="Ganada",$I392="Perdida",$I392="Medio Ganada",$I392="Medio Perdida"),IF($G392=0,"",J392/$G392),"")</f>
        <v>0.6</v>
      </c>
      <c r="M392" s="120">
        <f>IF(OR($A392="",$B392=""),"",COUNTIFS($A$5:A392,A392,$B$5:B392,B392))</f>
        <v>6</v>
      </c>
      <c r="N392" s="120">
        <f>IF($A392="","",COUNTA($A$5:$A392))</f>
        <v>388</v>
      </c>
      <c r="O392" s="120">
        <f>IF($A392="","",COUNTA($A$5:$A392))</f>
        <v>388</v>
      </c>
      <c r="P392" s="118">
        <f>IF($K392="","",MAX($K$5:K392))</f>
        <v>2807.25</v>
      </c>
      <c r="Q392" s="117">
        <f>IF($K392="","",K392-P392)</f>
        <v>-13.409999999999854</v>
      </c>
      <c r="R392" s="2"/>
      <c r="S392" s="2">
        <f>IF(OR($A392="",$F392=""),"",IF($I392="Pendiente","",ROUND($G392*($F392*0.609-1),2)))</f>
        <v>-0.69</v>
      </c>
      <c r="T392" s="2">
        <f>IF($A392="","",IFERROR(SUM($S$5:S392),0))</f>
        <v>610.29999999999984</v>
      </c>
    </row>
    <row r="393" spans="1:20" ht="15" customHeight="1">
      <c r="A393" s="110">
        <v>46215</v>
      </c>
      <c r="B393" s="113" t="s">
        <v>32</v>
      </c>
      <c r="C393" s="154" t="s">
        <v>687</v>
      </c>
      <c r="D393" s="113" t="s">
        <v>95</v>
      </c>
      <c r="E393" s="158" t="s">
        <v>688</v>
      </c>
      <c r="F393" s="115">
        <v>1.7</v>
      </c>
      <c r="G393" s="116">
        <v>27</v>
      </c>
      <c r="H393" s="120" t="s">
        <v>69</v>
      </c>
      <c r="I393" s="120" t="s">
        <v>75</v>
      </c>
      <c r="J393" s="117">
        <f>IF($A393="","",IF($I393="Ganada",ROUND($G393*($F393-1),2),IF($I393="Medio Ganada",ROUND($G393/2*($F393-1),2),IF($I393="Perdida",IF($H393="Free Bet",0,-$G393),IF($I393="Medio Perdida",IF($H393="Free Bet",0,-$G393/2),IF($I393="Reembolso",IF($R393="","",ROUND($R393-$G393,2)),IF($I393="Anulada",0,"")))))))</f>
        <v>-27</v>
      </c>
      <c r="K393" s="118">
        <f>IF(J393="","",2000+SUM(J$5:J393))</f>
        <v>2766.84</v>
      </c>
      <c r="L393" s="119">
        <f>IF(OR($I393="Ganada",$I393="Perdida",$I393="Medio Ganada",$I393="Medio Perdida"),IF($G393=0,"",J393/$G393),"")</f>
        <v>-1</v>
      </c>
      <c r="M393" s="120">
        <f>IF(OR($A393="",$B393=""),"",COUNTIFS($A$5:A393,A393,$B$5:B393,B393))</f>
        <v>7</v>
      </c>
      <c r="N393" s="120">
        <f>IF($A393="","",COUNTA($A$5:$A393))</f>
        <v>389</v>
      </c>
      <c r="O393" s="120">
        <f>IF($A393="","",COUNTA($A$5:$A393))</f>
        <v>389</v>
      </c>
      <c r="P393" s="118">
        <f>IF($K393="","",MAX($K$5:K393))</f>
        <v>2807.25</v>
      </c>
      <c r="Q393" s="117">
        <f>IF($K393="","",K393-P393)</f>
        <v>-40.409999999999854</v>
      </c>
      <c r="R393" s="2"/>
      <c r="S393" s="2">
        <f>IF(OR($A393="",$F393=""),"",IF($I393="Pendiente","",ROUND($G393*($F393*0.609-1),2)))</f>
        <v>0.95</v>
      </c>
      <c r="T393" s="2">
        <f>IF($A393="","",IFERROR(SUM($S$5:S393),0))</f>
        <v>611.24999999999989</v>
      </c>
    </row>
    <row r="394" spans="1:20" ht="15" customHeight="1">
      <c r="A394" s="110">
        <v>46215</v>
      </c>
      <c r="B394" s="113" t="s">
        <v>34</v>
      </c>
      <c r="C394" s="154" t="s">
        <v>689</v>
      </c>
      <c r="D394" s="113" t="s">
        <v>76</v>
      </c>
      <c r="E394" s="158" t="s">
        <v>690</v>
      </c>
      <c r="F394" s="115">
        <v>1.78</v>
      </c>
      <c r="G394" s="116">
        <v>27</v>
      </c>
      <c r="H394" s="120" t="s">
        <v>69</v>
      </c>
      <c r="I394" s="120" t="s">
        <v>75</v>
      </c>
      <c r="J394" s="117">
        <f>IF($A394="","",IF($I394="Ganada",ROUND($G394*($F394-1),2),IF($I394="Medio Ganada",ROUND($G394/2*($F394-1),2),IF($I394="Perdida",IF($H394="Free Bet",0,-$G394),IF($I394="Medio Perdida",IF($H394="Free Bet",0,-$G394/2),IF($I394="Reembolso",IF($R394="","",ROUND($R394-$G394,2)),IF($I394="Anulada",0,"")))))))</f>
        <v>-27</v>
      </c>
      <c r="K394" s="118">
        <f>IF(J394="","",2000+SUM(J$5:J394))</f>
        <v>2739.84</v>
      </c>
      <c r="L394" s="119">
        <f>IF(OR($I394="Ganada",$I394="Perdida",$I394="Medio Ganada",$I394="Medio Perdida"),IF($G394=0,"",J394/$G394),"")</f>
        <v>-1</v>
      </c>
      <c r="M394" s="120">
        <f>IF(OR($A394="",$B394=""),"",COUNTIFS($A$5:A394,A394,$B$5:B394,B394))</f>
        <v>1</v>
      </c>
      <c r="N394" s="120">
        <f>IF($A394="","",COUNTA($A$5:$A394))</f>
        <v>390</v>
      </c>
      <c r="O394" s="120">
        <f>IF($A394="","",COUNTA($A$5:$A394))</f>
        <v>390</v>
      </c>
      <c r="P394" s="118">
        <f>IF($K394="","",MAX($K$5:K394))</f>
        <v>2807.25</v>
      </c>
      <c r="Q394" s="117">
        <f>IF($K394="","",K394-P394)</f>
        <v>-67.409999999999854</v>
      </c>
      <c r="R394" s="2"/>
      <c r="S394" s="2">
        <f>IF(OR($A394="",$F394=""),"",IF($I394="Pendiente","",ROUND($G394*($F394*0.609-1),2)))</f>
        <v>2.27</v>
      </c>
      <c r="T394" s="2">
        <f>IF($A394="","",IFERROR(SUM($S$5:S394),0))</f>
        <v>613.51999999999987</v>
      </c>
    </row>
    <row r="395" spans="1:20" ht="15" customHeight="1">
      <c r="A395" s="110">
        <v>46215</v>
      </c>
      <c r="B395" s="113" t="s">
        <v>37</v>
      </c>
      <c r="C395" s="154" t="s">
        <v>691</v>
      </c>
      <c r="D395" s="113" t="s">
        <v>95</v>
      </c>
      <c r="E395" s="106" t="s">
        <v>692</v>
      </c>
      <c r="F395" s="115">
        <v>1.7</v>
      </c>
      <c r="G395" s="116">
        <v>12</v>
      </c>
      <c r="H395" s="120" t="s">
        <v>69</v>
      </c>
      <c r="I395" s="120" t="s">
        <v>88</v>
      </c>
      <c r="J395" s="117">
        <f>IF($A395="","",IF($I395="Ganada",ROUND($G395*($F395-1),2),IF($I395="Medio Ganada",ROUND($G395/2*($F395-1),2),IF($I395="Perdida",IF($H395="Free Bet",0,-$G395),IF($I395="Medio Perdida",IF($H395="Free Bet",0,-$G395/2),IF($I395="Reembolso",IF($R395="","",ROUND($R395-$G395,2)),IF($I395="Anulada",0,"")))))))</f>
        <v>0</v>
      </c>
      <c r="K395" s="118">
        <f>IF(J395="","",2000+SUM(J$5:J395))</f>
        <v>2739.84</v>
      </c>
      <c r="L395" s="119" t="str">
        <f>IF(OR($I395="Ganada",$I395="Perdida",$I395="Medio Ganada",$I395="Medio Perdida"),IF($G395=0,"",J395/$G395),"")</f>
        <v/>
      </c>
      <c r="M395" s="120">
        <f>IF(OR($A395="",$B395=""),"",COUNTIFS($A$5:A395,A395,$B$5:B395,B395))</f>
        <v>2</v>
      </c>
      <c r="N395" s="120">
        <f>IF($A395="","",COUNTA($A$5:$A395))</f>
        <v>391</v>
      </c>
      <c r="O395" s="120">
        <f>IF($A395="","",COUNTA($A$5:$A395))</f>
        <v>391</v>
      </c>
      <c r="P395" s="118">
        <f>IF($K395="","",MAX($K$5:K395))</f>
        <v>2807.25</v>
      </c>
      <c r="Q395" s="117">
        <f>IF($K395="","",K395-P395)</f>
        <v>-67.409999999999854</v>
      </c>
      <c r="R395" s="2"/>
      <c r="S395" s="2">
        <f>IF(OR($A395="",$F395=""),"",IF($I395="Pendiente","",ROUND($G395*($F395*0.609-1),2)))</f>
        <v>0.42</v>
      </c>
      <c r="T395" s="2">
        <f>IF($A395="","",IFERROR(SUM($S$5:S395),0))</f>
        <v>613.93999999999983</v>
      </c>
    </row>
    <row r="396" spans="1:20" ht="15" customHeight="1">
      <c r="A396" s="110">
        <v>46215</v>
      </c>
      <c r="B396" s="113" t="s">
        <v>34</v>
      </c>
      <c r="C396" s="156" t="s">
        <v>693</v>
      </c>
      <c r="D396" s="113" t="s">
        <v>76</v>
      </c>
      <c r="E396" s="158" t="s">
        <v>534</v>
      </c>
      <c r="F396" s="115">
        <v>1.3</v>
      </c>
      <c r="G396" s="116">
        <v>45</v>
      </c>
      <c r="H396" s="120" t="s">
        <v>69</v>
      </c>
      <c r="I396" s="120" t="s">
        <v>70</v>
      </c>
      <c r="J396" s="117">
        <f>IF($A396="","",IF($I396="Ganada",ROUND($G396*($F396-1),2),IF($I396="Medio Ganada",ROUND($G396/2*($F396-1),2),IF($I396="Perdida",IF($H396="Free Bet",0,-$G396),IF($I396="Medio Perdida",IF($H396="Free Bet",0,-$G396/2),IF($I396="Reembolso",IF($R396="","",ROUND($R396-$G396,2)),IF($I396="Anulada",0,"")))))))</f>
        <v>13.5</v>
      </c>
      <c r="K396" s="118">
        <f>IF(J396="","",2000+SUM(J$5:J396))</f>
        <v>2753.34</v>
      </c>
      <c r="L396" s="119">
        <f>IF(OR($I396="Ganada",$I396="Perdida",$I396="Medio Ganada",$I396="Medio Perdida"),IF($G396=0,"",J396/$G396),"")</f>
        <v>0.3</v>
      </c>
      <c r="M396" s="120">
        <f>IF(OR($A396="",$B396=""),"",COUNTIFS($A$5:A396,A396,$B$5:B396,B396))</f>
        <v>2</v>
      </c>
      <c r="N396" s="120">
        <f>IF($A396="","",COUNTA($A$5:$A396))</f>
        <v>392</v>
      </c>
      <c r="O396" s="120">
        <f>IF($A396="","",COUNTA($A$5:$A396))</f>
        <v>392</v>
      </c>
      <c r="P396" s="118">
        <f>IF($K396="","",MAX($K$5:K396))</f>
        <v>2807.25</v>
      </c>
      <c r="Q396" s="117">
        <f>IF($K396="","",K396-P396)</f>
        <v>-53.909999999999854</v>
      </c>
      <c r="R396" s="2"/>
      <c r="S396" s="2">
        <f>IF(OR($A396="",$F396=""),"",IF($I396="Pendiente","",ROUND($G396*($F396*0.609-1),2)))</f>
        <v>-9.3699999999999992</v>
      </c>
      <c r="T396" s="2">
        <f>IF($A396="","",IFERROR(SUM($S$5:S396),0))</f>
        <v>604.56999999999982</v>
      </c>
    </row>
    <row r="397" spans="1:20" ht="23.25">
      <c r="A397" s="110">
        <v>46215</v>
      </c>
      <c r="B397" s="113" t="s">
        <v>36</v>
      </c>
      <c r="C397" s="156" t="s">
        <v>694</v>
      </c>
      <c r="D397" s="113" t="s">
        <v>67</v>
      </c>
      <c r="E397" s="106" t="s">
        <v>695</v>
      </c>
      <c r="F397" s="115">
        <v>1.92</v>
      </c>
      <c r="G397" s="116">
        <v>20</v>
      </c>
      <c r="H397" s="120" t="s">
        <v>69</v>
      </c>
      <c r="I397" s="120" t="s">
        <v>70</v>
      </c>
      <c r="J397" s="117">
        <f>IF($A397="","",IF($I397="Ganada",ROUND($G397*($F397-1),2),IF($I397="Medio Ganada",ROUND($G397/2*($F397-1),2),IF($I397="Perdida",IF($H397="Free Bet",0,-$G397),IF($I397="Medio Perdida",IF($H397="Free Bet",0,-$G397/2),IF($I397="Reembolso",IF($R397="","",ROUND($R397-$G397,2)),IF($I397="Anulada",0,"")))))))</f>
        <v>18.399999999999999</v>
      </c>
      <c r="K397" s="118">
        <f>IF(J397="","",2000+SUM(J$5:J397))</f>
        <v>2771.74</v>
      </c>
      <c r="L397" s="119">
        <f>IF(OR($I397="Ganada",$I397="Perdida",$I397="Medio Ganada",$I397="Medio Perdida"),IF($G397=0,"",J397/$G397),"")</f>
        <v>0.91999999999999993</v>
      </c>
      <c r="M397" s="120">
        <f>IF(OR($A397="",$B397=""),"",COUNTIFS($A$5:A397,A397,$B$5:B397,B397))</f>
        <v>2</v>
      </c>
      <c r="N397" s="120">
        <f>IF($A397="","",COUNTA($A$5:$A397))</f>
        <v>393</v>
      </c>
      <c r="O397" s="120">
        <f>IF($A397="","",COUNTA($A$5:$A397))</f>
        <v>393</v>
      </c>
      <c r="P397" s="118">
        <f>IF($K397="","",MAX($K$5:K397))</f>
        <v>2807.25</v>
      </c>
      <c r="Q397" s="117">
        <f>IF($K397="","",K397-P397)</f>
        <v>-35.510000000000218</v>
      </c>
      <c r="R397" s="2"/>
      <c r="S397" s="2">
        <f>IF(OR($A397="",$F397=""),"",IF($I397="Pendiente","",ROUND($G397*($F397*0.609-1),2)))</f>
        <v>3.39</v>
      </c>
      <c r="T397" s="2">
        <f>IF($A397="","",IFERROR(SUM($S$5:S397),0))</f>
        <v>607.95999999999981</v>
      </c>
    </row>
    <row r="398" spans="1:20" ht="27.75">
      <c r="A398" s="110">
        <v>46215</v>
      </c>
      <c r="B398" s="113" t="s">
        <v>36</v>
      </c>
      <c r="C398" s="156" t="s">
        <v>696</v>
      </c>
      <c r="D398" s="113" t="s">
        <v>67</v>
      </c>
      <c r="E398" s="158" t="s">
        <v>277</v>
      </c>
      <c r="F398" s="115">
        <v>1.76</v>
      </c>
      <c r="G398" s="116">
        <v>27</v>
      </c>
      <c r="H398" s="120" t="s">
        <v>69</v>
      </c>
      <c r="I398" s="120" t="s">
        <v>70</v>
      </c>
      <c r="J398" s="117">
        <f>IF($A398="","",IF($I398="Ganada",ROUND($G398*($F398-1),2),IF($I398="Medio Ganada",ROUND($G398/2*($F398-1),2),IF($I398="Perdida",IF($H398="Free Bet",0,-$G398),IF($I398="Medio Perdida",IF($H398="Free Bet",0,-$G398/2),IF($I398="Reembolso",IF($R398="","",ROUND($R398-$G398,2)),IF($I398="Anulada",0,"")))))))</f>
        <v>20.52</v>
      </c>
      <c r="K398" s="118">
        <f>IF(J398="","",2000+SUM(J$5:J398))</f>
        <v>2792.26</v>
      </c>
      <c r="L398" s="119">
        <f>IF(OR($I398="Ganada",$I398="Perdida",$I398="Medio Ganada",$I398="Medio Perdida"),IF($G398=0,"",J398/$G398),"")</f>
        <v>0.76</v>
      </c>
      <c r="M398" s="120">
        <f>IF(OR($A398="",$B398=""),"",COUNTIFS($A$5:A398,A398,$B$5:B398,B398))</f>
        <v>3</v>
      </c>
      <c r="N398" s="120">
        <f>IF($A398="","",COUNTA($A$5:$A398))</f>
        <v>394</v>
      </c>
      <c r="O398" s="120">
        <f>IF($A398="","",COUNTA($A$5:$A398))</f>
        <v>394</v>
      </c>
      <c r="P398" s="118">
        <f>IF($K398="","",MAX($K$5:K398))</f>
        <v>2807.25</v>
      </c>
      <c r="Q398" s="117">
        <f>IF($K398="","",K398-P398)</f>
        <v>-14.989999999999782</v>
      </c>
      <c r="R398" s="2"/>
      <c r="S398" s="2">
        <f>IF(OR($A398="",$F398=""),"",IF($I398="Pendiente","",ROUND($G398*($F398*0.609-1),2)))</f>
        <v>1.94</v>
      </c>
      <c r="T398" s="2">
        <f>IF($A398="","",IFERROR(SUM($S$5:S398),0))</f>
        <v>609.89999999999986</v>
      </c>
    </row>
    <row r="399" spans="1:20" ht="27.75">
      <c r="A399" s="110">
        <v>46215</v>
      </c>
      <c r="B399" s="113" t="s">
        <v>34</v>
      </c>
      <c r="C399" s="154" t="s">
        <v>697</v>
      </c>
      <c r="D399" s="113" t="s">
        <v>67</v>
      </c>
      <c r="E399" s="158" t="s">
        <v>277</v>
      </c>
      <c r="F399" s="115">
        <v>1.7</v>
      </c>
      <c r="G399" s="116">
        <v>27</v>
      </c>
      <c r="H399" s="120" t="s">
        <v>69</v>
      </c>
      <c r="I399" s="120" t="s">
        <v>70</v>
      </c>
      <c r="J399" s="117">
        <f>IF($A399="","",IF($I399="Ganada",ROUND($G399*($F399-1),2),IF($I399="Medio Ganada",ROUND($G399/2*($F399-1),2),IF($I399="Perdida",IF($H399="Free Bet",0,-$G399),IF($I399="Medio Perdida",IF($H399="Free Bet",0,-$G399/2),IF($I399="Reembolso",IF($R399="","",ROUND($R399-$G399,2)),IF($I399="Anulada",0,"")))))))</f>
        <v>18.899999999999999</v>
      </c>
      <c r="K399" s="118">
        <f>IF(J399="","",2000+SUM(J$5:J399))</f>
        <v>2811.16</v>
      </c>
      <c r="L399" s="119">
        <f>IF(OR($I399="Ganada",$I399="Perdida",$I399="Medio Ganada",$I399="Medio Perdida"),IF($G399=0,"",J399/$G399),"")</f>
        <v>0.7</v>
      </c>
      <c r="M399" s="120">
        <f>IF(OR($A399="",$B399=""),"",COUNTIFS($A$5:A399,A399,$B$5:B399,B399))</f>
        <v>3</v>
      </c>
      <c r="N399" s="120">
        <f>IF($A399="","",COUNTA($A$5:$A399))</f>
        <v>395</v>
      </c>
      <c r="O399" s="120">
        <f>IF($A399="","",COUNTA($A$5:$A399))</f>
        <v>395</v>
      </c>
      <c r="P399" s="118">
        <f>IF($K399="","",MAX($K$5:K399))</f>
        <v>2811.16</v>
      </c>
      <c r="Q399" s="117">
        <f>IF($K399="","",K399-P399)</f>
        <v>0</v>
      </c>
      <c r="R399" s="2"/>
      <c r="S399" s="2">
        <f>IF(OR($A399="",$F399=""),"",IF($I399="Pendiente","",ROUND($G399*($F399*0.609-1),2)))</f>
        <v>0.95</v>
      </c>
      <c r="T399" s="2">
        <f>IF($A399="","",IFERROR(SUM($S$5:S399),0))</f>
        <v>610.84999999999991</v>
      </c>
    </row>
    <row r="400" spans="1:20" ht="25.5" customHeight="1">
      <c r="A400" s="110">
        <v>46215</v>
      </c>
      <c r="B400" s="113" t="s">
        <v>36</v>
      </c>
      <c r="C400" s="168" t="s">
        <v>698</v>
      </c>
      <c r="D400" s="113" t="s">
        <v>76</v>
      </c>
      <c r="E400" s="106">
        <v>1</v>
      </c>
      <c r="F400" s="115">
        <v>1.9</v>
      </c>
      <c r="G400" s="116">
        <v>17</v>
      </c>
      <c r="H400" s="120" t="s">
        <v>69</v>
      </c>
      <c r="I400" s="120" t="s">
        <v>70</v>
      </c>
      <c r="J400" s="117">
        <f>IF($A400="","",IF($I400="Ganada",ROUND($G400*($F400-1),2),IF($I400="Medio Ganada",ROUND($G400/2*($F400-1),2),IF($I400="Perdida",IF($H400="Free Bet",0,-$G400),IF($I400="Medio Perdida",IF($H400="Free Bet",0,-$G400/2),IF($I400="Reembolso",IF($R400="","",ROUND($R400-$G400,2)),IF($I400="Anulada",0,"")))))))</f>
        <v>15.3</v>
      </c>
      <c r="K400" s="118">
        <f>IF(J400="","",2000+SUM(J$5:J400))</f>
        <v>2826.46</v>
      </c>
      <c r="L400" s="119">
        <f>IF(OR($I400="Ganada",$I400="Perdida",$I400="Medio Ganada",$I400="Medio Perdida"),IF($G400=0,"",J400/$G400),"")</f>
        <v>0.9</v>
      </c>
      <c r="M400" s="120">
        <f>IF(OR($A400="",$B400=""),"",COUNTIFS($A$5:A400,A400,$B$5:B400,B400))</f>
        <v>4</v>
      </c>
      <c r="N400" s="120">
        <f>IF($A400="","",COUNTA($A$5:$A400))</f>
        <v>396</v>
      </c>
      <c r="O400" s="120">
        <f>IF($A400="","",COUNTA($A$5:$A400))</f>
        <v>396</v>
      </c>
      <c r="P400" s="118">
        <f>IF($K400="","",MAX($K$5:K400))</f>
        <v>2826.46</v>
      </c>
      <c r="Q400" s="117">
        <f>IF($K400="","",K400-P400)</f>
        <v>0</v>
      </c>
      <c r="R400" s="2"/>
      <c r="S400" s="2">
        <f>IF(OR($A400="",$F400=""),"",IF($I400="Pendiente","",ROUND($G400*($F400*0.609-1),2)))</f>
        <v>2.67</v>
      </c>
      <c r="T400" s="2">
        <f>IF($A400="","",IFERROR(SUM($S$5:S400),0))</f>
        <v>613.51999999999987</v>
      </c>
    </row>
    <row r="401" spans="1:20" ht="26.25" customHeight="1">
      <c r="A401" s="110">
        <v>46215</v>
      </c>
      <c r="B401" s="113" t="s">
        <v>36</v>
      </c>
      <c r="C401" s="156" t="s">
        <v>699</v>
      </c>
      <c r="D401" s="113" t="s">
        <v>67</v>
      </c>
      <c r="E401" s="158" t="s">
        <v>277</v>
      </c>
      <c r="F401" s="115">
        <v>1.67</v>
      </c>
      <c r="G401" s="116">
        <v>27</v>
      </c>
      <c r="H401" s="120" t="s">
        <v>69</v>
      </c>
      <c r="I401" s="120" t="s">
        <v>75</v>
      </c>
      <c r="J401" s="117">
        <f>IF($A401="","",IF($I401="Ganada",ROUND($G401*($F401-1),2),IF($I401="Medio Ganada",ROUND($G401/2*($F401-1),2),IF($I401="Perdida",IF($H401="Free Bet",0,-$G401),IF($I401="Medio Perdida",IF($H401="Free Bet",0,-$G401/2),IF($I401="Reembolso",IF($R401="","",ROUND($R401-$G401,2)),IF($I401="Anulada",0,"")))))))</f>
        <v>-27</v>
      </c>
      <c r="K401" s="118">
        <f>IF(J401="","",2000+SUM(J$5:J401))</f>
        <v>2799.46</v>
      </c>
      <c r="L401" s="119">
        <f>IF(OR($I401="Ganada",$I401="Perdida",$I401="Medio Ganada",$I401="Medio Perdida"),IF($G401=0,"",J401/$G401),"")</f>
        <v>-1</v>
      </c>
      <c r="M401" s="120">
        <f>IF(OR($A401="",$B401=""),"",COUNTIFS($A$5:A401,A401,$B$5:B401,B401))</f>
        <v>5</v>
      </c>
      <c r="N401" s="120">
        <f>IF($A401="","",COUNTA($A$5:$A401))</f>
        <v>397</v>
      </c>
      <c r="O401" s="120">
        <f>IF($A401="","",COUNTA($A$5:$A401))</f>
        <v>397</v>
      </c>
      <c r="P401" s="118">
        <f>IF($K401="","",MAX($K$5:K401))</f>
        <v>2826.46</v>
      </c>
      <c r="Q401" s="117">
        <f>IF($K401="","",K401-P401)</f>
        <v>-27</v>
      </c>
      <c r="R401" s="2"/>
      <c r="S401" s="2">
        <f>IF(OR($A401="",$F401=""),"",IF($I401="Pendiente","",ROUND($G401*($F401*0.609-1),2)))</f>
        <v>0.46</v>
      </c>
      <c r="T401" s="2">
        <f>IF($A401="","",IFERROR(SUM($S$5:S401),0))</f>
        <v>613.9799999999999</v>
      </c>
    </row>
    <row r="402" spans="1:20" ht="23.25">
      <c r="A402" s="110">
        <v>46215</v>
      </c>
      <c r="B402" s="113" t="s">
        <v>37</v>
      </c>
      <c r="C402" s="156" t="s">
        <v>700</v>
      </c>
      <c r="D402" s="113" t="s">
        <v>76</v>
      </c>
      <c r="E402" s="106">
        <v>1</v>
      </c>
      <c r="F402" s="115">
        <v>2.25</v>
      </c>
      <c r="G402" s="116">
        <v>12</v>
      </c>
      <c r="H402" s="120" t="s">
        <v>69</v>
      </c>
      <c r="I402" s="120" t="s">
        <v>70</v>
      </c>
      <c r="J402" s="117">
        <f>IF($A402="","",IF($I402="Ganada",ROUND($G402*($F402-1),2),IF($I402="Medio Ganada",ROUND($G402/2*($F402-1),2),IF($I402="Perdida",IF($H402="Free Bet",0,-$G402),IF($I402="Medio Perdida",IF($H402="Free Bet",0,-$G402/2),IF($I402="Reembolso",IF($R402="","",ROUND($R402-$G402,2)),IF($I402="Anulada",0,"")))))))</f>
        <v>15</v>
      </c>
      <c r="K402" s="118">
        <f>IF(J402="","",2000+SUM(J$5:J402))</f>
        <v>2814.46</v>
      </c>
      <c r="L402" s="119">
        <f>IF(OR($I402="Ganada",$I402="Perdida",$I402="Medio Ganada",$I402="Medio Perdida"),IF($G402=0,"",J402/$G402),"")</f>
        <v>1.25</v>
      </c>
      <c r="M402" s="120">
        <f>IF(OR($A402="",$B402=""),"",COUNTIFS($A$5:A402,A402,$B$5:B402,B402))</f>
        <v>3</v>
      </c>
      <c r="N402" s="120">
        <f>IF($A402="","",COUNTA($A$5:$A402))</f>
        <v>398</v>
      </c>
      <c r="O402" s="120">
        <f>IF($A402="","",COUNTA($A$5:$A402))</f>
        <v>398</v>
      </c>
      <c r="P402" s="118">
        <f>IF($K402="","",MAX($K$5:K402))</f>
        <v>2826.46</v>
      </c>
      <c r="Q402" s="117">
        <f>IF($K402="","",K402-P402)</f>
        <v>-12</v>
      </c>
      <c r="R402" s="2"/>
      <c r="S402" s="2">
        <f>IF(OR($A402="",$F402=""),"",IF($I402="Pendiente","",ROUND($G402*($F402*0.609-1),2)))</f>
        <v>4.4400000000000004</v>
      </c>
      <c r="T402" s="2">
        <f>IF($A402="","",IFERROR(SUM($S$5:S402),0))</f>
        <v>618.41999999999996</v>
      </c>
    </row>
    <row r="403" spans="1:20" ht="34.5">
      <c r="A403" s="110">
        <v>46215</v>
      </c>
      <c r="B403" s="113" t="s">
        <v>36</v>
      </c>
      <c r="C403" s="156" t="s">
        <v>701</v>
      </c>
      <c r="D403" s="113" t="s">
        <v>67</v>
      </c>
      <c r="E403" s="158" t="s">
        <v>500</v>
      </c>
      <c r="F403" s="115">
        <v>1.53</v>
      </c>
      <c r="G403" s="116">
        <v>27</v>
      </c>
      <c r="H403" s="120" t="s">
        <v>69</v>
      </c>
      <c r="I403" s="120" t="s">
        <v>70</v>
      </c>
      <c r="J403" s="117">
        <f>IF($A403="","",IF($I403="Ganada",ROUND($G403*($F403-1),2),IF($I403="Medio Ganada",ROUND($G403/2*($F403-1),2),IF($I403="Perdida",IF($H403="Free Bet",0,-$G403),IF($I403="Medio Perdida",IF($H403="Free Bet",0,-$G403/2),IF($I403="Reembolso",IF($R403="","",ROUND($R403-$G403,2)),IF($I403="Anulada",0,"")))))))</f>
        <v>14.31</v>
      </c>
      <c r="K403" s="118">
        <f>IF(J403="","",2000+SUM(J$5:J403))</f>
        <v>2828.77</v>
      </c>
      <c r="L403" s="119">
        <f>IF(OR($I403="Ganada",$I403="Perdida",$I403="Medio Ganada",$I403="Medio Perdida"),IF($G403=0,"",J403/$G403),"")</f>
        <v>0.53</v>
      </c>
      <c r="M403" s="120">
        <f>IF(OR($A403="",$B403=""),"",COUNTIFS($A$5:A403,A403,$B$5:B403,B403))</f>
        <v>6</v>
      </c>
      <c r="N403" s="120">
        <f>IF($A403="","",COUNTA($A$5:$A403))</f>
        <v>399</v>
      </c>
      <c r="O403" s="120">
        <f>IF($A403="","",COUNTA($A$5:$A403))</f>
        <v>399</v>
      </c>
      <c r="P403" s="118">
        <f>IF($K403="","",MAX($K$5:K403))</f>
        <v>2828.77</v>
      </c>
      <c r="Q403" s="117">
        <f>IF($K403="","",K403-P403)</f>
        <v>0</v>
      </c>
      <c r="R403" s="2"/>
      <c r="S403" s="2">
        <f>IF(OR($A403="",$F403=""),"",IF($I403="Pendiente","",ROUND($G403*($F403*0.609-1),2)))</f>
        <v>-1.84</v>
      </c>
      <c r="T403" s="2">
        <f>IF($A403="","",IFERROR(SUM($S$5:S403),0))</f>
        <v>616.57999999999993</v>
      </c>
    </row>
    <row r="404" spans="1:20">
      <c r="A404" s="110">
        <v>46215</v>
      </c>
      <c r="B404" s="113" t="s">
        <v>32</v>
      </c>
      <c r="C404" s="156" t="s">
        <v>702</v>
      </c>
      <c r="D404" s="113" t="s">
        <v>76</v>
      </c>
      <c r="E404" s="158" t="s">
        <v>703</v>
      </c>
      <c r="F404" s="115">
        <v>2.4500000000000002</v>
      </c>
      <c r="G404" s="116">
        <v>14</v>
      </c>
      <c r="H404" s="120" t="s">
        <v>69</v>
      </c>
      <c r="I404" s="120" t="s">
        <v>75</v>
      </c>
      <c r="J404" s="117">
        <f>IF($A404="","",IF($I404="Ganada",ROUND($G404*($F404-1),2),IF($I404="Medio Ganada",ROUND($G404/2*($F404-1),2),IF($I404="Perdida",IF($H404="Free Bet",0,-$G404),IF($I404="Medio Perdida",IF($H404="Free Bet",0,-$G404/2),IF($I404="Reembolso",IF($R404="","",ROUND($R404-$G404,2)),IF($I404="Anulada",0,"")))))))</f>
        <v>-14</v>
      </c>
      <c r="K404" s="118">
        <f>IF(J404="","",2000+SUM(J$5:J404))</f>
        <v>2814.77</v>
      </c>
      <c r="L404" s="119">
        <f>IF(OR($I404="Ganada",$I404="Perdida",$I404="Medio Ganada",$I404="Medio Perdida"),IF($G404=0,"",J404/$G404),"")</f>
        <v>-1</v>
      </c>
      <c r="M404" s="120">
        <f>IF(OR($A404="",$B404=""),"",COUNTIFS($A$5:A404,A404,$B$5:B404,B404))</f>
        <v>8</v>
      </c>
      <c r="N404" s="120">
        <f>IF($A404="","",COUNTA($A$5:$A404))</f>
        <v>400</v>
      </c>
      <c r="O404" s="120">
        <f>IF($A404="","",COUNTA($A$5:$A404))</f>
        <v>400</v>
      </c>
      <c r="P404" s="118">
        <f>IF($K404="","",MAX($K$5:K404))</f>
        <v>2828.77</v>
      </c>
      <c r="Q404" s="117">
        <f>IF($K404="","",K404-P404)</f>
        <v>-14</v>
      </c>
      <c r="R404" s="2"/>
      <c r="S404" s="2">
        <f>IF(OR($A404="",$F404=""),"",IF($I404="Pendiente","",ROUND($G404*($F404*0.609-1),2)))</f>
        <v>6.89</v>
      </c>
      <c r="T404" s="2">
        <f>IF($A404="","",IFERROR(SUM($S$5:S404),0))</f>
        <v>623.46999999999991</v>
      </c>
    </row>
    <row r="405" spans="1:20" ht="27.75">
      <c r="A405" s="110">
        <v>46215</v>
      </c>
      <c r="B405" s="113" t="s">
        <v>36</v>
      </c>
      <c r="C405" s="156" t="s">
        <v>660</v>
      </c>
      <c r="D405" s="113" t="s">
        <v>95</v>
      </c>
      <c r="E405" s="158" t="s">
        <v>704</v>
      </c>
      <c r="F405" s="115">
        <v>1.79</v>
      </c>
      <c r="G405" s="116">
        <v>27</v>
      </c>
      <c r="H405" s="120" t="s">
        <v>69</v>
      </c>
      <c r="I405" s="120" t="s">
        <v>75</v>
      </c>
      <c r="J405" s="117">
        <f>IF($A405="","",IF($I405="Ganada",ROUND($G405*($F405-1),2),IF($I405="Medio Ganada",ROUND($G405/2*($F405-1),2),IF($I405="Perdida",IF($H405="Free Bet",0,-$G405),IF($I405="Medio Perdida",IF($H405="Free Bet",0,-$G405/2),IF($I405="Reembolso",IF($R405="","",ROUND($R405-$G405,2)),IF($I405="Anulada",0,"")))))))</f>
        <v>-27</v>
      </c>
      <c r="K405" s="118">
        <f>IF(J405="","",2000+SUM(J$5:J405))</f>
        <v>2787.77</v>
      </c>
      <c r="L405" s="119">
        <f>IF(OR($I405="Ganada",$I405="Perdida",$I405="Medio Ganada",$I405="Medio Perdida"),IF($G405=0,"",J405/$G405),"")</f>
        <v>-1</v>
      </c>
      <c r="M405" s="120">
        <f>IF(OR($A405="",$B405=""),"",COUNTIFS($A$5:A405,A405,$B$5:B405,B405))</f>
        <v>7</v>
      </c>
      <c r="N405" s="120">
        <f>IF($A405="","",COUNTA($A$5:$A405))</f>
        <v>401</v>
      </c>
      <c r="O405" s="120">
        <f>IF($A405="","",COUNTA($A$5:$A405))</f>
        <v>401</v>
      </c>
      <c r="P405" s="118">
        <f>IF($K405="","",MAX($K$5:K405))</f>
        <v>2828.77</v>
      </c>
      <c r="Q405" s="117">
        <f>IF($K405="","",K405-P405)</f>
        <v>-41</v>
      </c>
      <c r="R405" s="2"/>
      <c r="S405" s="2">
        <f>IF(OR($A405="",$F405=""),"",IF($I405="Pendiente","",ROUND($G405*($F405*0.609-1),2)))</f>
        <v>2.4300000000000002</v>
      </c>
      <c r="T405" s="2">
        <f>IF($A405="","",IFERROR(SUM($S$5:S405),0))</f>
        <v>625.89999999999986</v>
      </c>
    </row>
    <row r="406" spans="1:20">
      <c r="A406" s="110">
        <v>46215</v>
      </c>
      <c r="B406" s="113" t="s">
        <v>34</v>
      </c>
      <c r="C406" s="156" t="s">
        <v>705</v>
      </c>
      <c r="D406" s="157" t="s">
        <v>76</v>
      </c>
      <c r="E406" s="158" t="s">
        <v>706</v>
      </c>
      <c r="F406" s="115">
        <v>1.52</v>
      </c>
      <c r="G406" s="116">
        <v>27</v>
      </c>
      <c r="H406" s="120" t="s">
        <v>69</v>
      </c>
      <c r="I406" s="120" t="s">
        <v>70</v>
      </c>
      <c r="J406" s="117">
        <f>IF($A406="","",IF($I406="Ganada",ROUND($G406*($F406-1),2),IF($I406="Medio Ganada",ROUND($G406/2*($F406-1),2),IF($I406="Perdida",IF($H406="Free Bet",0,-$G406),IF($I406="Medio Perdida",IF($H406="Free Bet",0,-$G406/2),IF($I406="Reembolso",IF($R406="","",ROUND($R406-$G406,2)),IF($I406="Anulada",0,"")))))))</f>
        <v>14.04</v>
      </c>
      <c r="K406" s="118">
        <f>IF(J406="","",2000+SUM(J$5:J406))</f>
        <v>2801.81</v>
      </c>
      <c r="L406" s="119">
        <f>IF(OR($I406="Ganada",$I406="Perdida",$I406="Medio Ganada",$I406="Medio Perdida"),IF($G406=0,"",J406/$G406),"")</f>
        <v>0.52</v>
      </c>
      <c r="M406" s="120">
        <f>IF(OR($A406="",$B406=""),"",COUNTIFS($A$5:A406,A406,$B$5:B406,B406))</f>
        <v>4</v>
      </c>
      <c r="N406" s="120">
        <f>IF($A406="","",COUNTA($A$5:$A406))</f>
        <v>402</v>
      </c>
      <c r="O406" s="120">
        <f>IF($A406="","",COUNTA($A$5:$A406))</f>
        <v>402</v>
      </c>
      <c r="P406" s="118">
        <f>IF($K406="","",MAX($K$5:K406))</f>
        <v>2828.77</v>
      </c>
      <c r="Q406" s="117">
        <f>IF($K406="","",K406-P406)</f>
        <v>-26.960000000000036</v>
      </c>
      <c r="R406" s="2"/>
      <c r="S406" s="2">
        <f>IF(OR($A406="",$F406=""),"",IF($I406="Pendiente","",ROUND($G406*($F406*0.609-1),2)))</f>
        <v>-2.0099999999999998</v>
      </c>
      <c r="T406" s="2">
        <f>IF($A406="","",IFERROR(SUM($S$5:S406),0))</f>
        <v>623.88999999999987</v>
      </c>
    </row>
    <row r="407" spans="1:20">
      <c r="A407" s="110">
        <v>46215</v>
      </c>
      <c r="B407" s="113" t="s">
        <v>34</v>
      </c>
      <c r="C407" s="156" t="s">
        <v>707</v>
      </c>
      <c r="D407" s="113" t="s">
        <v>76</v>
      </c>
      <c r="E407" s="158" t="s">
        <v>534</v>
      </c>
      <c r="F407" s="115">
        <v>1.46</v>
      </c>
      <c r="G407" s="116">
        <v>27</v>
      </c>
      <c r="H407" s="120" t="s">
        <v>69</v>
      </c>
      <c r="I407" s="120" t="s">
        <v>70</v>
      </c>
      <c r="J407" s="117">
        <f>IF($A407="","",IF($I407="Ganada",ROUND($G407*($F407-1),2),IF($I407="Medio Ganada",ROUND($G407/2*($F407-1),2),IF($I407="Perdida",IF($H407="Free Bet",0,-$G407),IF($I407="Medio Perdida",IF($H407="Free Bet",0,-$G407/2),IF($I407="Reembolso",IF($R407="","",ROUND($R407-$G407,2)),IF($I407="Anulada",0,"")))))))</f>
        <v>12.42</v>
      </c>
      <c r="K407" s="118">
        <f>IF(J407="","",2000+SUM(J$5:J407))</f>
        <v>2814.2299999999996</v>
      </c>
      <c r="L407" s="119">
        <f>IF(OR($I407="Ganada",$I407="Perdida",$I407="Medio Ganada",$I407="Medio Perdida"),IF($G407=0,"",J407/$G407),"")</f>
        <v>0.46</v>
      </c>
      <c r="M407" s="120">
        <f>IF(OR($A407="",$B407=""),"",COUNTIFS($A$5:A407,A407,$B$5:B407,B407))</f>
        <v>5</v>
      </c>
      <c r="N407" s="120">
        <f>IF($A407="","",COUNTA($A$5:$A407))</f>
        <v>403</v>
      </c>
      <c r="O407" s="120">
        <f>IF($A407="","",COUNTA($A$5:$A407))</f>
        <v>403</v>
      </c>
      <c r="P407" s="118">
        <f>IF($K407="","",MAX($K$5:K407))</f>
        <v>2828.77</v>
      </c>
      <c r="Q407" s="117">
        <f>IF($K407="","",K407-P407)</f>
        <v>-14.540000000000418</v>
      </c>
      <c r="R407" s="2"/>
      <c r="S407" s="2">
        <f>IF(OR($A407="",$F407=""),"",IF($I407="Pendiente","",ROUND($G407*($F407*0.609-1),2)))</f>
        <v>-2.99</v>
      </c>
      <c r="T407" s="2">
        <f>IF($A407="","",IFERROR(SUM($S$5:S407),0))</f>
        <v>620.89999999999986</v>
      </c>
    </row>
    <row r="408" spans="1:20" ht="27.75">
      <c r="A408" s="110">
        <v>46216</v>
      </c>
      <c r="B408" s="113" t="s">
        <v>37</v>
      </c>
      <c r="C408" s="154" t="s">
        <v>708</v>
      </c>
      <c r="D408" s="113" t="s">
        <v>67</v>
      </c>
      <c r="E408" s="158" t="s">
        <v>709</v>
      </c>
      <c r="F408" s="115">
        <v>1.5249999999999999</v>
      </c>
      <c r="G408" s="116">
        <v>27</v>
      </c>
      <c r="H408" s="120" t="s">
        <v>69</v>
      </c>
      <c r="I408" s="120" t="s">
        <v>70</v>
      </c>
      <c r="J408" s="117">
        <f>IF($A408="","",IF($I408="Ganada",ROUND($G408*($F408-1),2),IF($I408="Medio Ganada",ROUND($G408/2*($F408-1),2),IF($I408="Perdida",IF($H408="Free Bet",0,-$G408),IF($I408="Medio Perdida",IF($H408="Free Bet",0,-$G408/2),IF($I408="Reembolso",IF($R408="","",ROUND($R408-$G408,2)),IF($I408="Anulada",0,"")))))))</f>
        <v>14.18</v>
      </c>
      <c r="K408" s="118">
        <f>IF(J408="","",2000+SUM(J$5:J408))</f>
        <v>2828.41</v>
      </c>
      <c r="L408" s="119">
        <f>IF(OR($I408="Ganada",$I408="Perdida",$I408="Medio Ganada",$I408="Medio Perdida"),IF($G408=0,"",J408/$G408),"")</f>
        <v>0.5251851851851852</v>
      </c>
      <c r="M408" s="120">
        <f>IF(OR($A408="",$B408=""),"",COUNTIFS($A$5:A408,A408,$B$5:B408,B408))</f>
        <v>1</v>
      </c>
      <c r="N408" s="120">
        <f>IF($A408="","",COUNTA($A$5:$A408))</f>
        <v>404</v>
      </c>
      <c r="O408" s="120">
        <f>IF($A408="","",COUNTA($A$5:$A408))</f>
        <v>404</v>
      </c>
      <c r="P408" s="118">
        <f>IF($K408="","",MAX($K$5:K408))</f>
        <v>2828.77</v>
      </c>
      <c r="Q408" s="117">
        <f>IF($K408="","",K408-P408)</f>
        <v>-0.36000000000012733</v>
      </c>
      <c r="R408" s="2"/>
      <c r="S408" s="2">
        <f>IF(OR($A408="",$F408=""),"",IF($I408="Pendiente","",ROUND($G408*($F408*0.609-1),2)))</f>
        <v>-1.92</v>
      </c>
      <c r="T408" s="2">
        <f>IF($A408="","",IFERROR(SUM($S$5:S408),0))</f>
        <v>618.9799999999999</v>
      </c>
    </row>
    <row r="409" spans="1:20" ht="15" customHeight="1">
      <c r="A409" s="110">
        <v>46216</v>
      </c>
      <c r="B409" s="157" t="s">
        <v>33</v>
      </c>
      <c r="C409" s="156" t="s">
        <v>710</v>
      </c>
      <c r="D409" s="113" t="s">
        <v>95</v>
      </c>
      <c r="E409" s="158" t="s">
        <v>675</v>
      </c>
      <c r="F409" s="115">
        <v>2.16</v>
      </c>
      <c r="G409" s="116">
        <v>20</v>
      </c>
      <c r="H409" s="120" t="s">
        <v>69</v>
      </c>
      <c r="I409" s="120" t="s">
        <v>75</v>
      </c>
      <c r="J409" s="117">
        <f>IF($A409="","",IF($I409="Ganada",ROUND($G409*($F409-1),2),IF($I409="Medio Ganada",ROUND($G409/2*($F409-1),2),IF($I409="Perdida",IF($H409="Free Bet",0,-$G409),IF($I409="Medio Perdida",IF($H409="Free Bet",0,-$G409/2),IF($I409="Reembolso",IF($R409="","",ROUND($R409-$G409,2)),IF($I409="Anulada",0,"")))))))</f>
        <v>-20</v>
      </c>
      <c r="K409" s="118">
        <f>IF(J409="","",2000+SUM(J$5:J409))</f>
        <v>2808.41</v>
      </c>
      <c r="L409" s="119">
        <f>IF(OR($I409="Ganada",$I409="Perdida",$I409="Medio Ganada",$I409="Medio Perdida"),IF($G409=0,"",J409/$G409),"")</f>
        <v>-1</v>
      </c>
      <c r="M409" s="120">
        <f>IF(OR($A409="",$B409=""),"",COUNTIFS($A$5:A409,A409,$B$5:B409,B409))</f>
        <v>1</v>
      </c>
      <c r="N409" s="120">
        <f>IF($A409="","",COUNTA($A$5:$A409))</f>
        <v>405</v>
      </c>
      <c r="O409" s="120">
        <f>IF($A409="","",COUNTA($A$5:$A409))</f>
        <v>405</v>
      </c>
      <c r="P409" s="118">
        <f>IF($K409="","",MAX($K$5:K409))</f>
        <v>2828.77</v>
      </c>
      <c r="Q409" s="117">
        <f>IF($K409="","",K409-P409)</f>
        <v>-20.360000000000127</v>
      </c>
      <c r="R409" s="2"/>
      <c r="S409" s="2">
        <f>IF(OR($A409="",$F409=""),"",IF($I409="Pendiente","",ROUND($G409*($F409*0.609-1),2)))</f>
        <v>6.31</v>
      </c>
      <c r="T409" s="2">
        <f>IF($A409="","",IFERROR(SUM($S$5:S409),0))</f>
        <v>625.28999999999985</v>
      </c>
    </row>
    <row r="410" spans="1:20" ht="15" customHeight="1">
      <c r="A410" s="110">
        <v>46216</v>
      </c>
      <c r="B410" s="113" t="s">
        <v>34</v>
      </c>
      <c r="C410" s="156" t="s">
        <v>711</v>
      </c>
      <c r="D410" s="113" t="s">
        <v>67</v>
      </c>
      <c r="E410" s="158" t="s">
        <v>712</v>
      </c>
      <c r="F410" s="115">
        <v>1.49</v>
      </c>
      <c r="G410" s="116">
        <v>27</v>
      </c>
      <c r="H410" s="120" t="s">
        <v>69</v>
      </c>
      <c r="I410" s="120" t="s">
        <v>70</v>
      </c>
      <c r="J410" s="117">
        <f>IF($A410="","",IF($I410="Ganada",ROUND($G410*($F410-1),2),IF($I410="Medio Ganada",ROUND($G410/2*($F410-1),2),IF($I410="Perdida",IF($H410="Free Bet",0,-$G410),IF($I410="Medio Perdida",IF($H410="Free Bet",0,-$G410/2),IF($I410="Reembolso",IF($R410="","",ROUND($R410-$G410,2)),IF($I410="Anulada",0,"")))))))</f>
        <v>13.23</v>
      </c>
      <c r="K410" s="118">
        <f>IF(J410="","",2000+SUM(J$5:J410))</f>
        <v>2821.64</v>
      </c>
      <c r="L410" s="119">
        <f>IF(OR($I410="Ganada",$I410="Perdida",$I410="Medio Ganada",$I410="Medio Perdida"),IF($G410=0,"",J410/$G410),"")</f>
        <v>0.49</v>
      </c>
      <c r="M410" s="120">
        <f>IF(OR($A410="",$B410=""),"",COUNTIFS($A$5:A410,A410,$B$5:B410,B410))</f>
        <v>1</v>
      </c>
      <c r="N410" s="120">
        <f>IF($A410="","",COUNTA($A$5:$A410))</f>
        <v>406</v>
      </c>
      <c r="O410" s="120">
        <f>IF($A410="","",COUNTA($A$5:$A410))</f>
        <v>406</v>
      </c>
      <c r="P410" s="118">
        <f>IF($K410="","",MAX($K$5:K410))</f>
        <v>2828.77</v>
      </c>
      <c r="Q410" s="117">
        <f>IF($K410="","",K410-P410)</f>
        <v>-7.1300000000001091</v>
      </c>
      <c r="R410" s="2"/>
      <c r="S410" s="2">
        <f>IF(OR($A410="",$F410=""),"",IF($I410="Pendiente","",ROUND($G410*($F410*0.609-1),2)))</f>
        <v>-2.5</v>
      </c>
      <c r="T410" s="2">
        <f>IF($A410="","",IFERROR(SUM($S$5:S410),0))</f>
        <v>622.78999999999985</v>
      </c>
    </row>
    <row r="411" spans="1:20" ht="15" customHeight="1">
      <c r="A411" s="110">
        <v>46216</v>
      </c>
      <c r="B411" s="113" t="s">
        <v>34</v>
      </c>
      <c r="C411" s="156" t="s">
        <v>713</v>
      </c>
      <c r="D411" s="113" t="s">
        <v>76</v>
      </c>
      <c r="E411" s="158" t="s">
        <v>703</v>
      </c>
      <c r="F411" s="115">
        <v>1.4</v>
      </c>
      <c r="G411" s="116">
        <v>27</v>
      </c>
      <c r="H411" s="120" t="s">
        <v>69</v>
      </c>
      <c r="I411" s="120" t="s">
        <v>70</v>
      </c>
      <c r="J411" s="117">
        <f>IF($A411="","",IF($I411="Ganada",ROUND($G411*($F411-1),2),IF($I411="Medio Ganada",ROUND($G411/2*($F411-1),2),IF($I411="Perdida",IF($H411="Free Bet",0,-$G411),IF($I411="Medio Perdida",IF($H411="Free Bet",0,-$G411/2),IF($I411="Reembolso",IF($R411="","",ROUND($R411-$G411,2)),IF($I411="Anulada",0,"")))))))</f>
        <v>10.8</v>
      </c>
      <c r="K411" s="118">
        <f>IF(J411="","",2000+SUM(J$5:J411))</f>
        <v>2832.4399999999996</v>
      </c>
      <c r="L411" s="119">
        <f>IF(OR($I411="Ganada",$I411="Perdida",$I411="Medio Ganada",$I411="Medio Perdida"),IF($G411=0,"",J411/$G411),"")</f>
        <v>0.4</v>
      </c>
      <c r="M411" s="120">
        <f>IF(OR($A411="",$B411=""),"",COUNTIFS($A$5:A411,A411,$B$5:B411,B411))</f>
        <v>2</v>
      </c>
      <c r="N411" s="120">
        <f>IF($A411="","",COUNTA($A$5:$A411))</f>
        <v>407</v>
      </c>
      <c r="O411" s="120">
        <f>IF($A411="","",COUNTA($A$5:$A411))</f>
        <v>407</v>
      </c>
      <c r="P411" s="118">
        <f>IF($K411="","",MAX($K$5:K411))</f>
        <v>2832.4399999999996</v>
      </c>
      <c r="Q411" s="117">
        <f>IF($K411="","",K411-P411)</f>
        <v>0</v>
      </c>
      <c r="R411" s="2"/>
      <c r="S411" s="2">
        <f>IF(OR($A411="",$F411=""),"",IF($I411="Pendiente","",ROUND($G411*($F411*0.609-1),2)))</f>
        <v>-3.98</v>
      </c>
      <c r="T411" s="2">
        <f>IF($A411="","",IFERROR(SUM($S$5:S411),0))</f>
        <v>618.80999999999983</v>
      </c>
    </row>
    <row r="412" spans="1:20" ht="15" customHeight="1">
      <c r="A412" s="110">
        <v>46216</v>
      </c>
      <c r="B412" s="113" t="s">
        <v>33</v>
      </c>
      <c r="C412" s="154" t="s">
        <v>714</v>
      </c>
      <c r="D412" s="113" t="s">
        <v>95</v>
      </c>
      <c r="E412" s="106" t="s">
        <v>505</v>
      </c>
      <c r="F412" s="115">
        <v>1.74</v>
      </c>
      <c r="G412" s="116">
        <v>27</v>
      </c>
      <c r="H412" s="120" t="s">
        <v>69</v>
      </c>
      <c r="I412" s="120" t="s">
        <v>75</v>
      </c>
      <c r="J412" s="117">
        <f>IF($A412="","",IF($I412="Ganada",ROUND($G412*($F412-1),2),IF($I412="Medio Ganada",ROUND($G412/2*($F412-1),2),IF($I412="Perdida",IF($H412="Free Bet",0,-$G412),IF($I412="Medio Perdida",IF($H412="Free Bet",0,-$G412/2),IF($I412="Reembolso",IF($R412="","",ROUND($R412-$G412,2)),IF($I412="Anulada",0,"")))))))</f>
        <v>-27</v>
      </c>
      <c r="K412" s="118">
        <f>IF(J412="","",2000+SUM(J$5:J412))</f>
        <v>2805.4399999999996</v>
      </c>
      <c r="L412" s="119">
        <f>IF(OR($I412="Ganada",$I412="Perdida",$I412="Medio Ganada",$I412="Medio Perdida"),IF($G412=0,"",J412/$G412),"")</f>
        <v>-1</v>
      </c>
      <c r="M412" s="120">
        <f>IF(OR($A412="",$B412=""),"",COUNTIFS($A$5:A412,A412,$B$5:B412,B412))</f>
        <v>2</v>
      </c>
      <c r="N412" s="120">
        <f>IF($A412="","",COUNTA($A$5:$A412))</f>
        <v>408</v>
      </c>
      <c r="O412" s="120">
        <f>IF($A412="","",COUNTA($A$5:$A412))</f>
        <v>408</v>
      </c>
      <c r="P412" s="118">
        <f>IF($K412="","",MAX($K$5:K412))</f>
        <v>2832.4399999999996</v>
      </c>
      <c r="Q412" s="117">
        <f>IF($K412="","",K412-P412)</f>
        <v>-27</v>
      </c>
      <c r="R412" s="2"/>
      <c r="S412" s="2">
        <f>IF(OR($A412="",$F412=""),"",IF($I412="Pendiente","",ROUND($G412*($F412*0.609-1),2)))</f>
        <v>1.61</v>
      </c>
      <c r="T412" s="2">
        <f>IF($A412="","",IFERROR(SUM($S$5:S412),0))</f>
        <v>620.41999999999985</v>
      </c>
    </row>
    <row r="413" spans="1:20" ht="15" customHeight="1">
      <c r="A413" s="110">
        <v>46216</v>
      </c>
      <c r="B413" s="113" t="s">
        <v>32</v>
      </c>
      <c r="C413" s="156" t="s">
        <v>715</v>
      </c>
      <c r="D413" s="113" t="s">
        <v>76</v>
      </c>
      <c r="E413" s="158" t="s">
        <v>167</v>
      </c>
      <c r="F413" s="115">
        <v>1.5</v>
      </c>
      <c r="G413" s="116">
        <v>27</v>
      </c>
      <c r="H413" s="120" t="s">
        <v>69</v>
      </c>
      <c r="I413" s="120" t="s">
        <v>75</v>
      </c>
      <c r="J413" s="117">
        <f>IF($A413="","",IF($I413="Ganada",ROUND($G413*($F413-1),2),IF($I413="Medio Ganada",ROUND($G413/2*($F413-1),2),IF($I413="Perdida",IF($H413="Free Bet",0,-$G413),IF($I413="Medio Perdida",IF($H413="Free Bet",0,-$G413/2),IF($I413="Reembolso",IF($R413="","",ROUND($R413-$G413,2)),IF($I413="Anulada",0,"")))))))</f>
        <v>-27</v>
      </c>
      <c r="K413" s="118">
        <f>IF(J413="","",2000+SUM(J$5:J413))</f>
        <v>2778.4399999999996</v>
      </c>
      <c r="L413" s="119">
        <f>IF(OR($I413="Ganada",$I413="Perdida",$I413="Medio Ganada",$I413="Medio Perdida"),IF($G413=0,"",J413/$G413),"")</f>
        <v>-1</v>
      </c>
      <c r="M413" s="120">
        <f>IF(OR($A413="",$B413=""),"",COUNTIFS($A$5:A413,A413,$B$5:B413,B413))</f>
        <v>1</v>
      </c>
      <c r="N413" s="120">
        <f>IF($A413="","",COUNTA($A$5:$A413))</f>
        <v>409</v>
      </c>
      <c r="O413" s="120">
        <f>IF($A413="","",COUNTA($A$5:$A413))</f>
        <v>409</v>
      </c>
      <c r="P413" s="118">
        <f>IF($K413="","",MAX($K$5:K413))</f>
        <v>2832.4399999999996</v>
      </c>
      <c r="Q413" s="117">
        <f>IF($K413="","",K413-P413)</f>
        <v>-54</v>
      </c>
      <c r="R413" s="2"/>
      <c r="S413" s="2">
        <f>IF(OR($A413="",$F413=""),"",IF($I413="Pendiente","",ROUND($G413*($F413*0.609-1),2)))</f>
        <v>-2.34</v>
      </c>
      <c r="T413" s="2">
        <f>IF($A413="","",IFERROR(SUM($S$5:S413),0))</f>
        <v>618.07999999999981</v>
      </c>
    </row>
    <row r="414" spans="1:20" ht="15" customHeight="1">
      <c r="A414" s="110">
        <v>46216</v>
      </c>
      <c r="B414" s="113" t="s">
        <v>33</v>
      </c>
      <c r="C414" s="154" t="s">
        <v>716</v>
      </c>
      <c r="D414" s="113" t="s">
        <v>67</v>
      </c>
      <c r="E414" s="106" t="s">
        <v>717</v>
      </c>
      <c r="F414" s="115">
        <v>1.86</v>
      </c>
      <c r="G414" s="116">
        <v>20</v>
      </c>
      <c r="H414" s="120" t="s">
        <v>69</v>
      </c>
      <c r="I414" s="120" t="s">
        <v>75</v>
      </c>
      <c r="J414" s="117">
        <f>IF($A414="","",IF($I414="Ganada",ROUND($G414*($F414-1),2),IF($I414="Medio Ganada",ROUND($G414/2*($F414-1),2),IF($I414="Perdida",IF($H414="Free Bet",0,-$G414),IF($I414="Medio Perdida",IF($H414="Free Bet",0,-$G414/2),IF($I414="Reembolso",IF($R414="","",ROUND($R414-$G414,2)),IF($I414="Anulada",0,"")))))))</f>
        <v>-20</v>
      </c>
      <c r="K414" s="118">
        <f>IF(J414="","",2000+SUM(J$5:J414))</f>
        <v>2758.4399999999996</v>
      </c>
      <c r="L414" s="119">
        <f>IF(OR($I414="Ganada",$I414="Perdida",$I414="Medio Ganada",$I414="Medio Perdida"),IF($G414=0,"",J414/$G414),"")</f>
        <v>-1</v>
      </c>
      <c r="M414" s="120">
        <f>IF(OR($A414="",$B414=""),"",COUNTIFS($A$5:A414,A414,$B$5:B414,B414))</f>
        <v>3</v>
      </c>
      <c r="N414" s="120">
        <f>IF($A414="","",COUNTA($A$5:$A414))</f>
        <v>410</v>
      </c>
      <c r="O414" s="120">
        <f>IF($A414="","",COUNTA($A$5:$A414))</f>
        <v>410</v>
      </c>
      <c r="P414" s="118">
        <f>IF($K414="","",MAX($K$5:K414))</f>
        <v>2832.4399999999996</v>
      </c>
      <c r="Q414" s="117">
        <f>IF($K414="","",K414-P414)</f>
        <v>-74</v>
      </c>
      <c r="R414" s="2"/>
      <c r="S414" s="2">
        <f>IF(OR($A414="",$F414=""),"",IF($I414="Pendiente","",ROUND($G414*($F414*0.609-1),2)))</f>
        <v>2.65</v>
      </c>
      <c r="T414" s="2">
        <f>IF($A414="","",IFERROR(SUM($S$5:S414),0))</f>
        <v>620.72999999999979</v>
      </c>
    </row>
    <row r="415" spans="1:20" ht="15" customHeight="1">
      <c r="A415" s="110">
        <v>46216</v>
      </c>
      <c r="B415" s="113" t="s">
        <v>33</v>
      </c>
      <c r="C415" s="156" t="s">
        <v>718</v>
      </c>
      <c r="D415" s="113" t="s">
        <v>76</v>
      </c>
      <c r="E415" s="106" t="s">
        <v>419</v>
      </c>
      <c r="F415" s="115">
        <v>1.54</v>
      </c>
      <c r="G415" s="116">
        <v>27</v>
      </c>
      <c r="H415" s="120" t="s">
        <v>69</v>
      </c>
      <c r="I415" s="120" t="s">
        <v>70</v>
      </c>
      <c r="J415" s="117">
        <f>IF($A415="","",IF($I415="Ganada",ROUND($G415*($F415-1),2),IF($I415="Medio Ganada",ROUND($G415/2*($F415-1),2),IF($I415="Perdida",IF($H415="Free Bet",0,-$G415),IF($I415="Medio Perdida",IF($H415="Free Bet",0,-$G415/2),IF($I415="Reembolso",IF($R415="","",ROUND($R415-$G415,2)),IF($I415="Anulada",0,"")))))))</f>
        <v>14.58</v>
      </c>
      <c r="K415" s="118">
        <f>IF(J415="","",2000+SUM(J$5:J415))</f>
        <v>2773.0199999999995</v>
      </c>
      <c r="L415" s="119">
        <f>IF(OR($I415="Ganada",$I415="Perdida",$I415="Medio Ganada",$I415="Medio Perdida"),IF($G415=0,"",J415/$G415),"")</f>
        <v>0.54</v>
      </c>
      <c r="M415" s="120">
        <f>IF(OR($A415="",$B415=""),"",COUNTIFS($A$5:A415,A415,$B$5:B415,B415))</f>
        <v>4</v>
      </c>
      <c r="N415" s="120">
        <f>IF($A415="","",COUNTA($A$5:$A415))</f>
        <v>411</v>
      </c>
      <c r="O415" s="120">
        <f>IF($A415="","",COUNTA($A$5:$A415))</f>
        <v>411</v>
      </c>
      <c r="P415" s="118">
        <f>IF($K415="","",MAX($K$5:K415))</f>
        <v>2832.4399999999996</v>
      </c>
      <c r="Q415" s="117">
        <f>IF($K415="","",K415-P415)</f>
        <v>-59.420000000000073</v>
      </c>
      <c r="R415" s="2"/>
      <c r="S415" s="2">
        <f>IF(OR($A415="",$F415=""),"",IF($I415="Pendiente","",ROUND($G415*($F415*0.609-1),2)))</f>
        <v>-1.68</v>
      </c>
      <c r="T415" s="2">
        <f>IF($A415="","",IFERROR(SUM($S$5:S415),0))</f>
        <v>619.04999999999984</v>
      </c>
    </row>
    <row r="416" spans="1:20" ht="15" customHeight="1">
      <c r="A416" s="110">
        <v>46216</v>
      </c>
      <c r="B416" s="113" t="s">
        <v>32</v>
      </c>
      <c r="C416" s="156" t="s">
        <v>719</v>
      </c>
      <c r="D416" s="113" t="s">
        <v>76</v>
      </c>
      <c r="E416" s="158" t="s">
        <v>720</v>
      </c>
      <c r="F416" s="115">
        <v>1.5</v>
      </c>
      <c r="G416" s="116">
        <v>27</v>
      </c>
      <c r="H416" s="120" t="s">
        <v>69</v>
      </c>
      <c r="I416" s="120" t="s">
        <v>70</v>
      </c>
      <c r="J416" s="117">
        <f>IF($A416="","",IF($I416="Ganada",ROUND($G416*($F416-1),2),IF($I416="Medio Ganada",ROUND($G416/2*($F416-1),2),IF($I416="Perdida",IF($H416="Free Bet",0,-$G416),IF($I416="Medio Perdida",IF($H416="Free Bet",0,-$G416/2),IF($I416="Reembolso",IF($R416="","",ROUND($R416-$G416,2)),IF($I416="Anulada",0,"")))))))</f>
        <v>13.5</v>
      </c>
      <c r="K416" s="118">
        <f>IF(J416="","",2000+SUM(J$5:J416))</f>
        <v>2786.5199999999995</v>
      </c>
      <c r="L416" s="119">
        <f>IF(OR($I416="Ganada",$I416="Perdida",$I416="Medio Ganada",$I416="Medio Perdida"),IF($G416=0,"",J416/$G416),"")</f>
        <v>0.5</v>
      </c>
      <c r="M416" s="120">
        <f>IF(OR($A416="",$B416=""),"",COUNTIFS($A$5:A416,A416,$B$5:B416,B416))</f>
        <v>2</v>
      </c>
      <c r="N416" s="120">
        <f>IF($A416="","",COUNTA($A$5:$A416))</f>
        <v>412</v>
      </c>
      <c r="O416" s="120">
        <f>IF($A416="","",COUNTA($A$5:$A416))</f>
        <v>412</v>
      </c>
      <c r="P416" s="118">
        <f>IF($K416="","",MAX($K$5:K416))</f>
        <v>2832.4399999999996</v>
      </c>
      <c r="Q416" s="117">
        <f>IF($K416="","",K416-P416)</f>
        <v>-45.920000000000073</v>
      </c>
      <c r="R416" s="2"/>
      <c r="S416" s="2">
        <f>IF(OR($A416="",$F416=""),"",IF($I416="Pendiente","",ROUND($G416*($F416*0.609-1),2)))</f>
        <v>-2.34</v>
      </c>
      <c r="T416" s="2">
        <f>IF($A416="","",IFERROR(SUM($S$5:S416),0))</f>
        <v>616.70999999999981</v>
      </c>
    </row>
    <row r="417" spans="1:20" ht="23.25">
      <c r="A417" s="110">
        <v>46216</v>
      </c>
      <c r="B417" s="113" t="s">
        <v>28</v>
      </c>
      <c r="C417" s="156" t="s">
        <v>721</v>
      </c>
      <c r="D417" s="113" t="s">
        <v>76</v>
      </c>
      <c r="E417" s="106" t="s">
        <v>123</v>
      </c>
      <c r="F417" s="115">
        <v>1.66</v>
      </c>
      <c r="G417" s="116">
        <v>27</v>
      </c>
      <c r="H417" s="120" t="s">
        <v>69</v>
      </c>
      <c r="I417" s="120" t="s">
        <v>70</v>
      </c>
      <c r="J417" s="117">
        <f>IF($A417="","",IF($I417="Ganada",ROUND($G417*($F417-1),2),IF($I417="Medio Ganada",ROUND($G417/2*($F417-1),2),IF($I417="Perdida",IF($H417="Free Bet",0,-$G417),IF($I417="Medio Perdida",IF($H417="Free Bet",0,-$G417/2),IF($I417="Reembolso",IF($R417="","",ROUND($R417-$G417,2)),IF($I417="Anulada",0,"")))))))</f>
        <v>17.82</v>
      </c>
      <c r="K417" s="118">
        <f>IF(J417="","",2000+SUM(J$5:J417))</f>
        <v>2804.3399999999997</v>
      </c>
      <c r="L417" s="119">
        <f>IF(OR($I417="Ganada",$I417="Perdida",$I417="Medio Ganada",$I417="Medio Perdida"),IF($G417=0,"",J417/$G417),"")</f>
        <v>0.66</v>
      </c>
      <c r="M417" s="120">
        <f>IF(OR($A417="",$B417=""),"",COUNTIFS($A$5:A417,A417,$B$5:B417,B417))</f>
        <v>1</v>
      </c>
      <c r="N417" s="120">
        <f>IF($A417="","",COUNTA($A$5:$A417))</f>
        <v>413</v>
      </c>
      <c r="O417" s="120">
        <f>IF($A417="","",COUNTA($A$5:$A417))</f>
        <v>413</v>
      </c>
      <c r="P417" s="118">
        <f>IF($K417="","",MAX($K$5:K417))</f>
        <v>2832.4399999999996</v>
      </c>
      <c r="Q417" s="117">
        <f>IF($K417="","",K417-P417)</f>
        <v>-28.099999999999909</v>
      </c>
      <c r="R417" s="2"/>
      <c r="S417" s="2">
        <f>IF(OR($A417="",$F417=""),"",IF($I417="Pendiente","",ROUND($G417*($F417*0.609-1),2)))</f>
        <v>0.3</v>
      </c>
      <c r="T417" s="2">
        <f>IF($A417="","",IFERROR(SUM($S$5:S417),0))</f>
        <v>617.00999999999976</v>
      </c>
    </row>
    <row r="418" spans="1:20" ht="45.75">
      <c r="A418" s="110">
        <v>46216</v>
      </c>
      <c r="B418" s="113" t="s">
        <v>37</v>
      </c>
      <c r="C418" s="156" t="s">
        <v>722</v>
      </c>
      <c r="D418" s="113" t="s">
        <v>95</v>
      </c>
      <c r="E418" s="106" t="s">
        <v>723</v>
      </c>
      <c r="F418" s="115">
        <v>1.625</v>
      </c>
      <c r="G418" s="116">
        <v>27</v>
      </c>
      <c r="H418" s="120" t="s">
        <v>69</v>
      </c>
      <c r="I418" s="120" t="s">
        <v>75</v>
      </c>
      <c r="J418" s="117">
        <f>IF($A418="","",IF($I418="Ganada",ROUND($G418*($F418-1),2),IF($I418="Medio Ganada",ROUND($G418/2*($F418-1),2),IF($I418="Perdida",IF($H418="Free Bet",0,-$G418),IF($I418="Medio Perdida",IF($H418="Free Bet",0,-$G418/2),IF($I418="Reembolso",IF($R418="","",ROUND($R418-$G418,2)),IF($I418="Anulada",0,"")))))))</f>
        <v>-27</v>
      </c>
      <c r="K418" s="118">
        <f>IF(J418="","",2000+SUM(J$5:J418))</f>
        <v>2777.3399999999997</v>
      </c>
      <c r="L418" s="119">
        <f>IF(OR($I418="Ganada",$I418="Perdida",$I418="Medio Ganada",$I418="Medio Perdida"),IF($G418=0,"",J418/$G418),"")</f>
        <v>-1</v>
      </c>
      <c r="M418" s="120">
        <f>IF(OR($A418="",$B418=""),"",COUNTIFS($A$5:A418,A418,$B$5:B418,B418))</f>
        <v>2</v>
      </c>
      <c r="N418" s="120">
        <f>IF($A418="","",COUNTA($A$5:$A418))</f>
        <v>414</v>
      </c>
      <c r="O418" s="120">
        <f>IF($A418="","",COUNTA($A$5:$A418))</f>
        <v>414</v>
      </c>
      <c r="P418" s="118">
        <f>IF($K418="","",MAX($K$5:K418))</f>
        <v>2832.4399999999996</v>
      </c>
      <c r="Q418" s="117">
        <f>IF($K418="","",K418-P418)</f>
        <v>-55.099999999999909</v>
      </c>
      <c r="R418" s="2"/>
      <c r="S418" s="2">
        <f>IF(OR($A418="",$F418=""),"",IF($I418="Pendiente","",ROUND($G418*($F418*0.609-1),2)))</f>
        <v>-0.28000000000000003</v>
      </c>
      <c r="T418" s="2">
        <f>IF($A418="","",IFERROR(SUM($S$5:S418),0))</f>
        <v>616.72999999999979</v>
      </c>
    </row>
    <row r="419" spans="1:20">
      <c r="A419" s="110">
        <v>46216</v>
      </c>
      <c r="B419" s="113" t="s">
        <v>32</v>
      </c>
      <c r="C419" s="156" t="s">
        <v>724</v>
      </c>
      <c r="D419" s="113" t="s">
        <v>76</v>
      </c>
      <c r="E419" s="106" t="s">
        <v>405</v>
      </c>
      <c r="F419" s="115">
        <v>1.5329999999999999</v>
      </c>
      <c r="G419" s="116">
        <v>27</v>
      </c>
      <c r="H419" s="120" t="s">
        <v>69</v>
      </c>
      <c r="I419" s="120" t="s">
        <v>75</v>
      </c>
      <c r="J419" s="117">
        <f>IF($A419="","",IF($I419="Ganada",ROUND($G419*($F419-1),2),IF($I419="Medio Ganada",ROUND($G419/2*($F419-1),2),IF($I419="Perdida",IF($H419="Free Bet",0,-$G419),IF($I419="Medio Perdida",IF($H419="Free Bet",0,-$G419/2),IF($I419="Reembolso",IF($R419="","",ROUND($R419-$G419,2)),IF($I419="Anulada",0,"")))))))</f>
        <v>-27</v>
      </c>
      <c r="K419" s="118">
        <f>IF(J419="","",2000+SUM(J$5:J419))</f>
        <v>2750.3399999999997</v>
      </c>
      <c r="L419" s="119">
        <f>IF(OR($I419="Ganada",$I419="Perdida",$I419="Medio Ganada",$I419="Medio Perdida"),IF($G419=0,"",J419/$G419),"")</f>
        <v>-1</v>
      </c>
      <c r="M419" s="120">
        <f>IF(OR($A419="",$B419=""),"",COUNTIFS($A$5:A419,A419,$B$5:B419,B419))</f>
        <v>3</v>
      </c>
      <c r="N419" s="120">
        <f>IF($A419="","",COUNTA($A$5:$A419))</f>
        <v>415</v>
      </c>
      <c r="O419" s="120">
        <f>IF($A419="","",COUNTA($A$5:$A419))</f>
        <v>415</v>
      </c>
      <c r="P419" s="118">
        <f>IF($K419="","",MAX($K$5:K419))</f>
        <v>2832.4399999999996</v>
      </c>
      <c r="Q419" s="117">
        <f>IF($K419="","",K419-P419)</f>
        <v>-82.099999999999909</v>
      </c>
      <c r="R419" s="2"/>
      <c r="S419" s="2">
        <f>IF(OR($A419="",$F419=""),"",IF($I419="Pendiente","",ROUND($G419*($F419*0.609-1),2)))</f>
        <v>-1.79</v>
      </c>
      <c r="T419" s="2">
        <f>IF($A419="","",IFERROR(SUM($S$5:S419),0))</f>
        <v>614.93999999999983</v>
      </c>
    </row>
    <row r="420" spans="1:20">
      <c r="A420" s="110">
        <v>46216</v>
      </c>
      <c r="B420" s="113" t="s">
        <v>28</v>
      </c>
      <c r="C420" s="154" t="s">
        <v>725</v>
      </c>
      <c r="D420" s="113" t="s">
        <v>76</v>
      </c>
      <c r="E420" s="106" t="s">
        <v>134</v>
      </c>
      <c r="F420" s="115">
        <v>1.66</v>
      </c>
      <c r="G420" s="116">
        <v>27</v>
      </c>
      <c r="H420" s="120" t="s">
        <v>69</v>
      </c>
      <c r="I420" s="120" t="s">
        <v>70</v>
      </c>
      <c r="J420" s="117">
        <f>IF($A420="","",IF($I420="Ganada",ROUND($G420*($F420-1),2),IF($I420="Medio Ganada",ROUND($G420/2*($F420-1),2),IF($I420="Perdida",IF($H420="Free Bet",0,-$G420),IF($I420="Medio Perdida",IF($H420="Free Bet",0,-$G420/2),IF($I420="Reembolso",IF($R420="","",ROUND($R420-$G420,2)),IF($I420="Anulada",0,"")))))))</f>
        <v>17.82</v>
      </c>
      <c r="K420" s="118">
        <f>IF(J420="","",2000+SUM(J$5:J420))</f>
        <v>2768.16</v>
      </c>
      <c r="L420" s="119">
        <f>IF(OR($I420="Ganada",$I420="Perdida",$I420="Medio Ganada",$I420="Medio Perdida"),IF($G420=0,"",J420/$G420),"")</f>
        <v>0.66</v>
      </c>
      <c r="M420" s="120">
        <f>IF(OR($A420="",$B420=""),"",COUNTIFS($A$5:A420,A420,$B$5:B420,B420))</f>
        <v>2</v>
      </c>
      <c r="N420" s="120">
        <f>IF($A420="","",COUNTA($A$5:$A420))</f>
        <v>416</v>
      </c>
      <c r="O420" s="120">
        <f>IF($A420="","",COUNTA($A$5:$A420))</f>
        <v>416</v>
      </c>
      <c r="P420" s="118">
        <f>IF($K420="","",MAX($K$5:K420))</f>
        <v>2832.4399999999996</v>
      </c>
      <c r="Q420" s="117">
        <f>IF($K420="","",K420-P420)</f>
        <v>-64.279999999999745</v>
      </c>
      <c r="R420" s="2"/>
      <c r="S420" s="2">
        <f>IF(OR($A420="",$F420=""),"",IF($I420="Pendiente","",ROUND($G420*($F420*0.609-1),2)))</f>
        <v>0.3</v>
      </c>
      <c r="T420" s="2">
        <f>IF($A420="","",IFERROR(SUM($S$5:S420),0))</f>
        <v>615.23999999999978</v>
      </c>
    </row>
    <row r="421" spans="1:20">
      <c r="A421" s="110">
        <v>46216</v>
      </c>
      <c r="B421" s="113" t="s">
        <v>28</v>
      </c>
      <c r="C421" s="156" t="s">
        <v>726</v>
      </c>
      <c r="D421" s="113" t="s">
        <v>67</v>
      </c>
      <c r="E421" s="106" t="s">
        <v>727</v>
      </c>
      <c r="F421" s="115">
        <v>1.76</v>
      </c>
      <c r="G421" s="116">
        <v>27</v>
      </c>
      <c r="H421" s="120" t="s">
        <v>69</v>
      </c>
      <c r="I421" s="120" t="s">
        <v>70</v>
      </c>
      <c r="J421" s="117">
        <f>IF($A421="","",IF($I421="Ganada",ROUND($G421*($F421-1),2),IF($I421="Medio Ganada",ROUND($G421/2*($F421-1),2),IF($I421="Perdida",IF($H421="Free Bet",0,-$G421),IF($I421="Medio Perdida",IF($H421="Free Bet",0,-$G421/2),IF($I421="Reembolso",IF($R421="","",ROUND($R421-$G421,2)),IF($I421="Anulada",0,"")))))))</f>
        <v>20.52</v>
      </c>
      <c r="K421" s="118">
        <f>IF(J421="","",2000+SUM(J$5:J421))</f>
        <v>2788.68</v>
      </c>
      <c r="L421" s="119">
        <f>IF(OR($I421="Ganada",$I421="Perdida",$I421="Medio Ganada",$I421="Medio Perdida"),IF($G421=0,"",J421/$G421),"")</f>
        <v>0.76</v>
      </c>
      <c r="M421" s="120">
        <f>IF(OR($A421="",$B421=""),"",COUNTIFS($A$5:A421,A421,$B$5:B421,B421))</f>
        <v>3</v>
      </c>
      <c r="N421" s="120">
        <f>IF($A421="","",COUNTA($A$5:$A421))</f>
        <v>417</v>
      </c>
      <c r="O421" s="120">
        <f>IF($A421="","",COUNTA($A$5:$A421))</f>
        <v>417</v>
      </c>
      <c r="P421" s="118">
        <f>IF($K421="","",MAX($K$5:K421))</f>
        <v>2832.4399999999996</v>
      </c>
      <c r="Q421" s="117">
        <f>IF($K421="","",K421-P421)</f>
        <v>-43.759999999999764</v>
      </c>
      <c r="R421" s="2"/>
      <c r="S421" s="2">
        <f>IF(OR($A421="",$F421=""),"",IF($I421="Pendiente","",ROUND($G421*($F421*0.609-1),2)))</f>
        <v>1.94</v>
      </c>
      <c r="T421" s="2">
        <f>IF($A421="","",IFERROR(SUM($S$5:S421),0))</f>
        <v>617.17999999999984</v>
      </c>
    </row>
    <row r="422" spans="1:20">
      <c r="A422" s="110">
        <v>46216</v>
      </c>
      <c r="B422" s="113" t="s">
        <v>28</v>
      </c>
      <c r="C422" s="156" t="s">
        <v>728</v>
      </c>
      <c r="D422" s="113" t="s">
        <v>76</v>
      </c>
      <c r="E422" s="106" t="s">
        <v>729</v>
      </c>
      <c r="F422" s="115">
        <v>1.64</v>
      </c>
      <c r="G422" s="116">
        <v>34</v>
      </c>
      <c r="H422" s="120" t="s">
        <v>69</v>
      </c>
      <c r="I422" s="120" t="s">
        <v>70</v>
      </c>
      <c r="J422" s="117">
        <f>IF($A422="","",IF($I422="Ganada",ROUND($G422*($F422-1),2),IF($I422="Medio Ganada",ROUND($G422/2*($F422-1),2),IF($I422="Perdida",IF($H422="Free Bet",0,-$G422),IF($I422="Medio Perdida",IF($H422="Free Bet",0,-$G422/2),IF($I422="Reembolso",IF($R422="","",ROUND($R422-$G422,2)),IF($I422="Anulada",0,"")))))))</f>
        <v>21.76</v>
      </c>
      <c r="K422" s="118">
        <f>IF(J422="","",2000+SUM(J$5:J422))</f>
        <v>2810.4399999999996</v>
      </c>
      <c r="L422" s="119">
        <f>IF(OR($I422="Ganada",$I422="Perdida",$I422="Medio Ganada",$I422="Medio Perdida"),IF($G422=0,"",J422/$G422),"")</f>
        <v>0.64</v>
      </c>
      <c r="M422" s="120">
        <f>IF(OR($A422="",$B422=""),"",COUNTIFS($A$5:A422,A422,$B$5:B422,B422))</f>
        <v>4</v>
      </c>
      <c r="N422" s="120">
        <f>IF($A422="","",COUNTA($A$5:$A422))</f>
        <v>418</v>
      </c>
      <c r="O422" s="120">
        <f>IF($A422="","",COUNTA($A$5:$A422))</f>
        <v>418</v>
      </c>
      <c r="P422" s="118">
        <f>IF($K422="","",MAX($K$5:K422))</f>
        <v>2832.4399999999996</v>
      </c>
      <c r="Q422" s="117">
        <f>IF($K422="","",K422-P422)</f>
        <v>-22</v>
      </c>
      <c r="R422" s="2"/>
      <c r="S422" s="2">
        <f>IF(OR($A422="",$F422=""),"",IF($I422="Pendiente","",ROUND($G422*($F422*0.609-1),2)))</f>
        <v>-0.04</v>
      </c>
      <c r="T422" s="2">
        <f>IF($A422="","",IFERROR(SUM($S$5:S422),0))</f>
        <v>617.13999999999987</v>
      </c>
    </row>
    <row r="423" spans="1:20" ht="15" customHeight="1">
      <c r="A423" s="110">
        <v>46216</v>
      </c>
      <c r="B423" s="113" t="s">
        <v>32</v>
      </c>
      <c r="C423" s="156" t="s">
        <v>730</v>
      </c>
      <c r="D423" s="113" t="s">
        <v>95</v>
      </c>
      <c r="E423" s="158" t="s">
        <v>731</v>
      </c>
      <c r="F423" s="115">
        <v>2.1</v>
      </c>
      <c r="G423" s="116">
        <v>20</v>
      </c>
      <c r="H423" s="120" t="s">
        <v>69</v>
      </c>
      <c r="I423" s="120" t="s">
        <v>75</v>
      </c>
      <c r="J423" s="117">
        <f>IF($A423="","",IF($I423="Ganada",ROUND($G423*($F423-1),2),IF($I423="Medio Ganada",ROUND($G423/2*($F423-1),2),IF($I423="Perdida",IF($H423="Free Bet",0,-$G423),IF($I423="Medio Perdida",IF($H423="Free Bet",0,-$G423/2),IF($I423="Reembolso",IF($R423="","",ROUND($R423-$G423,2)),IF($I423="Anulada",0,"")))))))</f>
        <v>-20</v>
      </c>
      <c r="K423" s="118">
        <f>IF(J423="","",2000+SUM(J$5:J423))</f>
        <v>2790.4399999999996</v>
      </c>
      <c r="L423" s="119">
        <f>IF(OR($I423="Ganada",$I423="Perdida",$I423="Medio Ganada",$I423="Medio Perdida"),IF($G423=0,"",J423/$G423),"")</f>
        <v>-1</v>
      </c>
      <c r="M423" s="120">
        <f>IF(OR($A423="",$B423=""),"",COUNTIFS($A$5:A423,A423,$B$5:B423,B423))</f>
        <v>4</v>
      </c>
      <c r="N423" s="120">
        <f>IF($A423="","",COUNTA($A$5:$A423))</f>
        <v>419</v>
      </c>
      <c r="O423" s="120">
        <f>IF($A423="","",COUNTA($A$5:$A423))</f>
        <v>419</v>
      </c>
      <c r="P423" s="118">
        <f>IF($K423="","",MAX($K$5:K423))</f>
        <v>2832.4399999999996</v>
      </c>
      <c r="Q423" s="117">
        <f>IF($K423="","",K423-P423)</f>
        <v>-42</v>
      </c>
      <c r="R423" s="2"/>
      <c r="S423" s="2">
        <f>IF(OR($A423="",$F423=""),"",IF($I423="Pendiente","",ROUND($G423*($F423*0.609-1),2)))</f>
        <v>5.58</v>
      </c>
      <c r="T423" s="2">
        <f>IF($A423="","",IFERROR(SUM($S$5:S423),0))</f>
        <v>622.71999999999991</v>
      </c>
    </row>
    <row r="424" spans="1:20" ht="15" customHeight="1">
      <c r="A424" s="110">
        <v>46216</v>
      </c>
      <c r="B424" s="113" t="s">
        <v>28</v>
      </c>
      <c r="C424" s="168" t="s">
        <v>732</v>
      </c>
      <c r="D424" s="113" t="s">
        <v>67</v>
      </c>
      <c r="E424" s="106" t="s">
        <v>733</v>
      </c>
      <c r="F424" s="115">
        <v>1.74</v>
      </c>
      <c r="G424" s="116">
        <v>34</v>
      </c>
      <c r="H424" s="120" t="s">
        <v>69</v>
      </c>
      <c r="I424" s="120" t="s">
        <v>70</v>
      </c>
      <c r="J424" s="117">
        <f>IF($A424="","",IF($I424="Ganada",ROUND($G424*($F424-1),2),IF($I424="Medio Ganada",ROUND($G424/2*($F424-1),2),IF($I424="Perdida",IF($H424="Free Bet",0,-$G424),IF($I424="Medio Perdida",IF($H424="Free Bet",0,-$G424/2),IF($I424="Reembolso",IF($R424="","",ROUND($R424-$G424,2)),IF($I424="Anulada",0,"")))))))</f>
        <v>25.16</v>
      </c>
      <c r="K424" s="118">
        <f>IF(J424="","",2000+SUM(J$5:J424))</f>
        <v>2815.6</v>
      </c>
      <c r="L424" s="119">
        <f>IF(OR($I424="Ganada",$I424="Perdida",$I424="Medio Ganada",$I424="Medio Perdida"),IF($G424=0,"",J424/$G424),"")</f>
        <v>0.74</v>
      </c>
      <c r="M424" s="120">
        <f>IF(OR($A424="",$B424=""),"",COUNTIFS($A$5:A424,A424,$B$5:B424,B424))</f>
        <v>5</v>
      </c>
      <c r="N424" s="120">
        <f>IF($A424="","",COUNTA($A$5:$A424))</f>
        <v>420</v>
      </c>
      <c r="O424" s="120">
        <f>IF($A424="","",COUNTA($A$5:$A424))</f>
        <v>420</v>
      </c>
      <c r="P424" s="118">
        <f>IF($K424="","",MAX($K$5:K424))</f>
        <v>2832.4399999999996</v>
      </c>
      <c r="Q424" s="117">
        <f>IF($K424="","",K424-P424)</f>
        <v>-16.839999999999691</v>
      </c>
      <c r="R424" s="2"/>
      <c r="S424" s="2">
        <f>IF(OR($A424="",$F424=""),"",IF($I424="Pendiente","",ROUND($G424*($F424*0.609-1),2)))</f>
        <v>2.0299999999999998</v>
      </c>
      <c r="T424" s="2">
        <f>IF($A424="","",IFERROR(SUM($S$5:S424),0))</f>
        <v>624.74999999999989</v>
      </c>
    </row>
    <row r="425" spans="1:20" ht="23.25">
      <c r="A425" s="110">
        <v>46217</v>
      </c>
      <c r="B425" s="113" t="s">
        <v>37</v>
      </c>
      <c r="C425" s="156" t="s">
        <v>734</v>
      </c>
      <c r="D425" s="113" t="s">
        <v>76</v>
      </c>
      <c r="E425" s="106" t="s">
        <v>546</v>
      </c>
      <c r="F425" s="115">
        <v>2.65</v>
      </c>
      <c r="G425" s="116">
        <v>14</v>
      </c>
      <c r="H425" s="120" t="s">
        <v>69</v>
      </c>
      <c r="I425" s="120" t="s">
        <v>75</v>
      </c>
      <c r="J425" s="117">
        <f>IF($A425="","",IF($I425="Ganada",ROUND($G425*($F425-1),2),IF($I425="Medio Ganada",ROUND($G425/2*($F425-1),2),IF($I425="Perdida",IF($H425="Free Bet",0,-$G425),IF($I425="Medio Perdida",IF($H425="Free Bet",0,-$G425/2),IF($I425="Reembolso",IF($R425="","",ROUND($R425-$G425,2)),IF($I425="Anulada",0,"")))))))</f>
        <v>-14</v>
      </c>
      <c r="K425" s="118">
        <f>IF(J425="","",2000+SUM(J$5:J425))</f>
        <v>2801.6</v>
      </c>
      <c r="L425" s="119">
        <f>IF(OR($I425="Ganada",$I425="Perdida",$I425="Medio Ganada",$I425="Medio Perdida"),IF($G425=0,"",J425/$G425),"")</f>
        <v>-1</v>
      </c>
      <c r="M425" s="120">
        <f>IF(OR($A425="",$B425=""),"",COUNTIFS($A$5:A425,A425,$B$5:B425,B425))</f>
        <v>1</v>
      </c>
      <c r="N425" s="120">
        <f>IF($A425="","",COUNTA($A$5:$A425))</f>
        <v>421</v>
      </c>
      <c r="O425" s="120">
        <f>IF($A425="","",COUNTA($A$5:$A425))</f>
        <v>421</v>
      </c>
      <c r="P425" s="118">
        <f>IF($K425="","",MAX($K$5:K425))</f>
        <v>2832.4399999999996</v>
      </c>
      <c r="Q425" s="117">
        <f>IF($K425="","",K425-P425)</f>
        <v>-30.839999999999691</v>
      </c>
      <c r="R425" s="2"/>
      <c r="S425" s="2">
        <f>IF(OR($A425="",$F425=""),"",IF($I425="Pendiente","",ROUND($G425*($F425*0.609-1),2)))</f>
        <v>8.59</v>
      </c>
      <c r="T425" s="2">
        <f>IF($A425="","",IFERROR(SUM($S$5:S425),0))</f>
        <v>633.33999999999992</v>
      </c>
    </row>
    <row r="426" spans="1:20">
      <c r="A426" s="110">
        <v>46217</v>
      </c>
      <c r="B426" s="113" t="s">
        <v>34</v>
      </c>
      <c r="C426" s="168" t="s">
        <v>110</v>
      </c>
      <c r="D426" s="113" t="s">
        <v>76</v>
      </c>
      <c r="E426" s="158" t="s">
        <v>735</v>
      </c>
      <c r="F426" s="115">
        <v>1.63</v>
      </c>
      <c r="G426" s="116">
        <v>27</v>
      </c>
      <c r="H426" s="120" t="s">
        <v>69</v>
      </c>
      <c r="I426" s="120" t="s">
        <v>70</v>
      </c>
      <c r="J426" s="117">
        <f>IF($A426="","",IF($I426="Ganada",ROUND($G426*($F426-1),2),IF($I426="Medio Ganada",ROUND($G426/2*($F426-1),2),IF($I426="Perdida",IF($H426="Free Bet",0,-$G426),IF($I426="Medio Perdida",IF($H426="Free Bet",0,-$G426/2),IF($I426="Reembolso",IF($R426="","",ROUND($R426-$G426,2)),IF($I426="Anulada",0,"")))))))</f>
        <v>17.010000000000002</v>
      </c>
      <c r="K426" s="118">
        <f>IF(J426="","",2000+SUM(J$5:J426))</f>
        <v>2818.6099999999997</v>
      </c>
      <c r="L426" s="119">
        <f>IF(OR($I426="Ganada",$I426="Perdida",$I426="Medio Ganada",$I426="Medio Perdida"),IF($G426=0,"",J426/$G426),"")</f>
        <v>0.63</v>
      </c>
      <c r="M426" s="120">
        <f>IF(OR($A426="",$B426=""),"",COUNTIFS($A$5:A426,A426,$B$5:B426,B426))</f>
        <v>1</v>
      </c>
      <c r="N426" s="120">
        <f>IF($A426="","",COUNTA($A$5:$A426))</f>
        <v>422</v>
      </c>
      <c r="O426" s="120">
        <f>IF($A426="","",COUNTA($A$5:$A426))</f>
        <v>422</v>
      </c>
      <c r="P426" s="118">
        <f>IF($K426="","",MAX($K$5:K426))</f>
        <v>2832.4399999999996</v>
      </c>
      <c r="Q426" s="117">
        <f>IF($K426="","",K426-P426)</f>
        <v>-13.829999999999927</v>
      </c>
      <c r="R426" s="2"/>
      <c r="S426" s="2">
        <f>IF(OR($A426="",$F426=""),"",IF($I426="Pendiente","",ROUND($G426*($F426*0.609-1),2)))</f>
        <v>-0.2</v>
      </c>
      <c r="T426" s="2">
        <f>IF($A426="","",IFERROR(SUM($S$5:S426),0))</f>
        <v>633.13999999999987</v>
      </c>
    </row>
    <row r="427" spans="1:20">
      <c r="A427" s="165">
        <v>46217</v>
      </c>
      <c r="B427" s="113" t="s">
        <v>30</v>
      </c>
      <c r="C427" s="156" t="s">
        <v>736</v>
      </c>
      <c r="D427" s="113" t="s">
        <v>67</v>
      </c>
      <c r="E427" s="172" t="s">
        <v>110</v>
      </c>
      <c r="F427" s="115">
        <v>1.78</v>
      </c>
      <c r="G427" s="116">
        <v>27</v>
      </c>
      <c r="H427" s="120" t="s">
        <v>69</v>
      </c>
      <c r="I427" s="120" t="s">
        <v>75</v>
      </c>
      <c r="J427" s="117">
        <f>IF($E427="","",IF($I427="Ganada",ROUND($G427*($F427-1),2),IF($I427="Medio Ganada",ROUND($G427/2*($F427-1),2),IF($I427="Perdida",IF($H427="Free Bet",0,-$G427),IF($I427="Medio Perdida",IF($H427="Free Bet",0,-$G427/2),IF($I427="Reembolso",IF($R427="","",ROUND($R427-$G427,2)),IF($I427="Anulada",0,"")))))))</f>
        <v>-27</v>
      </c>
      <c r="K427" s="118">
        <f>IF(J427="","",2000+SUM(J$5:J427))</f>
        <v>2791.6099999999997</v>
      </c>
      <c r="L427" s="119">
        <f>IF(OR($I427="Ganada",$I427="Perdida",$I427="Medio Ganada",$I427="Medio Perdida"),IF($G427=0,"",J427/$G427),"")</f>
        <v>-1</v>
      </c>
      <c r="M427" s="120">
        <f>IF(OR($E427="",$B427=""),"",COUNTIFS($A$5:A427,E427,$B$5:B427,B427))</f>
        <v>0</v>
      </c>
      <c r="N427" s="120">
        <f>IF($E427="","",COUNTA($A$5:$A427))</f>
        <v>423</v>
      </c>
      <c r="O427" s="120">
        <f>IF($E427="","",COUNTA($A$5:$A427))</f>
        <v>423</v>
      </c>
      <c r="P427" s="118">
        <f>IF($K427="","",MAX($K$5:K427))</f>
        <v>2832.4399999999996</v>
      </c>
      <c r="Q427" s="117">
        <f>IF($K427="","",K427-P427)</f>
        <v>-40.829999999999927</v>
      </c>
      <c r="R427" s="2"/>
      <c r="S427" s="2">
        <f>IF(OR($E427="",$F427=""),"",IF($I427="Pendiente","",ROUND($G427*($F427*0.609-1),2)))</f>
        <v>2.27</v>
      </c>
      <c r="T427" s="2">
        <f>IF($E427="","",IFERROR(SUM($S$5:S427),0))</f>
        <v>635.40999999999985</v>
      </c>
    </row>
    <row r="428" spans="1:20">
      <c r="A428" s="110">
        <v>46217</v>
      </c>
      <c r="B428" s="113" t="s">
        <v>34</v>
      </c>
      <c r="C428" s="154" t="s">
        <v>737</v>
      </c>
      <c r="D428" s="113" t="s">
        <v>76</v>
      </c>
      <c r="E428" s="158" t="s">
        <v>477</v>
      </c>
      <c r="F428" s="115">
        <v>1.4</v>
      </c>
      <c r="G428" s="116">
        <v>27</v>
      </c>
      <c r="H428" s="120" t="s">
        <v>69</v>
      </c>
      <c r="I428" s="120" t="s">
        <v>70</v>
      </c>
      <c r="J428" s="117">
        <f>IF($A428="","",IF($I428="Ganada",ROUND($G428*($F428-1),2),IF($I428="Medio Ganada",ROUND($G428/2*($F428-1),2),IF($I428="Perdida",IF($H428="Free Bet",0,-$G428),IF($I428="Medio Perdida",IF($H428="Free Bet",0,-$G428/2),IF($I428="Reembolso",IF($R428="","",ROUND($R428-$G428,2)),IF($I428="Anulada",0,"")))))))</f>
        <v>10.8</v>
      </c>
      <c r="K428" s="118">
        <f>IF(J428="","",2000+SUM(J$5:J428))</f>
        <v>2802.41</v>
      </c>
      <c r="L428" s="119">
        <f>IF(OR($I428="Ganada",$I428="Perdida",$I428="Medio Ganada",$I428="Medio Perdida"),IF($G428=0,"",J428/$G428),"")</f>
        <v>0.4</v>
      </c>
      <c r="M428" s="120">
        <f>IF(OR($A428="",$B428=""),"",COUNTIFS($A$5:A428,A428,$B$5:B428,B428))</f>
        <v>2</v>
      </c>
      <c r="N428" s="120">
        <f>IF($A428="","",COUNTA($A$5:$A428))</f>
        <v>424</v>
      </c>
      <c r="O428" s="120">
        <f>IF($A428="","",COUNTA($A$5:$A428))</f>
        <v>424</v>
      </c>
      <c r="P428" s="118">
        <f>IF($K428="","",MAX($K$5:K428))</f>
        <v>2832.4399999999996</v>
      </c>
      <c r="Q428" s="117">
        <f>IF($K428="","",K428-P428)</f>
        <v>-30.029999999999745</v>
      </c>
      <c r="R428" s="2"/>
      <c r="S428" s="2">
        <f>IF(OR($A428="",$F428=""),"",IF($I428="Pendiente","",ROUND($G428*($F428*0.609-1),2)))</f>
        <v>-3.98</v>
      </c>
      <c r="T428" s="2">
        <f>IF($A428="","",IFERROR(SUM($S$5:S428),0))</f>
        <v>631.42999999999984</v>
      </c>
    </row>
    <row r="429" spans="1:20">
      <c r="A429" s="110">
        <v>46217</v>
      </c>
      <c r="B429" s="113" t="s">
        <v>30</v>
      </c>
      <c r="C429" s="154" t="s">
        <v>738</v>
      </c>
      <c r="D429" s="113" t="s">
        <v>76</v>
      </c>
      <c r="E429" s="106">
        <v>1</v>
      </c>
      <c r="F429" s="115">
        <v>1.76</v>
      </c>
      <c r="G429" s="116">
        <v>27</v>
      </c>
      <c r="H429" s="120" t="s">
        <v>69</v>
      </c>
      <c r="I429" s="120" t="s">
        <v>75</v>
      </c>
      <c r="J429" s="117">
        <f>IF($A429="","",IF($I429="Ganada",ROUND($G429*($F429-1),2),IF($I429="Medio Ganada",ROUND($G429/2*($F429-1),2),IF($I429="Perdida",IF($H429="Free Bet",0,-$G429),IF($I429="Medio Perdida",IF($H429="Free Bet",0,-$G429/2),IF($I429="Reembolso",IF($R429="","",ROUND($R429-$G429,2)),IF($I429="Anulada",0,"")))))))</f>
        <v>-27</v>
      </c>
      <c r="K429" s="118">
        <f>IF(J429="","",2000+SUM(J$5:J429))</f>
        <v>2775.41</v>
      </c>
      <c r="L429" s="119">
        <f>IF(OR($I429="Ganada",$I429="Perdida",$I429="Medio Ganada",$I429="Medio Perdida"),IF($G429=0,"",J429/$G429),"")</f>
        <v>-1</v>
      </c>
      <c r="M429" s="120">
        <f>IF(OR($A429="",$B429=""),"",COUNTIFS($A$5:A429,A429,$B$5:B429,B429))</f>
        <v>2</v>
      </c>
      <c r="N429" s="120">
        <f>IF($A429="","",COUNTA($A$5:$A429))</f>
        <v>425</v>
      </c>
      <c r="O429" s="120">
        <f>IF($A429="","",COUNTA($A$5:$A429))</f>
        <v>425</v>
      </c>
      <c r="P429" s="118">
        <f>IF($K429="","",MAX($K$5:K429))</f>
        <v>2832.4399999999996</v>
      </c>
      <c r="Q429" s="117">
        <f>IF($K429="","",K429-P429)</f>
        <v>-57.029999999999745</v>
      </c>
      <c r="R429" s="2"/>
      <c r="S429" s="2">
        <f>IF(OR($A429="",$F429=""),"",IF($I429="Pendiente","",ROUND($G429*($F429*0.609-1),2)))</f>
        <v>1.94</v>
      </c>
      <c r="T429" s="2">
        <f>IF($A429="","",IFERROR(SUM($S$5:S429),0))</f>
        <v>633.36999999999989</v>
      </c>
    </row>
    <row r="430" spans="1:20" ht="27.75">
      <c r="A430" s="110">
        <v>46217</v>
      </c>
      <c r="B430" s="113" t="s">
        <v>30</v>
      </c>
      <c r="C430" s="168" t="s">
        <v>739</v>
      </c>
      <c r="D430" s="113" t="s">
        <v>67</v>
      </c>
      <c r="E430" s="158" t="s">
        <v>263</v>
      </c>
      <c r="F430" s="115">
        <v>1.86</v>
      </c>
      <c r="G430" s="116">
        <v>20</v>
      </c>
      <c r="H430" s="120" t="s">
        <v>69</v>
      </c>
      <c r="I430" s="120" t="s">
        <v>75</v>
      </c>
      <c r="J430" s="117">
        <f>IF($A430="","",IF($I430="Ganada",ROUND($G430*($F430-1),2),IF($I430="Medio Ganada",ROUND($G430/2*($F430-1),2),IF($I430="Perdida",IF($H430="Free Bet",0,-$G430),IF($I430="Medio Perdida",IF($H430="Free Bet",0,-$G430/2),IF($I430="Reembolso",IF($R430="","",ROUND($R430-$G430,2)),IF($I430="Anulada",0,"")))))))</f>
        <v>-20</v>
      </c>
      <c r="K430" s="118">
        <f>IF(J430="","",2000+SUM(J$5:J430))</f>
        <v>2755.41</v>
      </c>
      <c r="L430" s="119">
        <f>IF(OR($I430="Ganada",$I430="Perdida",$I430="Medio Ganada",$I430="Medio Perdida"),IF($G430=0,"",J430/$G430),"")</f>
        <v>-1</v>
      </c>
      <c r="M430" s="120">
        <f>IF(OR($A430="",$B430=""),"",COUNTIFS($A$5:A430,A430,$B$5:B430,B430))</f>
        <v>3</v>
      </c>
      <c r="N430" s="120">
        <f>IF($A430="","",COUNTA($A$5:$A430))</f>
        <v>426</v>
      </c>
      <c r="O430" s="120">
        <f>IF($A430="","",COUNTA($A$5:$A430))</f>
        <v>426</v>
      </c>
      <c r="P430" s="118">
        <f>IF($K430="","",MAX($K$5:K430))</f>
        <v>2832.4399999999996</v>
      </c>
      <c r="Q430" s="117">
        <f>IF($K430="","",K430-P430)</f>
        <v>-77.029999999999745</v>
      </c>
      <c r="R430" s="2"/>
      <c r="S430" s="2">
        <f>IF(OR($A430="",$F430=""),"",IF($I430="Pendiente","",ROUND($G430*($F430*0.609-1),2)))</f>
        <v>2.65</v>
      </c>
      <c r="T430" s="2">
        <f>IF($A430="","",IFERROR(SUM($S$5:S430),0))</f>
        <v>636.01999999999987</v>
      </c>
    </row>
    <row r="431" spans="1:20">
      <c r="A431" s="110">
        <v>46217</v>
      </c>
      <c r="B431" s="113" t="s">
        <v>30</v>
      </c>
      <c r="C431" s="168" t="s">
        <v>737</v>
      </c>
      <c r="D431" s="113" t="s">
        <v>67</v>
      </c>
      <c r="E431" s="106" t="s">
        <v>740</v>
      </c>
      <c r="F431" s="115">
        <v>1.53</v>
      </c>
      <c r="G431" s="116">
        <v>27</v>
      </c>
      <c r="H431" s="120" t="s">
        <v>69</v>
      </c>
      <c r="I431" s="120" t="s">
        <v>70</v>
      </c>
      <c r="J431" s="117">
        <f>IF($A431="","",IF($I431="Ganada",ROUND($G431*($F431-1),2),IF($I431="Medio Ganada",ROUND($G431/2*($F431-1),2),IF($I431="Perdida",IF($H431="Free Bet",0,-$G431),IF($I431="Medio Perdida",IF($H431="Free Bet",0,-$G431/2),IF($I431="Reembolso",IF($R431="","",ROUND($R431-$G431,2)),IF($I431="Anulada",0,"")))))))</f>
        <v>14.31</v>
      </c>
      <c r="K431" s="118">
        <f>IF(J431="","",2000+SUM(J$5:J431))</f>
        <v>2769.72</v>
      </c>
      <c r="L431" s="119">
        <f>IF(OR($I431="Ganada",$I431="Perdida",$I431="Medio Ganada",$I431="Medio Perdida"),IF($G431=0,"",J431/$G431),"")</f>
        <v>0.53</v>
      </c>
      <c r="M431" s="120" t="e">
        <f>IF(OR($A431="",#REF!=""),"",COUNTIFS($A$5:A431,A431,$B$5:B431,#REF!))</f>
        <v>#REF!</v>
      </c>
      <c r="N431" s="120">
        <f>IF($A431="","",COUNTA($A$5:$A431))</f>
        <v>427</v>
      </c>
      <c r="O431" s="120">
        <f>IF($A431="","",COUNTA($A$5:$A431))</f>
        <v>427</v>
      </c>
      <c r="P431" s="118">
        <f>IF($K431="","",MAX($K$5:K431))</f>
        <v>2832.4399999999996</v>
      </c>
      <c r="Q431" s="117">
        <f>IF($K431="","",K431-P431)</f>
        <v>-62.7199999999998</v>
      </c>
      <c r="R431" s="2"/>
      <c r="S431" s="2">
        <f>IF(OR($A431="",$F431=""),"",IF($I431="Pendiente","",ROUND($G431*($F431*0.609-1),2)))</f>
        <v>-1.84</v>
      </c>
      <c r="T431" s="2">
        <f>IF($A431="","",IFERROR(SUM($S$5:S431),0))</f>
        <v>634.17999999999984</v>
      </c>
    </row>
    <row r="432" spans="1:20">
      <c r="A432" s="110">
        <v>46217</v>
      </c>
      <c r="B432" s="113" t="s">
        <v>28</v>
      </c>
      <c r="C432" s="154" t="s">
        <v>741</v>
      </c>
      <c r="D432" s="113" t="s">
        <v>90</v>
      </c>
      <c r="E432" s="106">
        <v>2</v>
      </c>
      <c r="F432" s="115">
        <v>1.58</v>
      </c>
      <c r="G432" s="116">
        <v>34</v>
      </c>
      <c r="H432" s="120" t="s">
        <v>69</v>
      </c>
      <c r="I432" s="120" t="s">
        <v>70</v>
      </c>
      <c r="J432" s="117">
        <f>IF($A432="","",IF($I432="Ganada",ROUND($G432*($F432-1),2),IF($I432="Medio Ganada",ROUND($G432/2*($F432-1),2),IF($I432="Perdida",IF($H432="Free Bet",0,-$G432),IF($I432="Medio Perdida",IF($H432="Free Bet",0,-$G432/2),IF($I432="Reembolso",IF($R432="","",ROUND($R432-$G432,2)),IF($I432="Anulada",0,"")))))))</f>
        <v>19.72</v>
      </c>
      <c r="K432" s="118">
        <f>IF(J432="","",2000+SUM(J$5:J432))</f>
        <v>2789.4399999999996</v>
      </c>
      <c r="L432" s="119">
        <f>IF(OR($I432="Ganada",$I432="Perdida",$I432="Medio Ganada",$I432="Medio Perdida"),IF($G432=0,"",J432/$G432),"")</f>
        <v>0.57999999999999996</v>
      </c>
      <c r="M432" s="120">
        <f>IF(OR($A432="",$B432=""),"",COUNTIFS($A$5:A432,A432,$B$5:B432,B432))</f>
        <v>1</v>
      </c>
      <c r="N432" s="120">
        <f>IF($A432="","",COUNTA($A$5:$A432))</f>
        <v>428</v>
      </c>
      <c r="O432" s="120">
        <f>IF($A432="","",COUNTA($A$5:$A432))</f>
        <v>428</v>
      </c>
      <c r="P432" s="118">
        <f>IF($K432="","",MAX($K$5:K432))</f>
        <v>2832.4399999999996</v>
      </c>
      <c r="Q432" s="117">
        <f>IF($K432="","",K432-P432)</f>
        <v>-43</v>
      </c>
      <c r="R432" s="2"/>
      <c r="S432" s="2">
        <f>IF(OR($A432="",$F432=""),"",IF($I432="Pendiente","",ROUND($G432*($F432*0.609-1),2)))</f>
        <v>-1.28</v>
      </c>
      <c r="T432" s="2">
        <f>IF($A432="","",IFERROR(SUM($S$5:S432),0))</f>
        <v>632.89999999999986</v>
      </c>
    </row>
    <row r="433" spans="1:20" ht="24.75">
      <c r="A433" s="110">
        <v>46217</v>
      </c>
      <c r="B433" s="113" t="s">
        <v>32</v>
      </c>
      <c r="C433" s="154" t="s">
        <v>742</v>
      </c>
      <c r="D433" s="113" t="s">
        <v>95</v>
      </c>
      <c r="E433" s="171" t="s">
        <v>743</v>
      </c>
      <c r="F433" s="115">
        <v>1.6</v>
      </c>
      <c r="G433" s="116">
        <v>27</v>
      </c>
      <c r="H433" s="120" t="s">
        <v>69</v>
      </c>
      <c r="I433" s="120" t="s">
        <v>70</v>
      </c>
      <c r="J433" s="117">
        <f>IF($A433="","",IF($I433="Ganada",ROUND($G433*($F433-1),2),IF($I433="Medio Ganada",ROUND($G433/2*($F433-1),2),IF($I433="Perdida",IF($H433="Free Bet",0,-$G433),IF($I433="Medio Perdida",IF($H433="Free Bet",0,-$G433/2),IF($I433="Reembolso",IF($R433="","",ROUND($R433-$G433,2)),IF($I433="Anulada",0,"")))))))</f>
        <v>16.2</v>
      </c>
      <c r="K433" s="118">
        <f>IF(J433="","",2000+SUM(J$5:J433))</f>
        <v>2805.64</v>
      </c>
      <c r="L433" s="119">
        <f>IF(OR($I433="Ganada",$I433="Perdida",$I433="Medio Ganada",$I433="Medio Perdida"),IF($G433=0,"",J433/$G433),"")</f>
        <v>0.6</v>
      </c>
      <c r="M433" s="120">
        <f>IF(OR($A433="",$B433=""),"",COUNTIFS($A$5:A433,A433,$B$5:B433,B433))</f>
        <v>1</v>
      </c>
      <c r="N433" s="120">
        <f>IF($A433="","",COUNTA($A$5:$A433))</f>
        <v>429</v>
      </c>
      <c r="O433" s="120">
        <f>IF($A433="","",COUNTA($A$5:$A433))</f>
        <v>429</v>
      </c>
      <c r="P433" s="118">
        <f>IF($K433="","",MAX($K$5:K433))</f>
        <v>2832.4399999999996</v>
      </c>
      <c r="Q433" s="117">
        <f>IF($K433="","",K433-P433)</f>
        <v>-26.799999999999727</v>
      </c>
      <c r="R433" s="2"/>
      <c r="S433" s="2">
        <f>IF(OR($A433="",$F433=""),"",IF($I433="Pendiente","",ROUND($G433*($F433*0.609-1),2)))</f>
        <v>-0.69</v>
      </c>
      <c r="T433" s="2">
        <f>IF($A433="","",IFERROR(SUM($S$5:S433),0))</f>
        <v>632.20999999999981</v>
      </c>
    </row>
    <row r="434" spans="1:20" ht="23.25">
      <c r="A434" s="110">
        <v>46217</v>
      </c>
      <c r="B434" s="113" t="s">
        <v>30</v>
      </c>
      <c r="C434" s="156" t="s">
        <v>744</v>
      </c>
      <c r="D434" s="113" t="s">
        <v>76</v>
      </c>
      <c r="E434" s="106">
        <v>1</v>
      </c>
      <c r="F434" s="115">
        <v>2.02</v>
      </c>
      <c r="G434" s="116">
        <v>20</v>
      </c>
      <c r="H434" s="120" t="s">
        <v>69</v>
      </c>
      <c r="I434" s="120" t="s">
        <v>70</v>
      </c>
      <c r="J434" s="117">
        <f>IF($A434="","",IF($I434="Ganada",ROUND($G434*($F434-1),2),IF($I434="Medio Ganada",ROUND($G434/2*($F434-1),2),IF($I434="Perdida",IF($H434="Free Bet",0,-$G434),IF($I434="Medio Perdida",IF($H434="Free Bet",0,-$G434/2),IF($I434="Reembolso",IF($R434="","",ROUND($R434-$G434,2)),IF($I434="Anulada",0,"")))))))</f>
        <v>20.399999999999999</v>
      </c>
      <c r="K434" s="118">
        <f>IF(J434="","",2000+SUM(J$5:J434))</f>
        <v>2826.04</v>
      </c>
      <c r="L434" s="119">
        <f>IF(OR($I434="Ganada",$I434="Perdida",$I434="Medio Ganada",$I434="Medio Perdida"),IF($G434=0,"",J434/$G434),"")</f>
        <v>1.02</v>
      </c>
      <c r="M434" s="120">
        <f>IF(OR($A434="",$E433=""),"",COUNTIFS($A$5:A434,A434,$B$5:B434,E433))</f>
        <v>0</v>
      </c>
      <c r="N434" s="120">
        <f>IF($A434="","",COUNTA($A$5:$A434))</f>
        <v>430</v>
      </c>
      <c r="O434" s="120">
        <f>IF($A434="","",COUNTA($A$5:$A434))</f>
        <v>430</v>
      </c>
      <c r="P434" s="118">
        <f>IF($K434="","",MAX($K$5:K434))</f>
        <v>2832.4399999999996</v>
      </c>
      <c r="Q434" s="117">
        <f>IF($K434="","",K434-P434)</f>
        <v>-6.3999999999996362</v>
      </c>
      <c r="R434" s="2"/>
      <c r="S434" s="2">
        <f>IF(OR($A434="",$F434=""),"",IF($I434="Pendiente","",ROUND($G434*($F434*0.609-1),2)))</f>
        <v>4.5999999999999996</v>
      </c>
      <c r="T434" s="2">
        <f>IF($A434="","",IFERROR(SUM($S$5:S434),0))</f>
        <v>636.80999999999983</v>
      </c>
    </row>
    <row r="435" spans="1:20">
      <c r="A435" s="110">
        <v>46217</v>
      </c>
      <c r="B435" s="113" t="s">
        <v>30</v>
      </c>
      <c r="C435" s="154" t="s">
        <v>745</v>
      </c>
      <c r="D435" s="113" t="s">
        <v>76</v>
      </c>
      <c r="E435" s="158" t="s">
        <v>746</v>
      </c>
      <c r="F435" s="115">
        <v>1.6</v>
      </c>
      <c r="G435" s="116">
        <v>27</v>
      </c>
      <c r="H435" s="120" t="s">
        <v>69</v>
      </c>
      <c r="I435" s="120" t="s">
        <v>75</v>
      </c>
      <c r="J435" s="117">
        <f>IF($A435="","",IF($I435="Ganada",ROUND($G435*($F435-1),2),IF($I435="Medio Ganada",ROUND($G435/2*($F435-1),2),IF($I435="Perdida",IF($H435="Free Bet",0,-$G435),IF($I435="Medio Perdida",IF($H435="Free Bet",0,-$G435/2),IF($I435="Reembolso",IF($R435="","",ROUND($R435-$G435,2)),IF($I435="Anulada",0,"")))))))</f>
        <v>-27</v>
      </c>
      <c r="K435" s="118">
        <f>IF(J435="","",2000+SUM(J$5:J435))</f>
        <v>2799.04</v>
      </c>
      <c r="L435" s="119">
        <f>IF(OR($I435="Ganada",$I435="Perdida",$I435="Medio Ganada",$I435="Medio Perdida"),IF($G435=0,"",J435/$G435),"")</f>
        <v>-1</v>
      </c>
      <c r="M435" s="120">
        <f>IF(OR($A435="",$B435=""),"",COUNTIFS($A$5:A435,A435,$B$5:B435,B435))</f>
        <v>6</v>
      </c>
      <c r="N435" s="120">
        <f>IF($A435="","",COUNTA($A$5:$A435))</f>
        <v>431</v>
      </c>
      <c r="O435" s="120">
        <f>IF($A435="","",COUNTA($A$5:$A435))</f>
        <v>431</v>
      </c>
      <c r="P435" s="118">
        <f>IF($K435="","",MAX($K$5:K435))</f>
        <v>2832.4399999999996</v>
      </c>
      <c r="Q435" s="117">
        <f>IF($K435="","",K435-P435)</f>
        <v>-33.399999999999636</v>
      </c>
      <c r="R435" s="2"/>
      <c r="S435" s="2">
        <f>IF(OR($A435="",$F435=""),"",IF($I435="Pendiente","",ROUND($G435*($F435*0.609-1),2)))</f>
        <v>-0.69</v>
      </c>
      <c r="T435" s="2">
        <f>IF($A435="","",IFERROR(SUM($S$5:S435),0))</f>
        <v>636.11999999999978</v>
      </c>
    </row>
    <row r="436" spans="1:20">
      <c r="A436" s="110">
        <v>46217</v>
      </c>
      <c r="B436" s="113" t="s">
        <v>30</v>
      </c>
      <c r="C436" s="154" t="s">
        <v>747</v>
      </c>
      <c r="D436" s="113" t="s">
        <v>76</v>
      </c>
      <c r="E436" s="158" t="s">
        <v>680</v>
      </c>
      <c r="F436" s="115">
        <v>1.66</v>
      </c>
      <c r="G436" s="116">
        <v>27</v>
      </c>
      <c r="H436" s="120" t="s">
        <v>69</v>
      </c>
      <c r="I436" s="120" t="s">
        <v>88</v>
      </c>
      <c r="J436" s="117">
        <f>IF($A436="","",IF($I436="Ganada",ROUND($G436*($F436-1),2),IF($I436="Medio Ganada",ROUND($G436/2*($F436-1),2),IF($I436="Perdida",IF($H436="Free Bet",0,-$G436),IF($I436="Medio Perdida",IF($H436="Free Bet",0,-$G436/2),IF($I436="Reembolso",IF($R436="","",ROUND($R436-$G436,2)),IF($I436="Anulada",0,"")))))))</f>
        <v>0</v>
      </c>
      <c r="K436" s="118">
        <f>IF(J436="","",2000+SUM(J$5:J436))</f>
        <v>2799.04</v>
      </c>
      <c r="L436" s="119" t="str">
        <f>IF(OR($I436="Ganada",$I436="Perdida",$I436="Medio Ganada",$I436="Medio Perdida"),IF($G436=0,"",J436/$G436),"")</f>
        <v/>
      </c>
      <c r="M436" s="120">
        <f>IF(OR($A436="",$B436=""),"",COUNTIFS($A$5:A436,A436,$B$5:B436,B436))</f>
        <v>7</v>
      </c>
      <c r="N436" s="120">
        <f>IF($A436="","",COUNTA($A$5:$A436))</f>
        <v>432</v>
      </c>
      <c r="O436" s="120">
        <f>IF($A436="","",COUNTA($A$5:$A436))</f>
        <v>432</v>
      </c>
      <c r="P436" s="118">
        <f>IF($K436="","",MAX($K$5:K436))</f>
        <v>2832.4399999999996</v>
      </c>
      <c r="Q436" s="117">
        <f>IF($K436="","",K436-P436)</f>
        <v>-33.399999999999636</v>
      </c>
      <c r="R436" s="2"/>
      <c r="S436" s="2">
        <f>IF(OR($A436="",$F436=""),"",IF($I436="Pendiente","",ROUND($G436*($F436*0.609-1),2)))</f>
        <v>0.3</v>
      </c>
      <c r="T436" s="2">
        <f>IF($A436="","",IFERROR(SUM($S$5:S436),0))</f>
        <v>636.41999999999973</v>
      </c>
    </row>
    <row r="437" spans="1:20">
      <c r="A437" s="110">
        <v>46217</v>
      </c>
      <c r="B437" s="113" t="s">
        <v>30</v>
      </c>
      <c r="C437" s="154" t="s">
        <v>745</v>
      </c>
      <c r="D437" s="113" t="s">
        <v>76</v>
      </c>
      <c r="E437" s="158" t="s">
        <v>623</v>
      </c>
      <c r="F437" s="115">
        <v>1.6</v>
      </c>
      <c r="G437" s="116">
        <v>27</v>
      </c>
      <c r="H437" s="120" t="s">
        <v>69</v>
      </c>
      <c r="I437" s="120" t="s">
        <v>70</v>
      </c>
      <c r="J437" s="117">
        <f>IF($A437="","",IF($I437="Ganada",ROUND($G437*($F437-1),2),IF($I437="Medio Ganada",ROUND($G437/2*($F437-1),2),IF($I437="Perdida",IF($H437="Free Bet",0,-$G437),IF($I437="Medio Perdida",IF($H437="Free Bet",0,-$G437/2),IF($I437="Reembolso",IF($R437="","",ROUND($R437-$G437,2)),IF($I437="Anulada",0,"")))))))</f>
        <v>16.2</v>
      </c>
      <c r="K437" s="118">
        <f>IF(J437="","",2000+SUM(J$5:J437))</f>
        <v>2815.24</v>
      </c>
      <c r="L437" s="119">
        <f>IF(OR($I437="Ganada",$I437="Perdida",$I437="Medio Ganada",$I437="Medio Perdida"),IF($G437=0,"",J437/$G437),"")</f>
        <v>0.6</v>
      </c>
      <c r="M437" s="120">
        <f>IF(OR($A437="",$B437=""),"",COUNTIFS($A$5:A437,A437,$B$5:B437,B437))</f>
        <v>8</v>
      </c>
      <c r="N437" s="120">
        <f>IF($A437="","",COUNTA($A$5:$A437))</f>
        <v>433</v>
      </c>
      <c r="O437" s="120">
        <f>IF($A437="","",COUNTA($A$5:$A437))</f>
        <v>433</v>
      </c>
      <c r="P437" s="118">
        <f>IF($K437="","",MAX($K$5:K437))</f>
        <v>2832.4399999999996</v>
      </c>
      <c r="Q437" s="117">
        <f>IF($K437="","",K437-P437)</f>
        <v>-17.199999999999818</v>
      </c>
      <c r="R437" s="2"/>
      <c r="S437" s="2">
        <f>IF(OR($A437="",$F437=""),"",IF($I437="Pendiente","",ROUND($G437*($F437*0.609-1),2)))</f>
        <v>-0.69</v>
      </c>
      <c r="T437" s="2">
        <f>IF($A437="","",IFERROR(SUM($S$5:S437),0))</f>
        <v>635.72999999999968</v>
      </c>
    </row>
    <row r="438" spans="1:20" ht="15" customHeight="1">
      <c r="A438" s="110">
        <v>46217</v>
      </c>
      <c r="B438" s="113" t="s">
        <v>30</v>
      </c>
      <c r="C438" s="156" t="s">
        <v>748</v>
      </c>
      <c r="D438" s="113" t="s">
        <v>76</v>
      </c>
      <c r="E438" s="158" t="s">
        <v>198</v>
      </c>
      <c r="F438" s="115">
        <v>1.57</v>
      </c>
      <c r="G438" s="116">
        <v>27</v>
      </c>
      <c r="H438" s="120" t="s">
        <v>69</v>
      </c>
      <c r="I438" s="120" t="s">
        <v>70</v>
      </c>
      <c r="J438" s="117">
        <f>IF($A438="","",IF($I438="Ganada",ROUND($G438*($F438-1),2),IF($I438="Medio Ganada",ROUND($G438/2*($F438-1),2),IF($I438="Perdida",IF($H438="Free Bet",0,-$G438),IF($I438="Medio Perdida",IF($H438="Free Bet",0,-$G438/2),IF($I438="Reembolso",IF($R438="","",ROUND($R438-$G438,2)),IF($I438="Anulada",0,"")))))))</f>
        <v>15.39</v>
      </c>
      <c r="K438" s="118">
        <f>IF(J438="","",2000+SUM(J$5:J438))</f>
        <v>2830.6299999999997</v>
      </c>
      <c r="L438" s="119">
        <f>IF(OR($I438="Ganada",$I438="Perdida",$I438="Medio Ganada",$I438="Medio Perdida"),IF($G438=0,"",J438/$G438),"")</f>
        <v>0.57000000000000006</v>
      </c>
      <c r="M438" s="120">
        <f>IF(OR($A438="",$B438=""),"",COUNTIFS($A$5:A438,A438,$B$5:B438,B438))</f>
        <v>9</v>
      </c>
      <c r="N438" s="120">
        <f>IF($A438="","",COUNTA($A$5:$A438))</f>
        <v>434</v>
      </c>
      <c r="O438" s="120">
        <f>IF($A438="","",COUNTA($A$5:$A438))</f>
        <v>434</v>
      </c>
      <c r="P438" s="118">
        <f>IF($K438="","",MAX($K$5:K438))</f>
        <v>2832.4399999999996</v>
      </c>
      <c r="Q438" s="117">
        <f>IF($K438="","",K438-P438)</f>
        <v>-1.8099999999999454</v>
      </c>
      <c r="R438" s="2"/>
      <c r="S438" s="2">
        <f>IF(OR($A438="",$F438=""),"",IF($I438="Pendiente","",ROUND($G438*($F438*0.609-1),2)))</f>
        <v>-1.18</v>
      </c>
      <c r="T438" s="2">
        <f>IF($A438="","",IFERROR(SUM($S$5:S438),0))</f>
        <v>634.54999999999973</v>
      </c>
    </row>
    <row r="439" spans="1:20" ht="15" customHeight="1">
      <c r="A439" s="110">
        <v>46217</v>
      </c>
      <c r="B439" s="113" t="s">
        <v>28</v>
      </c>
      <c r="C439" s="154" t="s">
        <v>749</v>
      </c>
      <c r="D439" s="113" t="s">
        <v>67</v>
      </c>
      <c r="E439" s="158" t="s">
        <v>750</v>
      </c>
      <c r="F439" s="115">
        <v>1.72</v>
      </c>
      <c r="G439" s="116">
        <v>27</v>
      </c>
      <c r="H439" s="120" t="s">
        <v>69</v>
      </c>
      <c r="I439" s="120" t="s">
        <v>75</v>
      </c>
      <c r="J439" s="117">
        <f>IF($A439="","",IF($I439="Ganada",ROUND($G439*($F439-1),2),IF($I439="Medio Ganada",ROUND($G439/2*($F439-1),2),IF($I439="Perdida",IF($H439="Free Bet",0,-$G439),IF($I439="Medio Perdida",IF($H439="Free Bet",0,-$G439/2),IF($I439="Reembolso",IF($R439="","",ROUND($R439-$G439,2)),IF($I439="Anulada",0,"")))))))</f>
        <v>-27</v>
      </c>
      <c r="K439" s="118">
        <f>IF(J439="","",2000+SUM(J$5:J439))</f>
        <v>2803.6299999999997</v>
      </c>
      <c r="L439" s="119">
        <f>IF(OR($I439="Ganada",$I439="Perdida",$I439="Medio Ganada",$I439="Medio Perdida"),IF($G439=0,"",J439/$G439),"")</f>
        <v>-1</v>
      </c>
      <c r="M439" s="120">
        <f>IF(OR($A439="",$B439=""),"",COUNTIFS($A$5:A439,A439,$B$5:B439,B439))</f>
        <v>2</v>
      </c>
      <c r="N439" s="120">
        <f>IF($A439="","",COUNTA($A$5:$A439))</f>
        <v>435</v>
      </c>
      <c r="O439" s="120">
        <f>IF($A439="","",COUNTA($A$5:$A439))</f>
        <v>435</v>
      </c>
      <c r="P439" s="118">
        <f>IF($K439="","",MAX($K$5:K439))</f>
        <v>2832.4399999999996</v>
      </c>
      <c r="Q439" s="117">
        <f>IF($K439="","",K439-P439)</f>
        <v>-28.809999999999945</v>
      </c>
      <c r="R439" s="2"/>
      <c r="S439" s="2">
        <f>IF(OR($A439="",$F439=""),"",IF($I439="Pendiente","",ROUND($G439*($F439*0.609-1),2)))</f>
        <v>1.28</v>
      </c>
      <c r="T439" s="2">
        <f>IF($A439="","",IFERROR(SUM($S$5:S439),0))</f>
        <v>635.8299999999997</v>
      </c>
    </row>
    <row r="440" spans="1:20" ht="15" customHeight="1">
      <c r="A440" s="110">
        <v>46217</v>
      </c>
      <c r="B440" s="113" t="s">
        <v>32</v>
      </c>
      <c r="C440" s="156" t="s">
        <v>751</v>
      </c>
      <c r="D440" s="113" t="s">
        <v>67</v>
      </c>
      <c r="E440" s="158" t="s">
        <v>492</v>
      </c>
      <c r="F440" s="115">
        <v>1.8</v>
      </c>
      <c r="G440" s="116">
        <v>20</v>
      </c>
      <c r="H440" s="120" t="s">
        <v>69</v>
      </c>
      <c r="I440" s="120" t="s">
        <v>70</v>
      </c>
      <c r="J440" s="117">
        <f>IF($A440="","",IF($I440="Ganada",ROUND($G440*($F440-1),2),IF($I440="Medio Ganada",ROUND($G440/2*($F440-1),2),IF($I440="Perdida",IF($H440="Free Bet",0,-$G440),IF($I440="Medio Perdida",IF($H440="Free Bet",0,-$G440/2),IF($I440="Reembolso",IF($R440="","",ROUND($R440-$G440,2)),IF($I440="Anulada",0,"")))))))</f>
        <v>16</v>
      </c>
      <c r="K440" s="118">
        <f>IF(J440="","",2000+SUM(J$5:J440))</f>
        <v>2819.6299999999997</v>
      </c>
      <c r="L440" s="119">
        <f>IF(OR($I440="Ganada",$I440="Perdida",$I440="Medio Ganada",$I440="Medio Perdida"),IF($G440=0,"",J440/$G440),"")</f>
        <v>0.8</v>
      </c>
      <c r="M440" s="120">
        <f>IF(OR($A440="",$B440=""),"",COUNTIFS($A$5:A440,A440,$B$5:B440,B440))</f>
        <v>2</v>
      </c>
      <c r="N440" s="120">
        <f>IF($A440="","",COUNTA($A$5:$A440))</f>
        <v>436</v>
      </c>
      <c r="O440" s="120">
        <f>IF($A440="","",COUNTA($A$5:$A440))</f>
        <v>436</v>
      </c>
      <c r="P440" s="118">
        <f>IF($K440="","",MAX($K$5:K440))</f>
        <v>2832.4399999999996</v>
      </c>
      <c r="Q440" s="117">
        <f>IF($K440="","",K440-P440)</f>
        <v>-12.809999999999945</v>
      </c>
      <c r="R440" s="2"/>
      <c r="S440" s="2">
        <f>IF(OR($A440="",$F440=""),"",IF($I440="Pendiente","",ROUND($G440*($F440*0.609-1),2)))</f>
        <v>1.92</v>
      </c>
      <c r="T440" s="2">
        <f>IF($A440="","",IFERROR(SUM($S$5:S440),0))</f>
        <v>637.74999999999966</v>
      </c>
    </row>
    <row r="441" spans="1:20" ht="15" customHeight="1">
      <c r="A441" s="110">
        <v>46217</v>
      </c>
      <c r="B441" s="113" t="s">
        <v>30</v>
      </c>
      <c r="C441" s="154" t="s">
        <v>752</v>
      </c>
      <c r="D441" s="113" t="s">
        <v>76</v>
      </c>
      <c r="E441" s="106">
        <v>1</v>
      </c>
      <c r="F441" s="115">
        <v>2.06</v>
      </c>
      <c r="G441" s="116">
        <v>20</v>
      </c>
      <c r="H441" s="120" t="s">
        <v>69</v>
      </c>
      <c r="I441" s="120" t="s">
        <v>70</v>
      </c>
      <c r="J441" s="117">
        <f>IF($A441="","",IF($I441="Ganada",ROUND($G441*($F441-1),2),IF($I441="Medio Ganada",ROUND($G441/2*($F441-1),2),IF($I441="Perdida",IF($H441="Free Bet",0,-$G441),IF($I441="Medio Perdida",IF($H441="Free Bet",0,-$G441/2),IF($I441="Reembolso",IF($R441="","",ROUND($R441-$G441,2)),IF($I441="Anulada",0,"")))))))</f>
        <v>21.2</v>
      </c>
      <c r="K441" s="118">
        <f>IF(J441="","",2000+SUM(J$5:J441))</f>
        <v>2840.83</v>
      </c>
      <c r="L441" s="119">
        <f>IF(OR($I441="Ganada",$I441="Perdida",$I441="Medio Ganada",$I441="Medio Perdida"),IF($G441=0,"",J441/$G441),"")</f>
        <v>1.06</v>
      </c>
      <c r="M441" s="120">
        <f>IF(OR($A441="",$B441=""),"",COUNTIFS($A$5:A441,A441,$B$5:B441,B441))</f>
        <v>10</v>
      </c>
      <c r="N441" s="120">
        <f>IF($A441="","",COUNTA($A$5:$A441))</f>
        <v>437</v>
      </c>
      <c r="O441" s="120">
        <f>IF($A441="","",COUNTA($A$5:$A441))</f>
        <v>437</v>
      </c>
      <c r="P441" s="118">
        <f>IF($K441="","",MAX($K$5:K441))</f>
        <v>2840.83</v>
      </c>
      <c r="Q441" s="117">
        <f>IF($K441="","",K441-P441)</f>
        <v>0</v>
      </c>
      <c r="R441" s="2"/>
      <c r="S441" s="2">
        <f>IF(OR($A441="",$F441=""),"",IF($I441="Pendiente","",ROUND($G441*($F441*0.609-1),2)))</f>
        <v>5.09</v>
      </c>
      <c r="T441" s="2">
        <f>IF($A441="","",IFERROR(SUM($S$5:S441),0))</f>
        <v>642.83999999999969</v>
      </c>
    </row>
    <row r="442" spans="1:20" ht="27.75">
      <c r="A442" s="110">
        <v>46218</v>
      </c>
      <c r="B442" s="113" t="s">
        <v>28</v>
      </c>
      <c r="C442" s="173" t="s">
        <v>753</v>
      </c>
      <c r="D442" s="113" t="s">
        <v>67</v>
      </c>
      <c r="E442" s="158" t="s">
        <v>754</v>
      </c>
      <c r="F442" s="115">
        <v>1.86</v>
      </c>
      <c r="G442" s="116">
        <v>20</v>
      </c>
      <c r="H442" s="120" t="s">
        <v>69</v>
      </c>
      <c r="I442" s="120" t="s">
        <v>70</v>
      </c>
      <c r="J442" s="117">
        <f>IF($A442="","",IF($I442="Ganada",ROUND($G442*($F442-1),2),IF($I442="Medio Ganada",ROUND($G442/2*($F442-1),2),IF($I442="Perdida",IF($H442="Free Bet",0,-$G442),IF($I442="Medio Perdida",IF($H442="Free Bet",0,-$G442/2),IF($I442="Reembolso",IF($R442="","",ROUND($R442-$G442,2)),IF($I442="Anulada",0,"")))))))</f>
        <v>17.2</v>
      </c>
      <c r="K442" s="118">
        <f>IF(J442="","",2000+SUM(J$5:J442))</f>
        <v>2858.0299999999997</v>
      </c>
      <c r="L442" s="119">
        <f>IF(OR($I442="Ganada",$I442="Perdida",$I442="Medio Ganada",$I442="Medio Perdida"),IF($G442=0,"",J442/$G442),"")</f>
        <v>0.86</v>
      </c>
      <c r="M442" s="120">
        <f>IF(OR($A442="",$B442=""),"",COUNTIFS($A$5:A442,A442,$B$5:B442,B442))</f>
        <v>1</v>
      </c>
      <c r="N442" s="120">
        <f>IF($A442="","",COUNTA($A$5:$A442))</f>
        <v>438</v>
      </c>
      <c r="O442" s="120">
        <f>IF($A442="","",COUNTA($A$5:$A442))</f>
        <v>438</v>
      </c>
      <c r="P442" s="118">
        <f>IF($K442="","",MAX($K$5:K442))</f>
        <v>2858.0299999999997</v>
      </c>
      <c r="Q442" s="117">
        <f>IF($K442="","",K442-P442)</f>
        <v>0</v>
      </c>
      <c r="R442" s="2"/>
      <c r="S442" s="2">
        <f>IF(OR($A442="",$F442=""),"",IF($I442="Pendiente","",ROUND($G442*($F442*0.609-1),2)))</f>
        <v>2.65</v>
      </c>
      <c r="T442" s="2">
        <f>IF($A442="","",IFERROR(SUM($S$5:S442),0))</f>
        <v>645.48999999999967</v>
      </c>
    </row>
    <row r="443" spans="1:20" ht="15" customHeight="1">
      <c r="A443" s="110">
        <v>46218</v>
      </c>
      <c r="B443" s="113" t="s">
        <v>28</v>
      </c>
      <c r="C443" s="173" t="s">
        <v>755</v>
      </c>
      <c r="D443" s="113" t="s">
        <v>76</v>
      </c>
      <c r="E443" s="1" t="s">
        <v>756</v>
      </c>
      <c r="F443" s="115">
        <v>1.78</v>
      </c>
      <c r="G443" s="116">
        <v>27</v>
      </c>
      <c r="H443" s="120" t="s">
        <v>69</v>
      </c>
      <c r="I443" s="120" t="s">
        <v>70</v>
      </c>
      <c r="J443" s="117">
        <f>IF($A443="","",IF($I443="Ganada",ROUND($G443*($F443-1),2),IF($I443="Medio Ganada",ROUND($G443/2*($F443-1),2),IF($I443="Perdida",IF($H443="Free Bet",0,-$G443),IF($I443="Medio Perdida",IF($H443="Free Bet",0,-$G443/2),IF($I443="Reembolso",IF($R443="","",ROUND($R443-$G443,2)),IF($I443="Anulada",0,"")))))))</f>
        <v>21.06</v>
      </c>
      <c r="K443" s="118">
        <f>IF(J443="","",2000+SUM(J$5:J443))</f>
        <v>2879.0899999999997</v>
      </c>
      <c r="L443" s="119">
        <f>IF(OR($I443="Ganada",$I443="Perdida",$I443="Medio Ganada",$I443="Medio Perdida"),IF($G443=0,"",J443/$G443),"")</f>
        <v>0.77999999999999992</v>
      </c>
      <c r="M443" s="120">
        <f>IF(OR($A443="",$B443=""),"",COUNTIFS($A$5:A443,A443,$B$5:B443,B443))</f>
        <v>2</v>
      </c>
      <c r="N443" s="120">
        <f>IF($A443="","",COUNTA($A$5:$A443))</f>
        <v>439</v>
      </c>
      <c r="O443" s="120">
        <f>IF($A443="","",COUNTA($A$5:$A443))</f>
        <v>439</v>
      </c>
      <c r="P443" s="118">
        <f>IF($K443="","",MAX($K$5:K443))</f>
        <v>2879.0899999999997</v>
      </c>
      <c r="Q443" s="117">
        <f>IF($K443="","",K443-P443)</f>
        <v>0</v>
      </c>
      <c r="R443" s="2"/>
      <c r="S443" s="2">
        <f>IF(OR($A443="",$F443=""),"",IF($I443="Pendiente","",ROUND($G443*($F443*0.609-1),2)))</f>
        <v>2.27</v>
      </c>
      <c r="T443" s="2">
        <f>IF($A443="","",IFERROR(SUM($S$5:S443),0))</f>
        <v>647.75999999999965</v>
      </c>
    </row>
    <row r="444" spans="1:20" ht="24" customHeight="1">
      <c r="A444" s="110">
        <v>46218</v>
      </c>
      <c r="B444" s="113" t="s">
        <v>28</v>
      </c>
      <c r="C444" s="174" t="s">
        <v>757</v>
      </c>
      <c r="D444" s="113" t="s">
        <v>90</v>
      </c>
      <c r="E444" s="1" t="s">
        <v>465</v>
      </c>
      <c r="F444" s="115">
        <v>2.35</v>
      </c>
      <c r="G444" s="116">
        <v>27</v>
      </c>
      <c r="H444" s="120" t="s">
        <v>69</v>
      </c>
      <c r="I444" s="120" t="s">
        <v>75</v>
      </c>
      <c r="J444" s="117">
        <f>IF($A444="","",IF($I444="Ganada",ROUND($G444*($F444-1),2),IF($I444="Medio Ganada",ROUND($G444/2*($F444-1),2),IF($I444="Perdida",IF($H444="Free Bet",0,-$G444),IF($I444="Medio Perdida",IF($H444="Free Bet",0,-$G444/2),IF($I444="Reembolso",IF($R444="","",ROUND($R444-$G444,2)),IF($I444="Anulada",0,"")))))))</f>
        <v>-27</v>
      </c>
      <c r="K444" s="118">
        <f>IF(J444="","",2000+SUM(J$5:J444))</f>
        <v>2852.0899999999997</v>
      </c>
      <c r="L444" s="119">
        <f>IF(OR($I444="Ganada",$I444="Perdida",$I444="Medio Ganada",$I444="Medio Perdida"),IF($G444=0,"",J444/$G444),"")</f>
        <v>-1</v>
      </c>
      <c r="M444" s="120">
        <f>IF(OR($A444="",$B444=""),"",COUNTIFS($A$5:A444,A444,$B$5:B444,B444))</f>
        <v>3</v>
      </c>
      <c r="N444" s="120">
        <f>IF($A444="","",COUNTA($A$5:$A444))</f>
        <v>440</v>
      </c>
      <c r="O444" s="120">
        <f>IF($A444="","",COUNTA($A$5:$A444))</f>
        <v>440</v>
      </c>
      <c r="P444" s="118">
        <f>IF($K444="","",MAX($K$5:K444))</f>
        <v>2879.0899999999997</v>
      </c>
      <c r="Q444" s="117">
        <f>IF($K444="","",K444-P444)</f>
        <v>-27</v>
      </c>
      <c r="R444" s="2"/>
      <c r="S444" s="2">
        <f>IF(OR($A444="",$F444=""),"",IF($I444="Pendiente","",ROUND($G444*($F444*0.609-1),2)))</f>
        <v>11.64</v>
      </c>
      <c r="T444" s="2">
        <f>IF($A444="","",IFERROR(SUM($S$5:S444),0))</f>
        <v>659.39999999999964</v>
      </c>
    </row>
    <row r="445" spans="1:20" ht="15" customHeight="1">
      <c r="A445" s="110">
        <v>46218</v>
      </c>
      <c r="B445" s="113" t="s">
        <v>28</v>
      </c>
      <c r="C445" s="175" t="s">
        <v>758</v>
      </c>
      <c r="D445" s="113" t="s">
        <v>67</v>
      </c>
      <c r="E445" s="1" t="s">
        <v>759</v>
      </c>
      <c r="F445" s="115">
        <v>1.86</v>
      </c>
      <c r="G445" s="116">
        <v>27</v>
      </c>
      <c r="H445" s="120" t="s">
        <v>69</v>
      </c>
      <c r="I445" s="120" t="s">
        <v>75</v>
      </c>
      <c r="J445" s="117">
        <f>IF($A445="","",IF($I445="Ganada",ROUND($G445*($F445-1),2),IF($I445="Medio Ganada",ROUND($G445/2*($F445-1),2),IF($I445="Perdida",IF($H445="Free Bet",0,-$G445),IF($I445="Medio Perdida",IF($H445="Free Bet",0,-$G445/2),IF($I445="Reembolso",IF($R445="","",ROUND($R445-$G445,2)),IF($I445="Anulada",0,"")))))))</f>
        <v>-27</v>
      </c>
      <c r="K445" s="118">
        <f>IF(J445="","",2000+SUM(J$5:J445))</f>
        <v>2825.0899999999997</v>
      </c>
      <c r="L445" s="119">
        <f>IF(OR($I445="Ganada",$I445="Perdida",$I445="Medio Ganada",$I445="Medio Perdida"),IF($G445=0,"",J445/$G445),"")</f>
        <v>-1</v>
      </c>
      <c r="M445" s="120">
        <f>IF(OR($A445="",$B445=""),"",COUNTIFS($A$5:A445,A445,$B$5:B445,B445))</f>
        <v>4</v>
      </c>
      <c r="N445" s="120">
        <f>IF($A445="","",COUNTA($A$5:$A445))</f>
        <v>441</v>
      </c>
      <c r="O445" s="120">
        <f>IF($A445="","",COUNTA($A$5:$A445))</f>
        <v>441</v>
      </c>
      <c r="P445" s="118">
        <f>IF($K445="","",MAX($K$5:K445))</f>
        <v>2879.0899999999997</v>
      </c>
      <c r="Q445" s="117">
        <f>IF($K445="","",K445-P445)</f>
        <v>-54</v>
      </c>
      <c r="R445" s="2"/>
      <c r="S445" s="2">
        <f>IF(OR($A445="",$F445=""),"",IF($I445="Pendiente","",ROUND($G445*($F445*0.609-1),2)))</f>
        <v>3.58</v>
      </c>
      <c r="T445" s="2">
        <f>IF($A445="","",IFERROR(SUM($S$5:S445),0))</f>
        <v>662.97999999999968</v>
      </c>
    </row>
    <row r="446" spans="1:20">
      <c r="A446" s="110">
        <v>46218</v>
      </c>
      <c r="B446" s="113" t="s">
        <v>34</v>
      </c>
      <c r="C446" s="173" t="s">
        <v>760</v>
      </c>
      <c r="D446" s="113" t="s">
        <v>76</v>
      </c>
      <c r="E446" s="176" t="s">
        <v>746</v>
      </c>
      <c r="F446" s="115">
        <v>1.38</v>
      </c>
      <c r="G446" s="116">
        <v>45</v>
      </c>
      <c r="H446" s="120" t="s">
        <v>69</v>
      </c>
      <c r="I446" s="120" t="s">
        <v>70</v>
      </c>
      <c r="J446" s="117">
        <f>IF($A446="","",IF($I446="Ganada",ROUND($G446*($F446-1),2),IF($I446="Medio Ganada",ROUND($G446/2*($F446-1),2),IF($I446="Perdida",IF($H446="Free Bet",0,-$G446),IF($I446="Medio Perdida",IF($H446="Free Bet",0,-$G446/2),IF($I446="Reembolso",IF($R446="","",ROUND($R446-$G446,2)),IF($I446="Anulada",0,"")))))))</f>
        <v>17.100000000000001</v>
      </c>
      <c r="K446" s="118">
        <f>IF(J446="","",2000+SUM(J$5:J446))</f>
        <v>2842.1899999999996</v>
      </c>
      <c r="L446" s="119">
        <f>IF(OR($I446="Ganada",$I446="Perdida",$I446="Medio Ganada",$I446="Medio Perdida"),IF($G446=0,"",J446/$G446),"")</f>
        <v>0.38</v>
      </c>
      <c r="M446" s="120">
        <f>IF(OR($A446="",$B446=""),"",COUNTIFS($A$5:A446,A446,$B$5:B446,B446))</f>
        <v>1</v>
      </c>
      <c r="N446" s="120">
        <f>IF($A446="","",COUNTA($A$5:$A446))</f>
        <v>442</v>
      </c>
      <c r="O446" s="120">
        <f>IF($A446="","",COUNTA($A$5:$A446))</f>
        <v>442</v>
      </c>
      <c r="P446" s="118">
        <f>IF($K446="","",MAX($K$5:K446))</f>
        <v>2879.0899999999997</v>
      </c>
      <c r="Q446" s="117">
        <f>IF($K446="","",K446-P446)</f>
        <v>-36.900000000000091</v>
      </c>
      <c r="R446" s="2"/>
      <c r="S446" s="2">
        <f>IF(OR($A446="",$F446=""),"",IF($I446="Pendiente","",ROUND($G446*($F446*0.609-1),2)))</f>
        <v>-7.18</v>
      </c>
      <c r="T446" s="2">
        <f>IF($A446="","",IFERROR(SUM($S$5:S446),0))</f>
        <v>655.79999999999973</v>
      </c>
    </row>
    <row r="447" spans="1:20">
      <c r="A447" s="110">
        <v>46218</v>
      </c>
      <c r="B447" s="113" t="s">
        <v>34</v>
      </c>
      <c r="C447" s="166" t="s">
        <v>761</v>
      </c>
      <c r="D447" s="113" t="s">
        <v>76</v>
      </c>
      <c r="E447" s="176" t="s">
        <v>477</v>
      </c>
      <c r="F447" s="115">
        <v>1.64</v>
      </c>
      <c r="G447" s="116">
        <v>27</v>
      </c>
      <c r="H447" s="120" t="s">
        <v>69</v>
      </c>
      <c r="I447" s="120" t="s">
        <v>75</v>
      </c>
      <c r="J447" s="117">
        <f>IF($A447="","",IF($I447="Ganada",ROUND($G447*($F447-1),2),IF($I447="Medio Ganada",ROUND($G447/2*($F447-1),2),IF($I447="Perdida",IF($H447="Free Bet",0,-$G447),IF($I447="Medio Perdida",IF($H447="Free Bet",0,-$G447/2),IF($I447="Reembolso",IF($R447="","",ROUND($R447-$G447,2)),IF($I447="Anulada",0,"")))))))</f>
        <v>-27</v>
      </c>
      <c r="K447" s="118">
        <f>IF(J447="","",2000+SUM(J$5:J447))</f>
        <v>2815.1899999999996</v>
      </c>
      <c r="L447" s="119">
        <f>IF(OR($I447="Ganada",$I447="Perdida",$I447="Medio Ganada",$I447="Medio Perdida"),IF($G447=0,"",J447/$G447),"")</f>
        <v>-1</v>
      </c>
      <c r="M447" s="120">
        <f>IF(OR($A447="",$B447=""),"",COUNTIFS($A$5:A447,A447,$B$5:B447,B447))</f>
        <v>2</v>
      </c>
      <c r="N447" s="120">
        <f>IF($A447="","",COUNTA($A$5:$A447))</f>
        <v>443</v>
      </c>
      <c r="O447" s="120">
        <f>IF($A447="","",COUNTA($A$5:$A447))</f>
        <v>443</v>
      </c>
      <c r="P447" s="118">
        <f>IF($K447="","",MAX($K$5:K447))</f>
        <v>2879.0899999999997</v>
      </c>
      <c r="Q447" s="117">
        <f>IF($K447="","",K447-P447)</f>
        <v>-63.900000000000091</v>
      </c>
      <c r="R447" s="2"/>
      <c r="S447" s="2">
        <f>IF(OR($A447="",$F447=""),"",IF($I447="Pendiente","",ROUND($G447*($F447*0.609-1),2)))</f>
        <v>-0.03</v>
      </c>
      <c r="T447" s="2">
        <f>IF($A447="","",IFERROR(SUM($S$5:S447),0))</f>
        <v>655.76999999999975</v>
      </c>
    </row>
    <row r="448" spans="1:20">
      <c r="A448" s="110">
        <v>46218</v>
      </c>
      <c r="B448" s="113" t="s">
        <v>32</v>
      </c>
      <c r="C448" s="166" t="s">
        <v>762</v>
      </c>
      <c r="D448" s="113" t="s">
        <v>76</v>
      </c>
      <c r="E448" s="1" t="s">
        <v>405</v>
      </c>
      <c r="F448" s="115">
        <v>1.5</v>
      </c>
      <c r="G448" s="116">
        <v>27</v>
      </c>
      <c r="H448" s="120" t="s">
        <v>69</v>
      </c>
      <c r="I448" s="120" t="s">
        <v>70</v>
      </c>
      <c r="J448" s="117">
        <f>IF($A448="","",IF($I448="Ganada",ROUND($G448*($F448-1),2),IF($I448="Medio Ganada",ROUND($G448/2*($F448-1),2),IF($I448="Perdida",IF($H448="Free Bet",0,-$G448),IF($I448="Medio Perdida",IF($H448="Free Bet",0,-$G448/2),IF($I448="Reembolso",IF($R448="","",ROUND($R448-$G448,2)),IF($I448="Anulada",0,"")))))))</f>
        <v>13.5</v>
      </c>
      <c r="K448" s="118">
        <f>IF(J448="","",2000+SUM(J$5:J448))</f>
        <v>2828.6899999999996</v>
      </c>
      <c r="L448" s="119">
        <f>IF(OR($I448="Ganada",$I448="Perdida",$I448="Medio Ganada",$I448="Medio Perdida"),IF($G448=0,"",J448/$G448),"")</f>
        <v>0.5</v>
      </c>
      <c r="M448" s="120">
        <f>IF(OR($A448="",$B448=""),"",COUNTIFS($A$5:A448,A448,$B$5:B448,B448))</f>
        <v>1</v>
      </c>
      <c r="N448" s="120">
        <f>IF($A448="","",COUNTA($A$5:$A448))</f>
        <v>444</v>
      </c>
      <c r="O448" s="120">
        <f>IF($A448="","",COUNTA($A$5:$A448))</f>
        <v>444</v>
      </c>
      <c r="P448" s="118">
        <f>IF($K448="","",MAX($K$5:K448))</f>
        <v>2879.0899999999997</v>
      </c>
      <c r="Q448" s="117">
        <f>IF($K448="","",K448-P448)</f>
        <v>-50.400000000000091</v>
      </c>
      <c r="R448" s="2"/>
      <c r="S448" s="2">
        <f>IF(OR($A448="",$F448=""),"",IF($I448="Pendiente","",ROUND($G448*($F448*0.609-1),2)))</f>
        <v>-2.34</v>
      </c>
      <c r="T448" s="2">
        <f>IF($A448="","",IFERROR(SUM($S$5:S448),0))</f>
        <v>653.42999999999972</v>
      </c>
    </row>
    <row r="449" spans="1:20">
      <c r="A449" s="110">
        <v>46218</v>
      </c>
      <c r="B449" s="157" t="s">
        <v>34</v>
      </c>
      <c r="C449" s="166" t="s">
        <v>761</v>
      </c>
      <c r="D449" s="113" t="s">
        <v>76</v>
      </c>
      <c r="E449" s="176" t="s">
        <v>763</v>
      </c>
      <c r="F449" s="115">
        <v>1.65</v>
      </c>
      <c r="G449" s="116">
        <v>27</v>
      </c>
      <c r="H449" s="120" t="s">
        <v>69</v>
      </c>
      <c r="I449" s="120" t="s">
        <v>75</v>
      </c>
      <c r="J449" s="117">
        <f>IF($A449="","",IF($I449="Ganada",ROUND($G449*($F449-1),2),IF($I449="Medio Ganada",ROUND($G449/2*($F449-1),2),IF($I449="Perdida",IF($H449="Free Bet",0,-$G449),IF($I449="Medio Perdida",IF($H449="Free Bet",0,-$G449/2),IF($I449="Reembolso",IF($R449="","",ROUND($R449-$G449,2)),IF($I449="Anulada",0,"")))))))</f>
        <v>-27</v>
      </c>
      <c r="K449" s="118">
        <f>IF(J449="","",2000+SUM(J$5:J449))</f>
        <v>2801.6899999999996</v>
      </c>
      <c r="L449" s="119">
        <f>IF(OR($I449="Ganada",$I449="Perdida",$I449="Medio Ganada",$I449="Medio Perdida"),IF($G449=0,"",J449/$G449),"")</f>
        <v>-1</v>
      </c>
      <c r="M449" s="120">
        <f>IF(OR($A449="",$B449=""),"",COUNTIFS($A$5:A449,A449,$B$5:B449,B449))</f>
        <v>3</v>
      </c>
      <c r="N449" s="120">
        <f>IF($A449="","",COUNTA($A$5:$A449))</f>
        <v>445</v>
      </c>
      <c r="O449" s="120">
        <f>IF($A449="","",COUNTA($A$5:$A449))</f>
        <v>445</v>
      </c>
      <c r="P449" s="118">
        <f>IF($K449="","",MAX($K$5:K449))</f>
        <v>2879.0899999999997</v>
      </c>
      <c r="Q449" s="117">
        <f>IF($K449="","",K449-P449)</f>
        <v>-77.400000000000091</v>
      </c>
      <c r="R449" s="2"/>
      <c r="S449" s="2">
        <f>IF(OR($A449="",$F449=""),"",IF($I449="Pendiente","",ROUND($G449*($F449*0.609-1),2)))</f>
        <v>0.13</v>
      </c>
      <c r="T449" s="2">
        <f>IF($A449="","",IFERROR(SUM($S$5:S449),0))</f>
        <v>653.55999999999972</v>
      </c>
    </row>
    <row r="450" spans="1:20" ht="28.5">
      <c r="A450" s="110">
        <v>46218</v>
      </c>
      <c r="B450" s="113" t="s">
        <v>34</v>
      </c>
      <c r="C450" s="166" t="s">
        <v>764</v>
      </c>
      <c r="D450" s="113" t="s">
        <v>76</v>
      </c>
      <c r="E450" s="176" t="s">
        <v>763</v>
      </c>
      <c r="F450" s="115">
        <v>1.36</v>
      </c>
      <c r="G450" s="116">
        <v>45</v>
      </c>
      <c r="H450" s="120" t="s">
        <v>69</v>
      </c>
      <c r="I450" s="120" t="s">
        <v>70</v>
      </c>
      <c r="J450" s="117">
        <f>IF($A450="","",IF($I450="Ganada",ROUND($G450*($F450-1),2),IF($I450="Medio Ganada",ROUND($G450/2*($F450-1),2),IF($I450="Perdida",IF($H450="Free Bet",0,-$G450),IF($I450="Medio Perdida",IF($H450="Free Bet",0,-$G450/2),IF($I450="Reembolso",IF($R450="","",ROUND($R450-$G450,2)),IF($I450="Anulada",0,"")))))))</f>
        <v>16.2</v>
      </c>
      <c r="K450" s="118">
        <f>IF(J450="","",2000+SUM(J$5:J450))</f>
        <v>2817.89</v>
      </c>
      <c r="L450" s="119">
        <f>IF(OR($I450="Ganada",$I450="Perdida",$I450="Medio Ganada",$I450="Medio Perdida"),IF($G450=0,"",J450/$G450),"")</f>
        <v>0.36</v>
      </c>
      <c r="M450" s="120">
        <f>IF(OR($A450="",$B450=""),"",COUNTIFS($A$5:A450,A450,$B$5:B450,B450))</f>
        <v>4</v>
      </c>
      <c r="N450" s="120">
        <f>IF($A450="","",COUNTA($A$5:$A450))</f>
        <v>446</v>
      </c>
      <c r="O450" s="120">
        <f>IF($A450="","",COUNTA($A$5:$A450))</f>
        <v>446</v>
      </c>
      <c r="P450" s="118">
        <f>IF($K450="","",MAX($K$5:K450))</f>
        <v>2879.0899999999997</v>
      </c>
      <c r="Q450" s="117">
        <f>IF($K450="","",K450-P450)</f>
        <v>-61.199999999999818</v>
      </c>
      <c r="R450" s="2"/>
      <c r="S450" s="2">
        <f>IF(OR($A450="",$F450=""),"",IF($I450="Pendiente","",ROUND($G450*($F450*0.609-1),2)))</f>
        <v>-7.73</v>
      </c>
      <c r="T450" s="2">
        <f>IF($A450="","",IFERROR(SUM($S$5:S450),0))</f>
        <v>645.8299999999997</v>
      </c>
    </row>
    <row r="451" spans="1:20" ht="15" customHeight="1">
      <c r="A451" s="110">
        <v>46218</v>
      </c>
      <c r="B451" s="113" t="s">
        <v>33</v>
      </c>
      <c r="C451" s="166" t="s">
        <v>765</v>
      </c>
      <c r="D451" s="113" t="s">
        <v>76</v>
      </c>
      <c r="E451" s="176" t="s">
        <v>746</v>
      </c>
      <c r="F451" s="115">
        <v>1.9</v>
      </c>
      <c r="G451" s="116">
        <v>20</v>
      </c>
      <c r="H451" s="120" t="s">
        <v>69</v>
      </c>
      <c r="I451" s="120" t="s">
        <v>70</v>
      </c>
      <c r="J451" s="117">
        <f>IF($A451="","",IF($I451="Ganada",ROUND($G451*($F451-1),2),IF($I451="Medio Ganada",ROUND($G451/2*($F451-1),2),IF($I451="Perdida",IF($H451="Free Bet",0,-$G451),IF($I451="Medio Perdida",IF($H451="Free Bet",0,-$G451/2),IF($I451="Reembolso",IF($R451="","",ROUND($R451-$G451,2)),IF($I451="Anulada",0,"")))))))</f>
        <v>18</v>
      </c>
      <c r="K451" s="118">
        <f>IF(J451="","",2000+SUM(J$5:J451))</f>
        <v>2835.89</v>
      </c>
      <c r="L451" s="119">
        <f>IF(OR($I451="Ganada",$I451="Perdida",$I451="Medio Ganada",$I451="Medio Perdida"),IF($G451=0,"",J451/$G451),"")</f>
        <v>0.9</v>
      </c>
      <c r="M451" s="120">
        <f>IF(OR($A451="",$B451=""),"",COUNTIFS($A$5:A451,A451,$B$5:B451,B451))</f>
        <v>1</v>
      </c>
      <c r="N451" s="120">
        <f>IF($A451="","",COUNTA($A$5:$A451))</f>
        <v>447</v>
      </c>
      <c r="O451" s="120">
        <f>IF($A451="","",COUNTA($A$5:$A451))</f>
        <v>447</v>
      </c>
      <c r="P451" s="118">
        <f>IF($K451="","",MAX($K$5:K451))</f>
        <v>2879.0899999999997</v>
      </c>
      <c r="Q451" s="117">
        <f>IF($K451="","",K451-P451)</f>
        <v>-43.199999999999818</v>
      </c>
      <c r="R451" s="2"/>
      <c r="S451" s="2">
        <f>IF(OR($A451="",$F451=""),"",IF($I451="Pendiente","",ROUND($G451*($F451*0.609-1),2)))</f>
        <v>3.14</v>
      </c>
      <c r="T451" s="2">
        <f>IF($A451="","",IFERROR(SUM($S$5:S451),0))</f>
        <v>648.96999999999969</v>
      </c>
    </row>
    <row r="452" spans="1:20">
      <c r="A452" s="110">
        <v>46218</v>
      </c>
      <c r="B452" s="113" t="s">
        <v>33</v>
      </c>
      <c r="C452" s="177" t="s">
        <v>766</v>
      </c>
      <c r="D452" s="113" t="s">
        <v>76</v>
      </c>
      <c r="E452" s="176" t="s">
        <v>455</v>
      </c>
      <c r="F452" s="115">
        <v>1.53</v>
      </c>
      <c r="G452" s="116">
        <v>27</v>
      </c>
      <c r="H452" s="120" t="s">
        <v>69</v>
      </c>
      <c r="I452" s="120" t="s">
        <v>70</v>
      </c>
      <c r="J452" s="117">
        <f>IF($A452="","",IF($I452="Ganada",ROUND($G452*($F452-1),2),IF($I452="Medio Ganada",ROUND($G452/2*($F452-1),2),IF($I452="Perdida",IF($H452="Free Bet",0,-$G452),IF($I452="Medio Perdida",IF($H452="Free Bet",0,-$G452/2),IF($I452="Reembolso",IF($R452="","",ROUND($R452-$G452,2)),IF($I452="Anulada",0,"")))))))</f>
        <v>14.31</v>
      </c>
      <c r="K452" s="118">
        <f>IF(J452="","",2000+SUM(J$5:J452))</f>
        <v>2850.2</v>
      </c>
      <c r="L452" s="119">
        <f>IF(OR($I452="Ganada",$I452="Perdida",$I452="Medio Ganada",$I452="Medio Perdida"),IF($G452=0,"",J452/$G452),"")</f>
        <v>0.53</v>
      </c>
      <c r="M452" s="120">
        <f>IF(OR($A452="",$B452=""),"",COUNTIFS($A$5:A452,A452,$B$5:B452,B452))</f>
        <v>2</v>
      </c>
      <c r="N452" s="120">
        <f>IF($A452="","",COUNTA($A$5:$A452))</f>
        <v>448</v>
      </c>
      <c r="O452" s="120">
        <f>IF($A452="","",COUNTA($A$5:$A452))</f>
        <v>448</v>
      </c>
      <c r="P452" s="118">
        <f>IF($K452="","",MAX($K$5:K452))</f>
        <v>2879.0899999999997</v>
      </c>
      <c r="Q452" s="117">
        <f>IF($K452="","",K452-P452)</f>
        <v>-28.889999999999873</v>
      </c>
      <c r="R452" s="2"/>
      <c r="S452" s="2">
        <f>IF(OR($A452="",$F452=""),"",IF($I452="Pendiente","",ROUND($G452*($F452*0.609-1),2)))</f>
        <v>-1.84</v>
      </c>
      <c r="T452" s="2">
        <f>IF($A452="","",IFERROR(SUM($S$5:S452),0))</f>
        <v>647.12999999999965</v>
      </c>
    </row>
    <row r="453" spans="1:20" ht="27.75">
      <c r="A453" s="110">
        <v>46218</v>
      </c>
      <c r="B453" s="113" t="s">
        <v>33</v>
      </c>
      <c r="C453" s="177" t="s">
        <v>767</v>
      </c>
      <c r="D453" s="113" t="s">
        <v>67</v>
      </c>
      <c r="E453" s="176" t="s">
        <v>768</v>
      </c>
      <c r="F453" s="115">
        <v>2.2799999999999998</v>
      </c>
      <c r="G453" s="116">
        <v>20</v>
      </c>
      <c r="H453" s="120" t="s">
        <v>69</v>
      </c>
      <c r="I453" s="120" t="s">
        <v>75</v>
      </c>
      <c r="J453" s="117">
        <f>IF($A453="","",IF($I453="Ganada",ROUND($G453*($F453-1),2),IF($I453="Medio Ganada",ROUND($G453/2*($F453-1),2),IF($I453="Perdida",IF($H453="Free Bet",0,-$G453),IF($I453="Medio Perdida",IF($H453="Free Bet",0,-$G453/2),IF($I453="Reembolso",IF($R453="","",ROUND($R453-$G453,2)),IF($I453="Anulada",0,"")))))))</f>
        <v>-20</v>
      </c>
      <c r="K453" s="118">
        <f>IF(J453="","",2000+SUM(J$5:J453))</f>
        <v>2830.2</v>
      </c>
      <c r="L453" s="119">
        <f>IF(OR($I453="Ganada",$I453="Perdida",$I453="Medio Ganada",$I453="Medio Perdida"),IF($G453=0,"",J453/$G453),"")</f>
        <v>-1</v>
      </c>
      <c r="M453" s="120">
        <f>IF(OR($A453="",$B453=""),"",COUNTIFS($A$5:A453,A453,$B$5:B453,B453))</f>
        <v>3</v>
      </c>
      <c r="N453" s="120">
        <f>IF($A453="","",COUNTA($A$5:$A453))</f>
        <v>449</v>
      </c>
      <c r="O453" s="120">
        <f>IF($A453="","",COUNTA($A$5:$A453))</f>
        <v>449</v>
      </c>
      <c r="P453" s="118">
        <f>IF($K453="","",MAX($K$5:K453))</f>
        <v>2879.0899999999997</v>
      </c>
      <c r="Q453" s="117">
        <f>IF($K453="","",K453-P453)</f>
        <v>-48.889999999999873</v>
      </c>
      <c r="R453" s="2"/>
      <c r="S453" s="2">
        <f>IF(OR($A453="",$F453=""),"",IF($I453="Pendiente","",ROUND($G453*($F453*0.609-1),2)))</f>
        <v>7.77</v>
      </c>
      <c r="T453" s="2">
        <f>IF($A453="","",IFERROR(SUM($S$5:S453),0))</f>
        <v>654.89999999999964</v>
      </c>
    </row>
    <row r="454" spans="1:20">
      <c r="A454" s="110">
        <v>46218</v>
      </c>
      <c r="B454" s="113" t="s">
        <v>33</v>
      </c>
      <c r="C454" s="177" t="s">
        <v>769</v>
      </c>
      <c r="D454" s="113" t="s">
        <v>76</v>
      </c>
      <c r="E454" s="176" t="s">
        <v>198</v>
      </c>
      <c r="F454" s="115">
        <v>1.88</v>
      </c>
      <c r="G454" s="116">
        <v>20</v>
      </c>
      <c r="H454" s="120" t="s">
        <v>69</v>
      </c>
      <c r="I454" s="120" t="s">
        <v>75</v>
      </c>
      <c r="J454" s="117">
        <f>IF($A454="","",IF($I454="Ganada",ROUND($G454*($F454-1),2),IF($I454="Medio Ganada",ROUND($G454/2*($F454-1),2),IF($I454="Perdida",IF($H454="Free Bet",0,-$G454),IF($I454="Medio Perdida",IF($H454="Free Bet",0,-$G454/2),IF($I454="Reembolso",IF($R454="","",ROUND($R454-$G454,2)),IF($I454="Anulada",0,"")))))))</f>
        <v>-20</v>
      </c>
      <c r="K454" s="118">
        <f>IF(J454="","",2000+SUM(J$5:J454))</f>
        <v>2810.2</v>
      </c>
      <c r="L454" s="119">
        <f>IF(OR($I454="Ganada",$I454="Perdida",$I454="Medio Ganada",$I454="Medio Perdida"),IF($G454=0,"",J454/$G454),"")</f>
        <v>-1</v>
      </c>
      <c r="M454" s="120">
        <f>IF(OR($A454="",$B454=""),"",COUNTIFS($A$5:A454,A454,$B$5:B454,B454))</f>
        <v>4</v>
      </c>
      <c r="N454" s="120">
        <f>IF($A454="","",COUNTA($A$5:$A454))</f>
        <v>450</v>
      </c>
      <c r="O454" s="120">
        <f>IF($A454="","",COUNTA($A$5:$A454))</f>
        <v>450</v>
      </c>
      <c r="P454" s="118">
        <f>IF($K454="","",MAX($K$5:K454))</f>
        <v>2879.0899999999997</v>
      </c>
      <c r="Q454" s="117">
        <f>IF($K454="","",K454-P454)</f>
        <v>-68.889999999999873</v>
      </c>
      <c r="R454" s="2"/>
      <c r="S454" s="2">
        <f>IF(OR($A454="",$F454=""),"",IF($I454="Pendiente","",ROUND($G454*($F454*0.609-1),2)))</f>
        <v>2.9</v>
      </c>
      <c r="T454" s="2">
        <f>IF($A454="","",IFERROR(SUM($S$5:S454),0))</f>
        <v>657.79999999999961</v>
      </c>
    </row>
    <row r="455" spans="1:20">
      <c r="A455" s="110">
        <v>46218</v>
      </c>
      <c r="B455" s="113" t="s">
        <v>32</v>
      </c>
      <c r="C455" s="177" t="s">
        <v>770</v>
      </c>
      <c r="D455" s="113" t="s">
        <v>76</v>
      </c>
      <c r="E455" s="1" t="s">
        <v>186</v>
      </c>
      <c r="F455" s="115">
        <v>1.7270000000000001</v>
      </c>
      <c r="G455" s="116">
        <v>27</v>
      </c>
      <c r="H455" s="120" t="s">
        <v>69</v>
      </c>
      <c r="I455" s="120" t="s">
        <v>70</v>
      </c>
      <c r="J455" s="117">
        <f>IF($A455="","",IF($I455="Ganada",ROUND($G455*($F455-1),2),IF($I455="Medio Ganada",ROUND($G455/2*($F455-1),2),IF($I455="Perdida",IF($H455="Free Bet",0,-$G455),IF($I455="Medio Perdida",IF($H455="Free Bet",0,-$G455/2),IF($I455="Reembolso",IF($R455="","",ROUND($R455-$G455,2)),IF($I455="Anulada",0,"")))))))</f>
        <v>19.63</v>
      </c>
      <c r="K455" s="118">
        <f>IF(J455="","",2000+SUM(J$5:J455))</f>
        <v>2829.83</v>
      </c>
      <c r="L455" s="119">
        <f>IF(OR($I455="Ganada",$I455="Perdida",$I455="Medio Ganada",$I455="Medio Perdida"),IF($G455=0,"",J455/$G455),"")</f>
        <v>0.72703703703703704</v>
      </c>
      <c r="M455" s="120">
        <f>IF(OR($A455="",$B455=""),"",COUNTIFS($A$5:A455,A455,$B$5:B455,B455))</f>
        <v>2</v>
      </c>
      <c r="N455" s="120">
        <f>IF($A455="","",COUNTA($A$5:$A455))</f>
        <v>451</v>
      </c>
      <c r="O455" s="120">
        <f>IF($A455="","",COUNTA($A$5:$A455))</f>
        <v>451</v>
      </c>
      <c r="P455" s="118">
        <f>IF($K455="","",MAX($K$5:K455))</f>
        <v>2879.0899999999997</v>
      </c>
      <c r="Q455" s="117">
        <f>IF($K455="","",K455-P455)</f>
        <v>-49.259999999999764</v>
      </c>
      <c r="R455" s="2"/>
      <c r="S455" s="2">
        <f>IF(OR($A455="",$F455=""),"",IF($I455="Pendiente","",ROUND($G455*($F455*0.609-1),2)))</f>
        <v>1.4</v>
      </c>
      <c r="T455" s="2">
        <f>IF($A455="","",IFERROR(SUM($S$5:S455),0))</f>
        <v>659.19999999999959</v>
      </c>
    </row>
    <row r="456" spans="1:20" ht="23.25">
      <c r="A456" s="110">
        <v>46218</v>
      </c>
      <c r="B456" s="113" t="s">
        <v>32</v>
      </c>
      <c r="C456" s="177" t="s">
        <v>771</v>
      </c>
      <c r="D456" s="113" t="s">
        <v>95</v>
      </c>
      <c r="E456" s="1" t="s">
        <v>772</v>
      </c>
      <c r="F456" s="115">
        <v>1.7689999999999999</v>
      </c>
      <c r="G456" s="116">
        <v>27</v>
      </c>
      <c r="H456" s="120" t="s">
        <v>69</v>
      </c>
      <c r="I456" s="120" t="s">
        <v>70</v>
      </c>
      <c r="J456" s="117">
        <f>IF($A456="","",IF($I456="Ganada",ROUND($G456*($F456-1),2),IF($I456="Medio Ganada",ROUND($G456/2*($F456-1),2),IF($I456="Perdida",IF($H456="Free Bet",0,-$G456),IF($I456="Medio Perdida",IF($H456="Free Bet",0,-$G456/2),IF($I456="Reembolso",IF($R456="","",ROUND($R456-$G456,2)),IF($I456="Anulada",0,"")))))))</f>
        <v>20.76</v>
      </c>
      <c r="K456" s="118">
        <f>IF(J456="","",2000+SUM(J$5:J456))</f>
        <v>2850.5899999999997</v>
      </c>
      <c r="L456" s="119">
        <f>IF(OR($I456="Ganada",$I456="Perdida",$I456="Medio Ganada",$I456="Medio Perdida"),IF($G456=0,"",J456/$G456),"")</f>
        <v>0.76888888888888896</v>
      </c>
      <c r="M456" s="120">
        <f>IF(OR($A456="",$B456=""),"",COUNTIFS($A$5:A456,A456,$B$5:B456,B456))</f>
        <v>3</v>
      </c>
      <c r="N456" s="120">
        <f>IF($A456="","",COUNTA($A$5:$A456))</f>
        <v>452</v>
      </c>
      <c r="O456" s="120">
        <f>IF($A456="","",COUNTA($A$5:$A456))</f>
        <v>452</v>
      </c>
      <c r="P456" s="118">
        <f>IF($K456="","",MAX($K$5:K456))</f>
        <v>2879.0899999999997</v>
      </c>
      <c r="Q456" s="117">
        <f>IF($K456="","",K456-P456)</f>
        <v>-28.5</v>
      </c>
      <c r="R456" s="2"/>
      <c r="S456" s="2">
        <f>IF(OR($A456="",$F456=""),"",IF($I456="Pendiente","",ROUND($G456*($F456*0.609-1),2)))</f>
        <v>2.09</v>
      </c>
      <c r="T456" s="2">
        <f>IF($A456="","",IFERROR(SUM($S$5:S456),0))</f>
        <v>661.28999999999962</v>
      </c>
    </row>
    <row r="457" spans="1:20">
      <c r="A457" s="110">
        <v>46218</v>
      </c>
      <c r="B457" s="113" t="s">
        <v>32</v>
      </c>
      <c r="C457" s="177" t="s">
        <v>773</v>
      </c>
      <c r="D457" s="113" t="s">
        <v>67</v>
      </c>
      <c r="E457" s="176" t="s">
        <v>774</v>
      </c>
      <c r="F457" s="115">
        <v>1.7689999999999999</v>
      </c>
      <c r="G457" s="116">
        <v>27</v>
      </c>
      <c r="H457" s="120" t="s">
        <v>69</v>
      </c>
      <c r="I457" s="120" t="s">
        <v>70</v>
      </c>
      <c r="J457" s="117">
        <f>IF($A457="","",IF($I457="Ganada",ROUND($G457*($F457-1),2),IF($I457="Medio Ganada",ROUND($G457/2*($F457-1),2),IF($I457="Perdida",IF($H457="Free Bet",0,-$G457),IF($I457="Medio Perdida",IF($H457="Free Bet",0,-$G457/2),IF($I457="Reembolso",IF($R457="","",ROUND($R457-$G457,2)),IF($I457="Anulada",0,"")))))))</f>
        <v>20.76</v>
      </c>
      <c r="K457" s="118">
        <f>IF(J457="","",2000+SUM(J$5:J457))</f>
        <v>2871.35</v>
      </c>
      <c r="L457" s="119">
        <f>IF(OR($I457="Ganada",$I457="Perdida",$I457="Medio Ganada",$I457="Medio Perdida"),IF($G457=0,"",J457/$G457),"")</f>
        <v>0.76888888888888896</v>
      </c>
      <c r="M457" s="120">
        <f>IF(OR($A457="",$B457=""),"",COUNTIFS($A$5:A457,A457,$B$5:B457,B457))</f>
        <v>4</v>
      </c>
      <c r="N457" s="120">
        <f>IF($A457="","",COUNTA($A$5:$A457))</f>
        <v>453</v>
      </c>
      <c r="O457" s="120">
        <f>IF($A457="","",COUNTA($A$5:$A457))</f>
        <v>453</v>
      </c>
      <c r="P457" s="118">
        <f>IF($K457="","",MAX($K$5:K457))</f>
        <v>2879.0899999999997</v>
      </c>
      <c r="Q457" s="117">
        <f>IF($K457="","",K457-P457)</f>
        <v>-7.7399999999997817</v>
      </c>
      <c r="R457" s="2"/>
      <c r="S457" s="2">
        <f>IF(OR($A457="",$F457=""),"",IF($I457="Pendiente","",ROUND($G457*($F457*0.609-1),2)))</f>
        <v>2.09</v>
      </c>
      <c r="T457" s="2">
        <f>IF($A457="","",IFERROR(SUM($S$5:S457),0))</f>
        <v>663.37999999999965</v>
      </c>
    </row>
    <row r="458" spans="1:20" ht="23.25">
      <c r="A458" s="110">
        <v>46218</v>
      </c>
      <c r="B458" s="113" t="s">
        <v>37</v>
      </c>
      <c r="C458" s="177" t="s">
        <v>775</v>
      </c>
      <c r="D458" s="113" t="s">
        <v>76</v>
      </c>
      <c r="E458" s="176" t="s">
        <v>272</v>
      </c>
      <c r="F458" s="115">
        <v>2.62</v>
      </c>
      <c r="G458" s="116">
        <v>14</v>
      </c>
      <c r="H458" s="120" t="s">
        <v>69</v>
      </c>
      <c r="I458" s="120" t="s">
        <v>75</v>
      </c>
      <c r="J458" s="117">
        <f>IF($A458="","",IF($I458="Ganada",ROUND($G458*($F458-1),2),IF($I458="Medio Ganada",ROUND($G458/2*($F458-1),2),IF($I458="Perdida",IF($H458="Free Bet",0,-$G458),IF($I458="Medio Perdida",IF($H458="Free Bet",0,-$G458/2),IF($I458="Reembolso",IF($R458="","",ROUND($R458-$G458,2)),IF($I458="Anulada",0,"")))))))</f>
        <v>-14</v>
      </c>
      <c r="K458" s="118">
        <f>IF(J458="","",2000+SUM(J$5:J458))</f>
        <v>2857.35</v>
      </c>
      <c r="L458" s="119">
        <f>IF(OR($I458="Ganada",$I458="Perdida",$I458="Medio Ganada",$I458="Medio Perdida"),IF($G458=0,"",J458/$G458),"")</f>
        <v>-1</v>
      </c>
      <c r="M458" s="120">
        <f>IF(OR($A458="",$B458=""),"",COUNTIFS($A$5:A458,A458,$B$5:B458,B458))</f>
        <v>1</v>
      </c>
      <c r="N458" s="120">
        <f>IF($A458="","",COUNTA($A$5:$A458))</f>
        <v>454</v>
      </c>
      <c r="O458" s="120">
        <f>IF($A458="","",COUNTA($A$5:$A458))</f>
        <v>454</v>
      </c>
      <c r="P458" s="118">
        <f>IF($K458="","",MAX($K$5:K458))</f>
        <v>2879.0899999999997</v>
      </c>
      <c r="Q458" s="117">
        <f>IF($K458="","",K458-P458)</f>
        <v>-21.739999999999782</v>
      </c>
      <c r="R458" s="2"/>
      <c r="S458" s="2">
        <f>IF(OR($A458="",$F458=""),"",IF($I458="Pendiente","",ROUND($G458*($F458*0.609-1),2)))</f>
        <v>8.34</v>
      </c>
      <c r="T458" s="2">
        <f>IF($A458="","",IFERROR(SUM($S$5:S458),0))</f>
        <v>671.71999999999969</v>
      </c>
    </row>
    <row r="459" spans="1:20" ht="23.25">
      <c r="A459" s="110">
        <v>46218</v>
      </c>
      <c r="B459" s="113" t="s">
        <v>33</v>
      </c>
      <c r="C459" s="177" t="s">
        <v>776</v>
      </c>
      <c r="D459" s="113" t="s">
        <v>76</v>
      </c>
      <c r="E459" s="1" t="s">
        <v>186</v>
      </c>
      <c r="F459" s="115">
        <v>2.02</v>
      </c>
      <c r="G459" s="116">
        <v>20</v>
      </c>
      <c r="H459" s="120" t="s">
        <v>69</v>
      </c>
      <c r="I459" s="120" t="s">
        <v>75</v>
      </c>
      <c r="J459" s="117">
        <f>IF($A459="","",IF($I459="Ganada",ROUND($G459*($F459-1),2),IF($I459="Medio Ganada",ROUND($G459/2*($F459-1),2),IF($I459="Perdida",IF($H459="Free Bet",0,-$G459),IF($I459="Medio Perdida",IF($H459="Free Bet",0,-$G459/2),IF($I459="Reembolso",IF($R459="","",ROUND($R459-$G459,2)),IF($I459="Anulada",0,"")))))))</f>
        <v>-20</v>
      </c>
      <c r="K459" s="118">
        <f>IF(J459="","",2000+SUM(J$5:J459))</f>
        <v>2837.35</v>
      </c>
      <c r="L459" s="119">
        <f>IF(OR($I459="Ganada",$I459="Perdida",$I459="Medio Ganada",$I459="Medio Perdida"),IF($G459=0,"",J459/$G459),"")</f>
        <v>-1</v>
      </c>
      <c r="M459" s="120">
        <f>IF(OR($A459="",$B459=""),"",COUNTIFS($A$5:A459,A459,$B$5:B459,B459))</f>
        <v>5</v>
      </c>
      <c r="N459" s="120">
        <f>IF($A459="","",COUNTA($A$5:$A459))</f>
        <v>455</v>
      </c>
      <c r="O459" s="120">
        <f>IF($A459="","",COUNTA($A$5:$A459))</f>
        <v>455</v>
      </c>
      <c r="P459" s="118">
        <f>IF($K459="","",MAX($K$5:K459))</f>
        <v>2879.0899999999997</v>
      </c>
      <c r="Q459" s="117">
        <f>IF($K459="","",K459-P459)</f>
        <v>-41.739999999999782</v>
      </c>
      <c r="R459" s="2"/>
      <c r="S459" s="2">
        <f>IF(OR($A459="",$F459=""),"",IF($I459="Pendiente","",ROUND($G459*($F459*0.609-1),2)))</f>
        <v>4.5999999999999996</v>
      </c>
      <c r="T459" s="2">
        <f>IF($A459="","",IFERROR(SUM($S$5:S459),0))</f>
        <v>676.31999999999971</v>
      </c>
    </row>
    <row r="460" spans="1:20" ht="23.25">
      <c r="A460" s="110">
        <v>46218</v>
      </c>
      <c r="B460" s="157" t="s">
        <v>32</v>
      </c>
      <c r="C460" s="177" t="s">
        <v>777</v>
      </c>
      <c r="D460" s="113" t="s">
        <v>76</v>
      </c>
      <c r="E460" s="176" t="s">
        <v>455</v>
      </c>
      <c r="F460" s="115">
        <v>1.5329999999999999</v>
      </c>
      <c r="G460" s="116">
        <v>27</v>
      </c>
      <c r="H460" s="120" t="s">
        <v>69</v>
      </c>
      <c r="I460" s="120" t="s">
        <v>75</v>
      </c>
      <c r="J460" s="117">
        <f>IF($A460="","",IF($I460="Ganada",ROUND($G460*($F460-1),2),IF($I460="Medio Ganada",ROUND($G460/2*($F460-1),2),IF($I460="Perdida",IF($H460="Free Bet",0,-$G460),IF($I460="Medio Perdida",IF($H460="Free Bet",0,-$G460/2),IF($I460="Reembolso",IF($R460="","",ROUND($R460-$G460,2)),IF($I460="Anulada",0,"")))))))</f>
        <v>-27</v>
      </c>
      <c r="K460" s="118">
        <f>IF(J460="","",2000+SUM(J$5:J460))</f>
        <v>2810.35</v>
      </c>
      <c r="L460" s="119">
        <f>IF(OR($I460="Ganada",$I460="Perdida",$I460="Medio Ganada",$I460="Medio Perdida"),IF($G460=0,"",J460/$G460),"")</f>
        <v>-1</v>
      </c>
      <c r="M460" s="120">
        <f>IF(OR($A460="",$B460=""),"",COUNTIFS($A$5:A460,A460,$B$5:B460,B460))</f>
        <v>5</v>
      </c>
      <c r="N460" s="120">
        <f>IF($A460="","",COUNTA($A$5:$A460))</f>
        <v>456</v>
      </c>
      <c r="O460" s="120">
        <f>IF($A460="","",COUNTA($A$5:$A460))</f>
        <v>456</v>
      </c>
      <c r="P460" s="118">
        <f>IF($K460="","",MAX($K$5:K460))</f>
        <v>2879.0899999999997</v>
      </c>
      <c r="Q460" s="117">
        <f>IF($K460="","",K460-P460)</f>
        <v>-68.739999999999782</v>
      </c>
      <c r="R460" s="2"/>
      <c r="S460" s="2">
        <f>IF(OR($A460="",$F460=""),"",IF($I460="Pendiente","",ROUND($G460*($F460*0.609-1),2)))</f>
        <v>-1.79</v>
      </c>
      <c r="T460" s="2">
        <f>IF($A460="","",IFERROR(SUM($S$5:S460),0))</f>
        <v>674.52999999999975</v>
      </c>
    </row>
    <row r="461" spans="1:20" ht="27.75">
      <c r="A461" s="110">
        <v>46219</v>
      </c>
      <c r="B461" s="113" t="s">
        <v>32</v>
      </c>
      <c r="C461" s="176" t="s">
        <v>778</v>
      </c>
      <c r="D461" s="113" t="s">
        <v>76</v>
      </c>
      <c r="E461" s="176" t="s">
        <v>272</v>
      </c>
      <c r="F461" s="115">
        <v>1.909</v>
      </c>
      <c r="G461" s="116">
        <v>20</v>
      </c>
      <c r="H461" s="120" t="s">
        <v>69</v>
      </c>
      <c r="I461" s="120" t="s">
        <v>70</v>
      </c>
      <c r="J461" s="117">
        <f>IF($A461="","",IF($I461="Ganada",ROUND($G461*($F461-1),2),IF($I461="Medio Ganada",ROUND($G461/2*($F461-1),2),IF($I461="Perdida",IF($H461="Free Bet",0,-$G461),IF($I461="Medio Perdida",IF($H461="Free Bet",0,-$G461/2),IF($I461="Reembolso",IF($R461="","",ROUND($R461-$G461,2)),IF($I461="Anulada",0,"")))))))</f>
        <v>18.18</v>
      </c>
      <c r="K461" s="118">
        <f>IF(J461="","",2000+SUM(J$5:J461))</f>
        <v>2828.5299999999997</v>
      </c>
      <c r="L461" s="119">
        <f>IF(OR($I461="Ganada",$I461="Perdida",$I461="Medio Ganada",$I461="Medio Perdida"),IF($G461=0,"",J461/$G461),"")</f>
        <v>0.90900000000000003</v>
      </c>
      <c r="M461" s="120">
        <f>IF(OR($A461="",$B461=""),"",COUNTIFS($A$5:A461,A461,$B$5:B461,B461))</f>
        <v>1</v>
      </c>
      <c r="N461" s="120">
        <f>IF($A461="","",COUNTA($A$5:$A461))</f>
        <v>457</v>
      </c>
      <c r="O461" s="120">
        <f>IF($A461="","",COUNTA($A$5:$A461))</f>
        <v>457</v>
      </c>
      <c r="P461" s="118">
        <f>IF($K461="","",MAX($K$5:K461))</f>
        <v>2879.0899999999997</v>
      </c>
      <c r="Q461" s="117">
        <f>IF($K461="","",K461-P461)</f>
        <v>-50.559999999999945</v>
      </c>
      <c r="R461" s="2"/>
      <c r="S461" s="2">
        <f>IF(OR($A461="",$F461=""),"",IF($I461="Pendiente","",ROUND($G461*($F461*0.609-1),2)))</f>
        <v>3.25</v>
      </c>
      <c r="T461" s="2">
        <f>IF($A461="","",IFERROR(SUM($S$5:S461),0))</f>
        <v>677.77999999999975</v>
      </c>
    </row>
    <row r="462" spans="1:20" ht="27.75">
      <c r="A462" s="110">
        <v>46219</v>
      </c>
      <c r="B462" s="113" t="s">
        <v>37</v>
      </c>
      <c r="C462" s="177" t="s">
        <v>779</v>
      </c>
      <c r="D462" s="113" t="s">
        <v>67</v>
      </c>
      <c r="E462" s="176" t="s">
        <v>780</v>
      </c>
      <c r="F462" s="115">
        <v>1.5</v>
      </c>
      <c r="G462" s="116">
        <v>29</v>
      </c>
      <c r="H462" s="120" t="s">
        <v>69</v>
      </c>
      <c r="I462" s="120" t="s">
        <v>75</v>
      </c>
      <c r="J462" s="117">
        <f>IF($A462="","",IF($I462="Ganada",ROUND($G462*($F462-1),2),IF($I462="Medio Ganada",ROUND($G462/2*($F462-1),2),IF($I462="Perdida",IF($H462="Free Bet",0,-$G462),IF($I462="Medio Perdida",IF($H462="Free Bet",0,-$G462/2),IF($I462="Reembolso",IF($R462="","",ROUND($R462-$G462,2)),IF($I462="Anulada",0,"")))))))</f>
        <v>-29</v>
      </c>
      <c r="K462" s="118">
        <f>IF(J462="","",2000+SUM(J$5:J462))</f>
        <v>2799.5299999999997</v>
      </c>
      <c r="L462" s="119">
        <f>IF(OR($I462="Ganada",$I462="Perdida",$I462="Medio Ganada",$I462="Medio Perdida"),IF($G462=0,"",J462/$G462),"")</f>
        <v>-1</v>
      </c>
      <c r="M462" s="120">
        <f>IF(OR($A462="",$B462=""),"",COUNTIFS($A$5:A462,A462,$B$5:B462,B462))</f>
        <v>1</v>
      </c>
      <c r="N462" s="120">
        <f>IF($A462="","",COUNTA($A$5:$A462))</f>
        <v>458</v>
      </c>
      <c r="O462" s="120">
        <f>IF($A462="","",COUNTA($A$5:$A462))</f>
        <v>458</v>
      </c>
      <c r="P462" s="118">
        <f>IF($K462="","",MAX($K$5:K462))</f>
        <v>2879.0899999999997</v>
      </c>
      <c r="Q462" s="117">
        <f>IF($K462="","",K462-P462)</f>
        <v>-79.559999999999945</v>
      </c>
      <c r="R462" s="2"/>
      <c r="S462" s="2">
        <f>IF(OR($A462="",$F462=""),"",IF($I462="Pendiente","",ROUND($G462*($F462*0.609-1),2)))</f>
        <v>-2.5099999999999998</v>
      </c>
      <c r="T462" s="2">
        <f>IF($A462="","",IFERROR(SUM($S$5:S462),0))</f>
        <v>675.26999999999975</v>
      </c>
    </row>
    <row r="463" spans="1:20" ht="27.75">
      <c r="A463" s="110">
        <v>46219</v>
      </c>
      <c r="B463" s="113" t="s">
        <v>33</v>
      </c>
      <c r="C463" s="176" t="s">
        <v>781</v>
      </c>
      <c r="D463" s="113" t="s">
        <v>76</v>
      </c>
      <c r="E463" s="176" t="s">
        <v>534</v>
      </c>
      <c r="F463" s="115">
        <v>1.63</v>
      </c>
      <c r="G463" s="116">
        <v>15</v>
      </c>
      <c r="H463" s="120" t="s">
        <v>69</v>
      </c>
      <c r="I463" s="120" t="s">
        <v>70</v>
      </c>
      <c r="J463" s="117">
        <f>IF($A463="","",IF($I463="Ganada",ROUND($G463*($F463-1),2),IF($I463="Medio Ganada",ROUND($G463/2*($F463-1),2),IF($I463="Perdida",IF($H463="Free Bet",0,-$G463),IF($I463="Medio Perdida",IF($H463="Free Bet",0,-$G463/2),IF($I463="Reembolso",IF($R463="","",ROUND($R463-$G463,2)),IF($I463="Anulada",0,"")))))))</f>
        <v>9.4499999999999993</v>
      </c>
      <c r="K463" s="118">
        <f>IF(J463="","",2000+SUM(J$5:J463))</f>
        <v>2808.9799999999996</v>
      </c>
      <c r="L463" s="119">
        <f>IF(OR($I463="Ganada",$I463="Perdida",$I463="Medio Ganada",$I463="Medio Perdida"),IF($G463=0,"",J463/$G463),"")</f>
        <v>0.63</v>
      </c>
      <c r="M463" s="120">
        <f>IF(OR($A463="",$B463=""),"",COUNTIFS($A$5:A463,A463,$B$5:B463,B463))</f>
        <v>1</v>
      </c>
      <c r="N463" s="120">
        <f>IF($A463="","",COUNTA($A$5:$A463))</f>
        <v>459</v>
      </c>
      <c r="O463" s="120">
        <f>IF($A463="","",COUNTA($A$5:$A463))</f>
        <v>459</v>
      </c>
      <c r="P463" s="118">
        <f>IF($K463="","",MAX($K$5:K463))</f>
        <v>2879.0899999999997</v>
      </c>
      <c r="Q463" s="117">
        <f>IF($K463="","",K463-P463)</f>
        <v>-70.110000000000127</v>
      </c>
      <c r="R463" s="2"/>
      <c r="S463" s="2">
        <f>IF(OR($A463="",$F463=""),"",IF($I463="Pendiente","",ROUND($G463*($F463*0.609-1),2)))</f>
        <v>-0.11</v>
      </c>
      <c r="T463" s="2">
        <f>IF($A463="","",IFERROR(SUM($S$5:S463),0))</f>
        <v>675.15999999999974</v>
      </c>
    </row>
    <row r="464" spans="1:20" ht="23.25">
      <c r="A464" s="110">
        <v>46219</v>
      </c>
      <c r="B464" s="113" t="s">
        <v>33</v>
      </c>
      <c r="C464" s="177" t="s">
        <v>781</v>
      </c>
      <c r="D464" s="113" t="s">
        <v>76</v>
      </c>
      <c r="E464" s="176" t="s">
        <v>198</v>
      </c>
      <c r="F464" s="115">
        <v>1.46</v>
      </c>
      <c r="G464" s="116">
        <v>25</v>
      </c>
      <c r="H464" s="120" t="s">
        <v>69</v>
      </c>
      <c r="I464" s="120" t="s">
        <v>70</v>
      </c>
      <c r="J464" s="117">
        <f>IF($A464="","",IF($I464="Ganada",ROUND($G464*($F464-1),2),IF($I464="Medio Ganada",ROUND($G464/2*($F464-1),2),IF($I464="Perdida",IF($H464="Free Bet",0,-$G464),IF($I464="Medio Perdida",IF($H464="Free Bet",0,-$G464/2),IF($I464="Reembolso",IF($R464="","",ROUND($R464-$G464,2)),IF($I464="Anulada",0,"")))))))</f>
        <v>11.5</v>
      </c>
      <c r="K464" s="118">
        <f>IF(J464="","",2000+SUM(J$5:J464))</f>
        <v>2820.4799999999996</v>
      </c>
      <c r="L464" s="119">
        <f>IF(OR($I464="Ganada",$I464="Perdida",$I464="Medio Ganada",$I464="Medio Perdida"),IF($G464=0,"",J464/$G464),"")</f>
        <v>0.46</v>
      </c>
      <c r="M464" s="120">
        <f>IF(OR($A464="",$B464=""),"",COUNTIFS($A$5:A464,A464,$B$5:B464,B464))</f>
        <v>2</v>
      </c>
      <c r="N464" s="120">
        <f>IF($A464="","",COUNTA($A$5:$A464))</f>
        <v>460</v>
      </c>
      <c r="O464" s="120">
        <f>IF($A464="","",COUNTA($A$5:$A464))</f>
        <v>460</v>
      </c>
      <c r="P464" s="118">
        <f>IF($K464="","",MAX($K$5:K464))</f>
        <v>2879.0899999999997</v>
      </c>
      <c r="Q464" s="117">
        <f>IF($K464="","",K464-P464)</f>
        <v>-58.610000000000127</v>
      </c>
      <c r="R464" s="2"/>
      <c r="S464" s="2">
        <f>IF(OR($A464="",$F464=""),"",IF($I464="Pendiente","",ROUND($G464*($F464*0.609-1),2)))</f>
        <v>-2.77</v>
      </c>
      <c r="T464" s="2">
        <f>IF($A464="","",IFERROR(SUM($S$5:S464),0))</f>
        <v>672.38999999999976</v>
      </c>
    </row>
    <row r="465" spans="1:20">
      <c r="A465" s="110">
        <v>46219</v>
      </c>
      <c r="B465" s="113" t="s">
        <v>32</v>
      </c>
      <c r="C465" s="177" t="s">
        <v>782</v>
      </c>
      <c r="D465" s="113" t="s">
        <v>76</v>
      </c>
      <c r="E465" s="176" t="s">
        <v>783</v>
      </c>
      <c r="F465" s="115">
        <v>1.95</v>
      </c>
      <c r="G465" s="116">
        <v>23</v>
      </c>
      <c r="H465" s="120" t="s">
        <v>69</v>
      </c>
      <c r="I465" s="120" t="s">
        <v>70</v>
      </c>
      <c r="J465" s="117">
        <f>IF($A465="","",IF($I465="Ganada",ROUND($G465*($F465-1),2),IF($I465="Medio Ganada",ROUND($G465/2*($F465-1),2),IF($I465="Perdida",IF($H465="Free Bet",0,-$G465),IF($I465="Medio Perdida",IF($H465="Free Bet",0,-$G465/2),IF($I465="Reembolso",IF($R465="","",ROUND($R465-$G465,2)),IF($I465="Anulada",0,"")))))))</f>
        <v>21.85</v>
      </c>
      <c r="K465" s="118">
        <f>IF(J465="","",2000+SUM(J$5:J465))</f>
        <v>2842.33</v>
      </c>
      <c r="L465" s="119">
        <f>IF(OR($I465="Ganada",$I465="Perdida",$I465="Medio Ganada",$I465="Medio Perdida"),IF($G465=0,"",J465/$G465),"")</f>
        <v>0.95000000000000007</v>
      </c>
      <c r="M465" s="120">
        <f>IF(OR($A465="",$B465=""),"",COUNTIFS($A$5:A465,A465,$B$5:B465,B465))</f>
        <v>2</v>
      </c>
      <c r="N465" s="120">
        <f>IF($A465="","",COUNTA($A$5:$A465))</f>
        <v>461</v>
      </c>
      <c r="O465" s="120">
        <f>IF($A465="","",COUNTA($A$5:$A465))</f>
        <v>461</v>
      </c>
      <c r="P465" s="118">
        <f>IF($K465="","",MAX($K$5:K465))</f>
        <v>2879.0899999999997</v>
      </c>
      <c r="Q465" s="117">
        <f>IF($K465="","",K465-P465)</f>
        <v>-36.759999999999764</v>
      </c>
      <c r="R465" s="2"/>
      <c r="S465" s="2">
        <f>IF(OR($A465="",$F465=""),"",IF($I465="Pendiente","",ROUND($G465*($F465*0.609-1),2)))</f>
        <v>4.3099999999999996</v>
      </c>
      <c r="T465" s="2">
        <f>IF($A465="","",IFERROR(SUM($S$5:S465),0))</f>
        <v>676.6999999999997</v>
      </c>
    </row>
    <row r="466" spans="1:20" ht="15" customHeight="1">
      <c r="A466" s="110">
        <v>46219</v>
      </c>
      <c r="B466" s="113" t="s">
        <v>33</v>
      </c>
      <c r="C466" s="177" t="s">
        <v>784</v>
      </c>
      <c r="D466" s="113" t="s">
        <v>67</v>
      </c>
      <c r="E466" s="1" t="s">
        <v>576</v>
      </c>
      <c r="F466" s="115">
        <v>1.67</v>
      </c>
      <c r="G466" s="116">
        <v>30</v>
      </c>
      <c r="H466" s="120" t="s">
        <v>69</v>
      </c>
      <c r="I466" s="120" t="s">
        <v>70</v>
      </c>
      <c r="J466" s="117">
        <f>IF($A466="","",IF($I466="Ganada",ROUND($G466*($F466-1),2),IF($I466="Medio Ganada",ROUND($G466/2*($F466-1),2),IF($I466="Perdida",IF($H466="Free Bet",0,-$G466),IF($I466="Medio Perdida",IF($H466="Free Bet",0,-$G466/2),IF($I466="Reembolso",IF($R466="","",ROUND($R466-$G466,2)),IF($I466="Anulada",0,"")))))))</f>
        <v>20.100000000000001</v>
      </c>
      <c r="K466" s="118">
        <f>IF(J466="","",2000+SUM(J$5:J466))</f>
        <v>2862.43</v>
      </c>
      <c r="L466" s="119">
        <f>IF(OR($I466="Ganada",$I466="Perdida",$I466="Medio Ganada",$I466="Medio Perdida"),IF($G466=0,"",J466/$G466),"")</f>
        <v>0.67</v>
      </c>
      <c r="M466" s="120">
        <f>IF(OR($A466="",$B466=""),"",COUNTIFS($A$5:A466,A466,$B$5:B466,B466))</f>
        <v>3</v>
      </c>
      <c r="N466" s="120">
        <f>IF($A466="","",COUNTA($A$5:$A466))</f>
        <v>462</v>
      </c>
      <c r="O466" s="120">
        <f>IF($A466="","",COUNTA($A$5:$A466))</f>
        <v>462</v>
      </c>
      <c r="P466" s="118">
        <f>IF($K466="","",MAX($K$5:K466))</f>
        <v>2879.0899999999997</v>
      </c>
      <c r="Q466" s="117">
        <f>IF($K466="","",K466-P466)</f>
        <v>-16.659999999999854</v>
      </c>
      <c r="R466" s="2"/>
      <c r="S466" s="2">
        <f>IF(OR($A466="",$F466=""),"",IF($I466="Pendiente","",ROUND($G466*($F466*0.609-1),2)))</f>
        <v>0.51</v>
      </c>
      <c r="T466" s="2">
        <f>IF($A466="","",IFERROR(SUM($S$5:S466),0))</f>
        <v>677.2099999999997</v>
      </c>
    </row>
    <row r="467" spans="1:20" ht="23.25">
      <c r="A467" s="110">
        <v>46219</v>
      </c>
      <c r="B467" s="113" t="s">
        <v>36</v>
      </c>
      <c r="C467" s="177" t="s">
        <v>785</v>
      </c>
      <c r="D467" s="113" t="s">
        <v>95</v>
      </c>
      <c r="E467" s="1" t="s">
        <v>786</v>
      </c>
      <c r="F467" s="115">
        <v>1.81</v>
      </c>
      <c r="G467" s="116">
        <v>30</v>
      </c>
      <c r="H467" s="120" t="s">
        <v>69</v>
      </c>
      <c r="I467" s="120" t="s">
        <v>75</v>
      </c>
      <c r="J467" s="117">
        <f>IF($A467="","",IF($I467="Ganada",ROUND($G467*($F467-1),2),IF($I467="Medio Ganada",ROUND($G467/2*($F467-1),2),IF($I467="Perdida",IF($H467="Free Bet",0,-$G467),IF($I467="Medio Perdida",IF($H467="Free Bet",0,-$G467/2),IF($I467="Reembolso",IF($R467="","",ROUND($R467-$G467,2)),IF($I467="Anulada",0,"")))))))</f>
        <v>-30</v>
      </c>
      <c r="K467" s="118">
        <f>IF(J467="","",2000+SUM(J$5:J467))</f>
        <v>2832.43</v>
      </c>
      <c r="L467" s="119">
        <f>IF(OR($I467="Ganada",$I467="Perdida",$I467="Medio Ganada",$I467="Medio Perdida"),IF($G467=0,"",J467/$G467),"")</f>
        <v>-1</v>
      </c>
      <c r="M467" s="120">
        <f>IF(OR($A467="",$B467=""),"",COUNTIFS($A$5:A467,A467,$B$5:B467,B467))</f>
        <v>1</v>
      </c>
      <c r="N467" s="120">
        <f>IF($A467="","",COUNTA($A$5:$A467))</f>
        <v>463</v>
      </c>
      <c r="O467" s="120">
        <f>IF($A467="","",COUNTA($A$5:$A467))</f>
        <v>463</v>
      </c>
      <c r="P467" s="118">
        <f>IF($K467="","",MAX($K$5:K467))</f>
        <v>2879.0899999999997</v>
      </c>
      <c r="Q467" s="117">
        <f>IF($K467="","",K467-P467)</f>
        <v>-46.659999999999854</v>
      </c>
      <c r="R467" s="2"/>
      <c r="S467" s="2">
        <f>IF(OR($A467="",$F467=""),"",IF($I467="Pendiente","",ROUND($G467*($F467*0.609-1),2)))</f>
        <v>3.07</v>
      </c>
      <c r="T467" s="2">
        <f>IF($A467="","",IFERROR(SUM($S$5:S467),0))</f>
        <v>680.27999999999975</v>
      </c>
    </row>
    <row r="468" spans="1:20">
      <c r="A468" s="110">
        <v>46219</v>
      </c>
      <c r="B468" s="113" t="s">
        <v>36</v>
      </c>
      <c r="C468" s="177" t="s">
        <v>787</v>
      </c>
      <c r="D468" s="113" t="s">
        <v>95</v>
      </c>
      <c r="E468" s="1" t="s">
        <v>788</v>
      </c>
      <c r="F468" s="115">
        <v>2.2799999999999998</v>
      </c>
      <c r="G468" s="116">
        <v>19</v>
      </c>
      <c r="H468" s="120" t="s">
        <v>69</v>
      </c>
      <c r="I468" s="120" t="s">
        <v>70</v>
      </c>
      <c r="J468" s="117">
        <f>IF($A468="","",IF($I468="Ganada",ROUND($G468*($F468-1),2),IF($I468="Medio Ganada",ROUND($G468/2*($F468-1),2),IF($I468="Perdida",IF($H468="Free Bet",0,-$G468),IF($I468="Medio Perdida",IF($H468="Free Bet",0,-$G468/2),IF($I468="Reembolso",IF($R468="","",ROUND($R468-$G468,2)),IF($I468="Anulada",0,"")))))))</f>
        <v>24.32</v>
      </c>
      <c r="K468" s="118">
        <f>IF(J468="","",2000+SUM(J$5:J468))</f>
        <v>2856.75</v>
      </c>
      <c r="L468" s="119">
        <f>IF(OR($I468="Ganada",$I468="Perdida",$I468="Medio Ganada",$I468="Medio Perdida"),IF($G468=0,"",J468/$G468),"")</f>
        <v>1.28</v>
      </c>
      <c r="M468" s="120">
        <f>IF(OR($A468="",$B468=""),"",COUNTIFS($A$5:A468,A468,$B$5:B468,B468))</f>
        <v>2</v>
      </c>
      <c r="N468" s="120">
        <f>IF($A468="","",COUNTA($A$5:$A468))</f>
        <v>464</v>
      </c>
      <c r="O468" s="120">
        <f>IF($A468="","",COUNTA($A$5:$A468))</f>
        <v>464</v>
      </c>
      <c r="P468" s="118">
        <f>IF($K468="","",MAX($K$5:K468))</f>
        <v>2879.0899999999997</v>
      </c>
      <c r="Q468" s="117">
        <f>IF($K468="","",K468-P468)</f>
        <v>-22.339999999999691</v>
      </c>
      <c r="R468" s="2"/>
      <c r="S468" s="2">
        <f>IF(OR($A468="",$F468=""),"",IF($I468="Pendiente","",ROUND($G468*($F468*0.609-1),2)))</f>
        <v>7.38</v>
      </c>
      <c r="T468" s="2">
        <f>IF($A468="","",IFERROR(SUM($S$5:S468),0))</f>
        <v>687.65999999999974</v>
      </c>
    </row>
    <row r="469" spans="1:20">
      <c r="A469" s="110">
        <v>46219</v>
      </c>
      <c r="B469" s="113" t="s">
        <v>32</v>
      </c>
      <c r="C469" s="177" t="s">
        <v>789</v>
      </c>
      <c r="D469" s="113" t="s">
        <v>76</v>
      </c>
      <c r="E469" s="176" t="s">
        <v>560</v>
      </c>
      <c r="F469" s="115">
        <v>1.95</v>
      </c>
      <c r="G469" s="116">
        <v>22</v>
      </c>
      <c r="H469" s="120" t="s">
        <v>69</v>
      </c>
      <c r="I469" s="120" t="s">
        <v>70</v>
      </c>
      <c r="J469" s="117">
        <f>IF($A469="","",IF($I469="Ganada",ROUND($G469*($F469-1),2),IF($I469="Medio Ganada",ROUND($G469/2*($F469-1),2),IF($I469="Perdida",IF($H469="Free Bet",0,-$G469),IF($I469="Medio Perdida",IF($H469="Free Bet",0,-$G469/2),IF($I469="Reembolso",IF($R469="","",ROUND($R469-$G469,2)),IF($I469="Anulada",0,"")))))))</f>
        <v>20.9</v>
      </c>
      <c r="K469" s="118">
        <f>IF(J469="","",2000+SUM(J$5:J469))</f>
        <v>2877.6499999999996</v>
      </c>
      <c r="L469" s="119">
        <f>IF(OR($I469="Ganada",$I469="Perdida",$I469="Medio Ganada",$I469="Medio Perdida"),IF($G469=0,"",J469/$G469),"")</f>
        <v>0.95</v>
      </c>
      <c r="M469" s="120">
        <f>IF(OR($A469="",$B469=""),"",COUNTIFS($A$5:A469,A469,$B$5:B469,B469))</f>
        <v>3</v>
      </c>
      <c r="N469" s="120">
        <f>IF($A469="","",COUNTA($A$5:$A469))</f>
        <v>465</v>
      </c>
      <c r="O469" s="120">
        <f>IF($A469="","",COUNTA($A$5:$A469))</f>
        <v>465</v>
      </c>
      <c r="P469" s="118">
        <f>IF($K469="","",MAX($K$5:K469))</f>
        <v>2879.0899999999997</v>
      </c>
      <c r="Q469" s="117">
        <f>IF($K469="","",K469-P469)</f>
        <v>-1.4400000000000546</v>
      </c>
      <c r="R469" s="2"/>
      <c r="S469" s="2">
        <f>IF(OR($A469="",$F469=""),"",IF($I469="Pendiente","",ROUND($G469*($F469*0.609-1),2)))</f>
        <v>4.13</v>
      </c>
      <c r="T469" s="2">
        <f>IF($A469="","",IFERROR(SUM($S$5:S469),0))</f>
        <v>691.78999999999974</v>
      </c>
    </row>
    <row r="470" spans="1:20">
      <c r="A470" s="110">
        <v>46219</v>
      </c>
      <c r="B470" s="113" t="s">
        <v>36</v>
      </c>
      <c r="C470" s="177" t="s">
        <v>790</v>
      </c>
      <c r="D470" s="113" t="s">
        <v>76</v>
      </c>
      <c r="E470" s="176" t="s">
        <v>680</v>
      </c>
      <c r="F470" s="115">
        <v>1.56</v>
      </c>
      <c r="G470" s="116">
        <v>30</v>
      </c>
      <c r="H470" s="120" t="s">
        <v>69</v>
      </c>
      <c r="I470" s="120" t="s">
        <v>70</v>
      </c>
      <c r="J470" s="117">
        <f>IF($A470="","",IF($I470="Ganada",ROUND($G470*($F470-1),2),IF($I470="Medio Ganada",ROUND($G470/2*($F470-1),2),IF($I470="Perdida",IF($H470="Free Bet",0,-$G470),IF($I470="Medio Perdida",IF($H470="Free Bet",0,-$G470/2),IF($I470="Reembolso",IF($R470="","",ROUND($R470-$G470,2)),IF($I470="Anulada",0,"")))))))</f>
        <v>16.8</v>
      </c>
      <c r="K470" s="118">
        <f>IF(J470="","",2000+SUM(J$5:J470))</f>
        <v>2894.45</v>
      </c>
      <c r="L470" s="119">
        <f>IF(OR($I470="Ganada",$I470="Perdida",$I470="Medio Ganada",$I470="Medio Perdida"),IF($G470=0,"",J470/$G470),"")</f>
        <v>0.56000000000000005</v>
      </c>
      <c r="M470" s="120">
        <f>IF(OR($A470="",$B470=""),"",COUNTIFS($A$5:A470,A470,$B$5:B470,B470))</f>
        <v>3</v>
      </c>
      <c r="N470" s="120">
        <f>IF($A470="","",COUNTA($A$5:$A470))</f>
        <v>466</v>
      </c>
      <c r="O470" s="120">
        <f>IF($A470="","",COUNTA($A$5:$A470))</f>
        <v>466</v>
      </c>
      <c r="P470" s="118">
        <f>IF($K470="","",MAX($K$5:K470))</f>
        <v>2894.45</v>
      </c>
      <c r="Q470" s="117">
        <f>IF($K470="","",K470-P470)</f>
        <v>0</v>
      </c>
      <c r="R470" s="2"/>
      <c r="S470" s="2">
        <f>IF(OR($A470="",$F470=""),"",IF($I470="Pendiente","",ROUND($G470*($F470*0.609-1),2)))</f>
        <v>-1.5</v>
      </c>
      <c r="T470" s="2">
        <f>IF($A470="","",IFERROR(SUM($S$5:S470),0))</f>
        <v>690.28999999999974</v>
      </c>
    </row>
    <row r="471" spans="1:20" ht="27.75">
      <c r="A471" s="110">
        <v>46219</v>
      </c>
      <c r="B471" s="113" t="s">
        <v>36</v>
      </c>
      <c r="C471" s="177" t="s">
        <v>791</v>
      </c>
      <c r="D471" s="113" t="s">
        <v>67</v>
      </c>
      <c r="E471" s="176" t="s">
        <v>792</v>
      </c>
      <c r="F471" s="115">
        <v>1.64</v>
      </c>
      <c r="G471" s="116">
        <v>23</v>
      </c>
      <c r="H471" s="120" t="s">
        <v>69</v>
      </c>
      <c r="I471" s="120" t="s">
        <v>75</v>
      </c>
      <c r="J471" s="117">
        <f>IF($A471="","",IF($I471="Ganada",ROUND($G471*($F471-1),2),IF($I471="Medio Ganada",ROUND($G471/2*($F471-1),2),IF($I471="Perdida",IF($H471="Free Bet",0,-$G471),IF($I471="Medio Perdida",IF($H471="Free Bet",0,-$G471/2),IF($I471="Reembolso",IF($R471="","",ROUND($R471-$G471,2)),IF($I471="Anulada",0,"")))))))</f>
        <v>-23</v>
      </c>
      <c r="K471" s="118">
        <f>IF(J471="","",2000+SUM(J$5:J471))</f>
        <v>2871.45</v>
      </c>
      <c r="L471" s="119">
        <f>IF(OR($I471="Ganada",$I471="Perdida",$I471="Medio Ganada",$I471="Medio Perdida"),IF($G471=0,"",J471/$G471),"")</f>
        <v>-1</v>
      </c>
      <c r="M471" s="120">
        <f>IF(OR($A471="",$B471=""),"",COUNTIFS($A$5:A471,A471,$B$5:B471,B471))</f>
        <v>4</v>
      </c>
      <c r="N471" s="120">
        <f>IF($A471="","",COUNTA($A$5:$A471))</f>
        <v>467</v>
      </c>
      <c r="O471" s="120">
        <f>IF($A471="","",COUNTA($A$5:$A471))</f>
        <v>467</v>
      </c>
      <c r="P471" s="118">
        <f>IF($K471="","",MAX($K$5:K471))</f>
        <v>2894.45</v>
      </c>
      <c r="Q471" s="117">
        <f>IF($K471="","",K471-P471)</f>
        <v>-23</v>
      </c>
      <c r="R471" s="2"/>
      <c r="S471" s="2">
        <f>IF(OR($A471="",$F471=""),"",IF($I471="Pendiente","",ROUND($G471*($F471*0.609-1),2)))</f>
        <v>-0.03</v>
      </c>
      <c r="T471" s="2">
        <f>IF($A471="","",IFERROR(SUM($S$5:S471),0))</f>
        <v>690.25999999999976</v>
      </c>
    </row>
    <row r="472" spans="1:20">
      <c r="A472" s="110">
        <v>46219</v>
      </c>
      <c r="B472" s="113" t="s">
        <v>36</v>
      </c>
      <c r="C472" t="s">
        <v>793</v>
      </c>
      <c r="D472" s="113" t="s">
        <v>76</v>
      </c>
      <c r="E472" s="1" t="s">
        <v>489</v>
      </c>
      <c r="F472" s="115">
        <v>2.5499999999999998</v>
      </c>
      <c r="G472" s="116">
        <v>15</v>
      </c>
      <c r="H472" s="120" t="s">
        <v>69</v>
      </c>
      <c r="I472" s="120" t="s">
        <v>75</v>
      </c>
      <c r="J472" s="117">
        <f>IF($A472="","",IF($I472="Ganada",ROUND($G472*($F472-1),2),IF($I472="Medio Ganada",ROUND($G472/2*($F472-1),2),IF($I472="Perdida",IF($H472="Free Bet",0,-$G472),IF($I472="Medio Perdida",IF($H472="Free Bet",0,-$G472/2),IF($I472="Reembolso",IF($R472="","",ROUND($R472-$G472,2)),IF($I472="Anulada",0,"")))))))</f>
        <v>-15</v>
      </c>
      <c r="K472" s="118">
        <f>IF(J472="","",2000+SUM(J$5:J472))</f>
        <v>2856.45</v>
      </c>
      <c r="L472" s="119">
        <f>IF(OR($I472="Ganada",$I472="Perdida",$I472="Medio Ganada",$I472="Medio Perdida"),IF($G472=0,"",J472/$G472),"")</f>
        <v>-1</v>
      </c>
      <c r="M472" s="120">
        <f>IF(OR($A472="",$B472=""),"",COUNTIFS($A$5:A472,A472,$B$5:B472,B472))</f>
        <v>5</v>
      </c>
      <c r="N472" s="120">
        <f>IF($A472="","",COUNTA($A$5:$A472))</f>
        <v>468</v>
      </c>
      <c r="O472" s="120">
        <f>IF($A472="","",COUNTA($A$5:$A472))</f>
        <v>468</v>
      </c>
      <c r="P472" s="118">
        <f>IF($K472="","",MAX($K$5:K472))</f>
        <v>2894.45</v>
      </c>
      <c r="Q472" s="117">
        <f>IF($K472="","",K472-P472)</f>
        <v>-38</v>
      </c>
      <c r="R472" s="2"/>
      <c r="S472" s="2">
        <f>IF(OR($A472="",$F472=""),"",IF($I472="Pendiente","",ROUND($G472*($F472*0.609-1),2)))</f>
        <v>8.2899999999999991</v>
      </c>
      <c r="T472" s="2">
        <f>IF($A472="","",IFERROR(SUM($S$5:S472),0))</f>
        <v>698.54999999999973</v>
      </c>
    </row>
    <row r="473" spans="1:20">
      <c r="A473" s="110">
        <v>46219</v>
      </c>
      <c r="B473" s="113" t="s">
        <v>32</v>
      </c>
      <c r="C473" s="177" t="s">
        <v>794</v>
      </c>
      <c r="D473" s="113" t="s">
        <v>90</v>
      </c>
      <c r="E473" s="1" t="s">
        <v>795</v>
      </c>
      <c r="F473" s="115">
        <v>1.7270000000000001</v>
      </c>
      <c r="G473" s="116">
        <v>30</v>
      </c>
      <c r="H473" s="120" t="s">
        <v>69</v>
      </c>
      <c r="I473" s="120" t="s">
        <v>70</v>
      </c>
      <c r="J473" s="117">
        <f>IF($A473="","",IF($I473="Ganada",ROUND($G473*($F473-1),2),IF($I473="Medio Ganada",ROUND($G473/2*($F473-1),2),IF($I473="Perdida",IF($H473="Free Bet",0,-$G473),IF($I473="Medio Perdida",IF($H473="Free Bet",0,-$G473/2),IF($I473="Reembolso",IF($R473="","",ROUND($R473-$G473,2)),IF($I473="Anulada",0,"")))))))</f>
        <v>21.81</v>
      </c>
      <c r="K473" s="118">
        <f>IF(J473="","",2000+SUM(J$5:J473))</f>
        <v>2878.2599999999998</v>
      </c>
      <c r="L473" s="119">
        <f>IF(OR($I473="Ganada",$I473="Perdida",$I473="Medio Ganada",$I473="Medio Perdida"),IF($G473=0,"",J473/$G473),"")</f>
        <v>0.72699999999999998</v>
      </c>
      <c r="M473" s="120">
        <f>IF(OR($A473="",$B473=""),"",COUNTIFS($A$5:A473,A473,$B$5:B473,B473))</f>
        <v>4</v>
      </c>
      <c r="N473" s="120">
        <f>IF($A473="","",COUNTA($A$5:$A473))</f>
        <v>469</v>
      </c>
      <c r="O473" s="120">
        <f>IF($A473="","",COUNTA($A$5:$A473))</f>
        <v>469</v>
      </c>
      <c r="P473" s="118">
        <f>IF($K473="","",MAX($K$5:K473))</f>
        <v>2894.45</v>
      </c>
      <c r="Q473" s="117">
        <f>IF($K473="","",K473-P473)</f>
        <v>-16.190000000000055</v>
      </c>
      <c r="R473" s="2"/>
      <c r="S473" s="2">
        <f>IF(OR($A473="",$F473=""),"",IF($I473="Pendiente","",ROUND($G473*($F473*0.609-1),2)))</f>
        <v>1.55</v>
      </c>
      <c r="T473" s="2">
        <f>IF($A473="","",IFERROR(SUM($S$5:S473),0))</f>
        <v>700.09999999999968</v>
      </c>
    </row>
    <row r="474" spans="1:20" ht="27.75">
      <c r="A474" s="110">
        <v>46219</v>
      </c>
      <c r="B474" s="113" t="s">
        <v>36</v>
      </c>
      <c r="C474" s="177" t="s">
        <v>796</v>
      </c>
      <c r="D474" s="113" t="s">
        <v>95</v>
      </c>
      <c r="E474" s="176" t="s">
        <v>542</v>
      </c>
      <c r="F474" s="115">
        <v>1.96</v>
      </c>
      <c r="G474" s="116">
        <v>22</v>
      </c>
      <c r="H474" s="120" t="s">
        <v>69</v>
      </c>
      <c r="I474" s="120" t="s">
        <v>75</v>
      </c>
      <c r="J474" s="117">
        <f>IF($A474="","",IF($I474="Ganada",ROUND($G474*($F474-1),2),IF($I474="Medio Ganada",ROUND($G474/2*($F474-1),2),IF($I474="Perdida",IF($H474="Free Bet",0,-$G474),IF($I474="Medio Perdida",IF($H474="Free Bet",0,-$G474/2),IF($I474="Reembolso",IF($R474="","",ROUND($R474-$G474,2)),IF($I474="Anulada",0,"")))))))</f>
        <v>-22</v>
      </c>
      <c r="K474" s="118">
        <f>IF(J474="","",2000+SUM(J$5:J474))</f>
        <v>2856.2599999999998</v>
      </c>
      <c r="L474" s="119">
        <f>IF(OR($I474="Ganada",$I474="Perdida",$I474="Medio Ganada",$I474="Medio Perdida"),IF($G474=0,"",J474/$G474),"")</f>
        <v>-1</v>
      </c>
      <c r="M474" s="120">
        <f>IF(OR($A474="",$B474=""),"",COUNTIFS($A$5:A474,A474,$B$5:B474,B474))</f>
        <v>6</v>
      </c>
      <c r="N474" s="120">
        <f>IF($A474="","",COUNTA($A$5:$A474))</f>
        <v>470</v>
      </c>
      <c r="O474" s="120">
        <f>IF($A474="","",COUNTA($A$5:$A474))</f>
        <v>470</v>
      </c>
      <c r="P474" s="118">
        <f>IF($K474="","",MAX($K$5:K474))</f>
        <v>2894.45</v>
      </c>
      <c r="Q474" s="117">
        <f>IF($K474="","",K474-P474)</f>
        <v>-38.190000000000055</v>
      </c>
      <c r="R474" s="2"/>
      <c r="S474" s="2">
        <f>IF(OR($A474="",$F474=""),"",IF($I474="Pendiente","",ROUND($G474*($F474*0.609-1),2)))</f>
        <v>4.26</v>
      </c>
      <c r="T474" s="2">
        <f>IF($A474="","",IFERROR(SUM($S$5:S474),0))</f>
        <v>704.35999999999967</v>
      </c>
    </row>
    <row r="475" spans="1:20" ht="15" customHeight="1">
      <c r="A475" s="110">
        <v>46219</v>
      </c>
      <c r="B475" s="113" t="s">
        <v>36</v>
      </c>
      <c r="C475" s="177" t="s">
        <v>797</v>
      </c>
      <c r="D475" s="113" t="s">
        <v>76</v>
      </c>
      <c r="E475" s="1">
        <v>2</v>
      </c>
      <c r="F475" s="115">
        <v>1.63</v>
      </c>
      <c r="G475" s="116">
        <v>30</v>
      </c>
      <c r="H475" s="120" t="s">
        <v>69</v>
      </c>
      <c r="I475" s="120" t="s">
        <v>75</v>
      </c>
      <c r="J475" s="117">
        <f>IF($A475="","",IF($I475="Ganada",ROUND($G475*($F475-1),2),IF($I475="Medio Ganada",ROUND($G475/2*($F475-1),2),IF($I475="Perdida",IF($H475="Free Bet",0,-$G475),IF($I475="Medio Perdida",IF($H475="Free Bet",0,-$G475/2),IF($I475="Reembolso",IF($R475="","",ROUND($R475-$G475,2)),IF($I475="Anulada",0,"")))))))</f>
        <v>-30</v>
      </c>
      <c r="K475" s="118">
        <f>IF(J475="","",2000+SUM(J$5:J475))</f>
        <v>2826.2599999999998</v>
      </c>
      <c r="L475" s="119">
        <f>IF(OR($I475="Ganada",$I475="Perdida",$I475="Medio Ganada",$I475="Medio Perdida"),IF($G475=0,"",J475/$G475),"")</f>
        <v>-1</v>
      </c>
      <c r="M475" s="120">
        <f>IF(OR($A475="",$B475=""),"",COUNTIFS($A$5:A475,A475,$B$5:B475,B475))</f>
        <v>7</v>
      </c>
      <c r="N475" s="120">
        <f>IF($A475="","",COUNTA($A$5:$A475))</f>
        <v>471</v>
      </c>
      <c r="O475" s="120">
        <f>IF($A475="","",COUNTA($A$5:$A475))</f>
        <v>471</v>
      </c>
      <c r="P475" s="118">
        <f>IF($K475="","",MAX($K$5:K475))</f>
        <v>2894.45</v>
      </c>
      <c r="Q475" s="117">
        <f>IF($K475="","",K475-P475)</f>
        <v>-68.190000000000055</v>
      </c>
      <c r="R475" s="2"/>
      <c r="S475" s="2">
        <f>IF(OR($A475="",$F475=""),"",IF($I475="Pendiente","",ROUND($G475*($F475*0.609-1),2)))</f>
        <v>-0.22</v>
      </c>
      <c r="T475" s="2">
        <f>IF($A475="","",IFERROR(SUM($S$5:S475),0))</f>
        <v>704.13999999999965</v>
      </c>
    </row>
    <row r="476" spans="1:20">
      <c r="A476" s="110">
        <v>46219</v>
      </c>
      <c r="B476" s="113" t="s">
        <v>32</v>
      </c>
      <c r="C476" s="177" t="s">
        <v>798</v>
      </c>
      <c r="D476" s="113" t="s">
        <v>76</v>
      </c>
      <c r="E476" s="176" t="s">
        <v>799</v>
      </c>
      <c r="F476" s="115">
        <v>1.4</v>
      </c>
      <c r="G476" s="116">
        <v>30</v>
      </c>
      <c r="H476" s="120" t="s">
        <v>69</v>
      </c>
      <c r="I476" s="120" t="s">
        <v>75</v>
      </c>
      <c r="J476" s="117">
        <f>IF($A476="","",IF($I476="Ganada",ROUND($G476*($F476-1),2),IF($I476="Medio Ganada",ROUND($G476/2*($F476-1),2),IF($I476="Perdida",IF($H476="Free Bet",0,-$G476),IF($I476="Medio Perdida",IF($H476="Free Bet",0,-$G476/2),IF($I476="Reembolso",IF($R476="","",ROUND($R476-$G476,2)),IF($I476="Anulada",0,"")))))))</f>
        <v>-30</v>
      </c>
      <c r="K476" s="118">
        <f>IF(J476="","",2000+SUM(J$5:J476))</f>
        <v>2796.2599999999998</v>
      </c>
      <c r="L476" s="119">
        <f>IF(OR($I476="Ganada",$I476="Perdida",$I476="Medio Ganada",$I476="Medio Perdida"),IF($G476=0,"",J476/$G476),"")</f>
        <v>-1</v>
      </c>
      <c r="M476" s="120">
        <f>IF(OR($A476="",$B476=""),"",COUNTIFS($A$5:A476,A476,$B$5:B476,B476))</f>
        <v>5</v>
      </c>
      <c r="N476" s="120">
        <f>IF($A476="","",COUNTA($A$5:$A476))</f>
        <v>472</v>
      </c>
      <c r="O476" s="120">
        <f>IF($A476="","",COUNTA($A$5:$A476))</f>
        <v>472</v>
      </c>
      <c r="P476" s="118">
        <f>IF($K476="","",MAX($K$5:K476))</f>
        <v>2894.45</v>
      </c>
      <c r="Q476" s="117">
        <f>IF($K476="","",K476-P476)</f>
        <v>-98.190000000000055</v>
      </c>
      <c r="R476" s="2"/>
      <c r="S476" s="2">
        <f>IF(OR($A476="",$F476=""),"",IF($I476="Pendiente","",ROUND($G476*($F476*0.609-1),2)))</f>
        <v>-4.42</v>
      </c>
      <c r="T476" s="2">
        <f>IF($A476="","",IFERROR(SUM($S$5:S476),0))</f>
        <v>699.71999999999969</v>
      </c>
    </row>
    <row r="477" spans="1:20">
      <c r="A477" s="110">
        <v>46219</v>
      </c>
      <c r="B477" s="113" t="s">
        <v>36</v>
      </c>
      <c r="C477" s="177" t="s">
        <v>800</v>
      </c>
      <c r="D477" s="113" t="s">
        <v>76</v>
      </c>
      <c r="E477" s="1" t="s">
        <v>801</v>
      </c>
      <c r="F477" s="115">
        <v>1.62</v>
      </c>
      <c r="G477" s="116">
        <v>27</v>
      </c>
      <c r="H477" s="120" t="s">
        <v>69</v>
      </c>
      <c r="I477" s="120" t="s">
        <v>70</v>
      </c>
      <c r="J477" s="117">
        <f>IF($A477="","",IF($I477="Ganada",ROUND($G477*($F477-1),2),IF($I477="Medio Ganada",ROUND($G477/2*($F477-1),2),IF($I477="Perdida",IF($H477="Free Bet",0,-$G477),IF($I477="Medio Perdida",IF($H477="Free Bet",0,-$G477/2),IF($I477="Reembolso",IF($R477="","",ROUND($R477-$G477,2)),IF($I477="Anulada",0,"")))))))</f>
        <v>16.739999999999998</v>
      </c>
      <c r="K477" s="118">
        <f>IF(J477="","",2000+SUM(J$5:J477))</f>
        <v>2813</v>
      </c>
      <c r="L477" s="119">
        <f>IF(OR($I477="Ganada",$I477="Perdida",$I477="Medio Ganada",$I477="Medio Perdida"),IF($G477=0,"",J477/$G477),"")</f>
        <v>0.62</v>
      </c>
      <c r="M477" s="120">
        <f>IF(OR($A477="",$B477=""),"",COUNTIFS($A$5:A477,A477,$B$5:B477,B477))</f>
        <v>8</v>
      </c>
      <c r="N477" s="120">
        <f>IF($A477="","",COUNTA($A$5:$A477))</f>
        <v>473</v>
      </c>
      <c r="O477" s="120">
        <f>IF($A477="","",COUNTA($A$5:$A477))</f>
        <v>473</v>
      </c>
      <c r="P477" s="118">
        <f>IF($K477="","",MAX($K$5:K477))</f>
        <v>2894.45</v>
      </c>
      <c r="Q477" s="117">
        <f>IF($K477="","",K477-P477)</f>
        <v>-81.449999999999818</v>
      </c>
      <c r="R477" s="2"/>
      <c r="S477" s="2">
        <f>IF(OR($A477="",$F477=""),"",IF($I477="Pendiente","",ROUND($G477*($F477*0.609-1),2)))</f>
        <v>-0.36</v>
      </c>
      <c r="T477" s="2">
        <f>IF($A477="","",IFERROR(SUM($S$5:S477),0))</f>
        <v>699.35999999999967</v>
      </c>
    </row>
    <row r="478" spans="1:20">
      <c r="A478" s="110">
        <v>46219</v>
      </c>
      <c r="B478" s="113" t="s">
        <v>36</v>
      </c>
      <c r="C478" s="177" t="s">
        <v>802</v>
      </c>
      <c r="D478" s="113" t="s">
        <v>76</v>
      </c>
      <c r="E478" s="176" t="s">
        <v>803</v>
      </c>
      <c r="F478" s="115">
        <v>1.45</v>
      </c>
      <c r="G478" s="116">
        <v>30</v>
      </c>
      <c r="H478" s="120" t="s">
        <v>69</v>
      </c>
      <c r="I478" s="120" t="s">
        <v>70</v>
      </c>
      <c r="J478" s="117">
        <f>IF($A478="","",IF($I478="Ganada",ROUND($G478*($F478-1),2),IF($I478="Medio Ganada",ROUND($G478/2*($F478-1),2),IF($I478="Perdida",IF($H478="Free Bet",0,-$G478),IF($I478="Medio Perdida",IF($H478="Free Bet",0,-$G478/2),IF($I478="Reembolso",IF($R478="","",ROUND($R478-$G478,2)),IF($I478="Anulada",0,"")))))))</f>
        <v>13.5</v>
      </c>
      <c r="K478" s="118">
        <f>IF(J478="","",2000+SUM(J$5:J478))</f>
        <v>2826.5</v>
      </c>
      <c r="L478" s="119">
        <f>IF(OR($I478="Ganada",$I478="Perdida",$I478="Medio Ganada",$I478="Medio Perdida"),IF($G478=0,"",J478/$G478),"")</f>
        <v>0.45</v>
      </c>
      <c r="M478" s="120">
        <f>IF(OR($A478="",$B478=""),"",COUNTIFS($A$5:A478,A478,$B$5:B478,B478))</f>
        <v>9</v>
      </c>
      <c r="N478" s="120">
        <f>IF($A478="","",COUNTA($A$5:$A478))</f>
        <v>474</v>
      </c>
      <c r="O478" s="120">
        <f>IF($A478="","",COUNTA($A$5:$A478))</f>
        <v>474</v>
      </c>
      <c r="P478" s="118">
        <f>IF($K478="","",MAX($K$5:K478))</f>
        <v>2894.45</v>
      </c>
      <c r="Q478" s="117">
        <f>IF($K478="","",K478-P478)</f>
        <v>-67.949999999999818</v>
      </c>
      <c r="R478" s="2"/>
      <c r="S478" s="2">
        <f>IF(OR($A478="",$F478=""),"",IF($I478="Pendiente","",ROUND($G478*($F478*0.609-1),2)))</f>
        <v>-3.51</v>
      </c>
      <c r="T478" s="2">
        <f>IF($A478="","",IFERROR(SUM($S$5:S478),0))</f>
        <v>695.84999999999968</v>
      </c>
    </row>
    <row r="479" spans="1:20">
      <c r="A479" s="110">
        <v>46219</v>
      </c>
      <c r="B479" s="113" t="s">
        <v>36</v>
      </c>
      <c r="C479" t="s">
        <v>802</v>
      </c>
      <c r="D479" s="113" t="s">
        <v>76</v>
      </c>
      <c r="E479" s="176" t="s">
        <v>380</v>
      </c>
      <c r="F479" s="115">
        <v>1.74</v>
      </c>
      <c r="G479" s="116">
        <v>30</v>
      </c>
      <c r="H479" s="120" t="s">
        <v>69</v>
      </c>
      <c r="I479" s="120" t="s">
        <v>75</v>
      </c>
      <c r="J479" s="117">
        <f>IF($A479="","",IF($I479="Ganada",ROUND($G479*($F479-1),2),IF($I479="Medio Ganada",ROUND($G479/2*($F479-1),2),IF($I479="Perdida",IF($H479="Free Bet",0,-$G479),IF($I479="Medio Perdida",IF($H479="Free Bet",0,-$G479/2),IF($I479="Reembolso",IF($R479="","",ROUND($R479-$G479,2)),IF($I479="Anulada",0,"")))))))</f>
        <v>-30</v>
      </c>
      <c r="K479" s="118">
        <f>IF(J479="","",2000+SUM(J$5:J479))</f>
        <v>2796.5</v>
      </c>
      <c r="L479" s="119">
        <f>IF(OR($I479="Ganada",$I479="Perdida",$I479="Medio Ganada",$I479="Medio Perdida"),IF($G479=0,"",J479/$G479),"")</f>
        <v>-1</v>
      </c>
      <c r="M479" s="120">
        <f>IF(OR($A479="",$B479=""),"",COUNTIFS($A$5:A479,A479,$B$5:B479,B479))</f>
        <v>10</v>
      </c>
      <c r="N479" s="120">
        <f>IF($A479="","",COUNTA($A$5:$A479))</f>
        <v>475</v>
      </c>
      <c r="O479" s="120">
        <f>IF($A479="","",COUNTA($A$5:$A479))</f>
        <v>475</v>
      </c>
      <c r="P479" s="118">
        <f>IF($K479="","",MAX($K$5:K479))</f>
        <v>2894.45</v>
      </c>
      <c r="Q479" s="117">
        <f>IF($K479="","",K479-P479)</f>
        <v>-97.949999999999818</v>
      </c>
      <c r="R479" s="2"/>
      <c r="S479" s="2">
        <f>IF(OR($A479="",$F479=""),"",IF($I479="Pendiente","",ROUND($G479*($F479*0.609-1),2)))</f>
        <v>1.79</v>
      </c>
      <c r="T479" s="2">
        <f>IF($A479="","",IFERROR(SUM($S$5:S479),0))</f>
        <v>697.63999999999965</v>
      </c>
    </row>
    <row r="480" spans="1:20">
      <c r="A480" s="110">
        <v>46219</v>
      </c>
      <c r="B480" s="113" t="s">
        <v>28</v>
      </c>
      <c r="C480" s="177" t="s">
        <v>804</v>
      </c>
      <c r="D480" s="113" t="s">
        <v>76</v>
      </c>
      <c r="E480" s="1" t="s">
        <v>805</v>
      </c>
      <c r="F480" s="115">
        <v>1.37</v>
      </c>
      <c r="G480" s="116">
        <v>38</v>
      </c>
      <c r="H480" s="120" t="s">
        <v>69</v>
      </c>
      <c r="I480" s="120" t="s">
        <v>70</v>
      </c>
      <c r="J480" s="117">
        <f>IF($A480="","",IF($I480="Ganada",ROUND($G480*($F480-1),2),IF($I480="Medio Ganada",ROUND($G480/2*($F480-1),2),IF($I480="Perdida",IF($H480="Free Bet",0,-$G480),IF($I480="Medio Perdida",IF($H480="Free Bet",0,-$G480/2),IF($I480="Reembolso",IF($R480="","",ROUND($R480-$G480,2)),IF($I480="Anulada",0,"")))))))</f>
        <v>14.06</v>
      </c>
      <c r="K480" s="118">
        <f>IF(J480="","",2000+SUM(J$5:J480))</f>
        <v>2810.5599999999995</v>
      </c>
      <c r="L480" s="119">
        <f>IF(OR($I480="Ganada",$I480="Perdida",$I480="Medio Ganada",$I480="Medio Perdida"),IF($G480=0,"",J480/$G480),"")</f>
        <v>0.37</v>
      </c>
      <c r="M480" s="120">
        <f>IF(OR($A480="",$B480=""),"",COUNTIFS($A$5:A480,A480,$B$5:B480,B480))</f>
        <v>1</v>
      </c>
      <c r="N480" s="120">
        <f>IF($A480="","",COUNTA($A$5:$A480))</f>
        <v>476</v>
      </c>
      <c r="O480" s="120">
        <f>IF($A480="","",COUNTA($A$5:$A480))</f>
        <v>476</v>
      </c>
      <c r="P480" s="118">
        <f>IF($K480="","",MAX($K$5:K480))</f>
        <v>2894.45</v>
      </c>
      <c r="Q480" s="117">
        <f>IF($K480="","",K480-P480)</f>
        <v>-83.890000000000327</v>
      </c>
      <c r="R480" s="2"/>
      <c r="S480" s="2">
        <f>IF(OR($A480="",$F480=""),"",IF($I480="Pendiente","",ROUND($G480*($F480*0.609-1),2)))</f>
        <v>-6.3</v>
      </c>
      <c r="T480" s="2">
        <f>IF($A480="","",IFERROR(SUM($S$5:S480),0))</f>
        <v>691.33999999999969</v>
      </c>
    </row>
    <row r="481" spans="1:20" ht="27.75">
      <c r="A481" s="110">
        <v>46219</v>
      </c>
      <c r="B481" s="113" t="s">
        <v>31</v>
      </c>
      <c r="C481" s="176" t="s">
        <v>806</v>
      </c>
      <c r="D481" s="113" t="s">
        <v>67</v>
      </c>
      <c r="E481" s="176" t="s">
        <v>807</v>
      </c>
      <c r="F481" s="115">
        <v>1.78</v>
      </c>
      <c r="G481" s="116">
        <v>6</v>
      </c>
      <c r="H481" s="120" t="s">
        <v>69</v>
      </c>
      <c r="I481" s="120" t="s">
        <v>70</v>
      </c>
      <c r="J481" s="117">
        <f>IF($A481="","",IF($I481="Ganada",ROUND($G481*($F481-1),2),IF($I481="Medio Ganada",ROUND($G481/2*($F481-1),2),IF($I481="Perdida",IF($H481="Free Bet",0,-$G481),IF($I481="Medio Perdida",IF($H481="Free Bet",0,-$G481/2),IF($I481="Reembolso",IF($R481="","",ROUND($R481-$G481,2)),IF($I481="Anulada",0,"")))))))</f>
        <v>4.68</v>
      </c>
      <c r="K481" s="118">
        <f>IF(J481="","",2000+SUM(J$5:J481))</f>
        <v>2815.24</v>
      </c>
      <c r="L481" s="119">
        <f>IF(OR($I481="Ganada",$I481="Perdida",$I481="Medio Ganada",$I481="Medio Perdida"),IF($G481=0,"",J481/$G481),"")</f>
        <v>0.77999999999999992</v>
      </c>
      <c r="M481" s="120">
        <f>IF(OR($A481="",$B481=""),"",COUNTIFS($A$5:A481,A481,$B$5:B481,B481))</f>
        <v>1</v>
      </c>
      <c r="N481" s="120">
        <f>IF($A481="","",COUNTA($A$5:$A481))</f>
        <v>477</v>
      </c>
      <c r="O481" s="120">
        <f>IF($A481="","",COUNTA($A$5:$A481))</f>
        <v>477</v>
      </c>
      <c r="P481" s="118">
        <f>IF($K481="","",MAX($K$5:K481))</f>
        <v>2894.45</v>
      </c>
      <c r="Q481" s="117">
        <f>IF($K481="","",K481-P481)</f>
        <v>-79.210000000000036</v>
      </c>
      <c r="R481" s="2"/>
      <c r="S481" s="2">
        <f>IF(OR($A481="",$F481=""),"",IF($I481="Pendiente","",ROUND($G481*($F481*0.609-1),2)))</f>
        <v>0.5</v>
      </c>
      <c r="T481" s="2">
        <f>IF($A481="","",IFERROR(SUM($S$5:S481),0))</f>
        <v>691.83999999999969</v>
      </c>
    </row>
    <row r="482" spans="1:20" ht="27.75">
      <c r="A482" s="110">
        <v>46219</v>
      </c>
      <c r="B482" s="113" t="s">
        <v>32</v>
      </c>
      <c r="C482" s="177" t="s">
        <v>808</v>
      </c>
      <c r="D482" s="113" t="s">
        <v>95</v>
      </c>
      <c r="E482" s="176" t="s">
        <v>809</v>
      </c>
      <c r="F482" s="115">
        <v>1.75</v>
      </c>
      <c r="G482" s="116">
        <v>30</v>
      </c>
      <c r="H482" s="120" t="s">
        <v>69</v>
      </c>
      <c r="I482" s="120" t="s">
        <v>70</v>
      </c>
      <c r="J482" s="117">
        <f>IF($A482="","",IF($I482="Ganada",ROUND($G482*($F482-1),2),IF($I482="Medio Ganada",ROUND($G482/2*($F482-1),2),IF($I482="Perdida",IF($H482="Free Bet",0,-$G482),IF($I482="Medio Perdida",IF($H482="Free Bet",0,-$G482/2),IF($I482="Reembolso",IF($R482="","",ROUND($R482-$G482,2)),IF($I482="Anulada",0,"")))))))</f>
        <v>22.5</v>
      </c>
      <c r="K482" s="118">
        <f>IF(J482="","",2000+SUM(J$5:J482))</f>
        <v>2837.74</v>
      </c>
      <c r="L482" s="119">
        <f>IF(OR($I482="Ganada",$I482="Perdida",$I482="Medio Ganada",$I482="Medio Perdida"),IF($G482=0,"",J482/$G482),"")</f>
        <v>0.75</v>
      </c>
      <c r="M482" s="120">
        <f>IF(OR($A482="",$B482=""),"",COUNTIFS($A$5:A482,A482,$B$5:B482,B482))</f>
        <v>6</v>
      </c>
      <c r="N482" s="120">
        <f>IF($A482="","",COUNTA($A$5:$A482))</f>
        <v>478</v>
      </c>
      <c r="O482" s="120">
        <f>IF($A482="","",COUNTA($A$5:$A482))</f>
        <v>478</v>
      </c>
      <c r="P482" s="118">
        <f>IF($K482="","",MAX($K$5:K482))</f>
        <v>2894.45</v>
      </c>
      <c r="Q482" s="117">
        <f>IF($K482="","",K482-P482)</f>
        <v>-56.710000000000036</v>
      </c>
      <c r="R482" s="2"/>
      <c r="S482" s="2">
        <f>IF(OR($A482="",$F482=""),"",IF($I482="Pendiente","",ROUND($G482*($F482*0.609-1),2)))</f>
        <v>1.97</v>
      </c>
      <c r="T482" s="2">
        <f>IF($A482="","",IFERROR(SUM($S$5:S482),0))</f>
        <v>693.80999999999972</v>
      </c>
    </row>
    <row r="483" spans="1:20" ht="25.5">
      <c r="A483" s="110">
        <v>46219</v>
      </c>
      <c r="B483" s="113" t="s">
        <v>28</v>
      </c>
      <c r="C483" s="177" t="s">
        <v>810</v>
      </c>
      <c r="D483" s="113" t="s">
        <v>67</v>
      </c>
      <c r="E483" s="1" t="s">
        <v>727</v>
      </c>
      <c r="F483" s="115">
        <v>1.74</v>
      </c>
      <c r="G483" s="116">
        <v>30</v>
      </c>
      <c r="H483" s="120" t="s">
        <v>69</v>
      </c>
      <c r="I483" s="120" t="s">
        <v>70</v>
      </c>
      <c r="J483" s="117">
        <f>IF($A483="","",IF($I483="Ganada",ROUND($G483*($F483-1),2),IF($I483="Medio Ganada",ROUND($G483/2*($F483-1),2),IF($I483="Perdida",IF($H483="Free Bet",0,-$G483),IF($I483="Medio Perdida",IF($H483="Free Bet",0,-$G483/2),IF($I483="Reembolso",IF($R483="","",ROUND($R483-$G483,2)),IF($I483="Anulada",0,"")))))))</f>
        <v>22.2</v>
      </c>
      <c r="K483" s="118">
        <f>IF(J483="","",2000+SUM(J$5:J483))</f>
        <v>2859.9399999999996</v>
      </c>
      <c r="L483" s="119">
        <f>IF(OR($I483="Ganada",$I483="Perdida",$I483="Medio Ganada",$I483="Medio Perdida"),IF($G483=0,"",J483/$G483),"")</f>
        <v>0.74</v>
      </c>
      <c r="M483" s="120">
        <f>IF(OR($A483="",$B483=""),"",COUNTIFS($A$5:A483,A483,$B$5:B483,B483))</f>
        <v>2</v>
      </c>
      <c r="N483" s="120">
        <f>IF($A483="","",COUNTA($A$5:$A483))</f>
        <v>479</v>
      </c>
      <c r="O483" s="120">
        <f>IF($A483="","",COUNTA($A$5:$A483))</f>
        <v>479</v>
      </c>
      <c r="P483" s="118">
        <f>IF($K483="","",MAX($K$5:K483))</f>
        <v>2894.45</v>
      </c>
      <c r="Q483" s="117">
        <f>IF($K483="","",K483-P483)</f>
        <v>-34.510000000000218</v>
      </c>
      <c r="R483" s="2"/>
      <c r="S483" s="2">
        <f>IF(OR($A483="",$F483=""),"",IF($I483="Pendiente","",ROUND($G483*($F483*0.609-1),2)))</f>
        <v>1.79</v>
      </c>
      <c r="T483" s="2">
        <f>IF($A483="","",IFERROR(SUM($S$5:S483),0))</f>
        <v>695.59999999999968</v>
      </c>
    </row>
    <row r="484" spans="1:20" ht="25.5">
      <c r="A484" s="110">
        <v>46219</v>
      </c>
      <c r="B484" s="113" t="s">
        <v>32</v>
      </c>
      <c r="C484" s="177" t="s">
        <v>811</v>
      </c>
      <c r="D484" s="113" t="s">
        <v>76</v>
      </c>
      <c r="E484" s="176" t="s">
        <v>167</v>
      </c>
      <c r="F484" s="115">
        <v>1.5</v>
      </c>
      <c r="G484" s="116">
        <v>30</v>
      </c>
      <c r="H484" s="120" t="s">
        <v>69</v>
      </c>
      <c r="I484" s="120" t="s">
        <v>70</v>
      </c>
      <c r="J484" s="117">
        <f>IF($A484="","",IF($I484="Ganada",ROUND($G484*($F484-1),2),IF($I484="Medio Ganada",ROUND($G484/2*($F484-1),2),IF($I484="Perdida",IF($H484="Free Bet",0,-$G484),IF($I484="Medio Perdida",IF($H484="Free Bet",0,-$G484/2),IF($I484="Reembolso",IF($R484="","",ROUND($R484-$G484,2)),IF($I484="Anulada",0,"")))))))</f>
        <v>15</v>
      </c>
      <c r="K484" s="118">
        <f>IF(J484="","",2000+SUM(J$5:J484))</f>
        <v>2874.9399999999996</v>
      </c>
      <c r="L484" s="119">
        <f>IF(OR($I484="Ganada",$I484="Perdida",$I484="Medio Ganada",$I484="Medio Perdida"),IF($G484=0,"",J484/$G484),"")</f>
        <v>0.5</v>
      </c>
      <c r="M484" s="120">
        <f>IF(OR($A484="",$B484=""),"",COUNTIFS($A$5:A484,A484,$B$5:B484,B484))</f>
        <v>7</v>
      </c>
      <c r="N484" s="120">
        <f>IF($A484="","",COUNTA($A$5:$A484))</f>
        <v>480</v>
      </c>
      <c r="O484" s="120">
        <f>IF($A484="","",COUNTA($A$5:$A484))</f>
        <v>480</v>
      </c>
      <c r="P484" s="118">
        <f>IF($K484="","",MAX($K$5:K484))</f>
        <v>2894.45</v>
      </c>
      <c r="Q484" s="117">
        <f>IF($K484="","",K484-P484)</f>
        <v>-19.510000000000218</v>
      </c>
      <c r="R484" s="2"/>
      <c r="S484" s="2">
        <f>IF(OR($A484="",$F484=""),"",IF($I484="Pendiente","",ROUND($G484*($F484*0.609-1),2)))</f>
        <v>-2.6</v>
      </c>
      <c r="T484" s="2">
        <f>IF($A484="","",IFERROR(SUM($S$5:S484),0))</f>
        <v>692.99999999999966</v>
      </c>
    </row>
    <row r="485" spans="1:20" ht="25.5">
      <c r="A485" s="110">
        <v>46219</v>
      </c>
      <c r="B485" s="113" t="s">
        <v>28</v>
      </c>
      <c r="C485" s="177" t="s">
        <v>812</v>
      </c>
      <c r="D485" s="113" t="s">
        <v>76</v>
      </c>
      <c r="E485" s="1" t="s">
        <v>482</v>
      </c>
      <c r="F485" s="115">
        <v>1.92</v>
      </c>
      <c r="G485" s="116">
        <v>30</v>
      </c>
      <c r="H485" s="120" t="s">
        <v>69</v>
      </c>
      <c r="I485" s="120" t="s">
        <v>75</v>
      </c>
      <c r="J485" s="117">
        <f>IF($A485="","",IF($I485="Ganada",ROUND($G485*($F485-1),2),IF($I485="Medio Ganada",ROUND($G485/2*($F485-1),2),IF($I485="Perdida",IF($H485="Free Bet",0,-$G485),IF($I485="Medio Perdida",IF($H485="Free Bet",0,-$G485/2),IF($I485="Reembolso",IF($R485="","",ROUND($R485-$G485,2)),IF($I485="Anulada",0,"")))))))</f>
        <v>-30</v>
      </c>
      <c r="K485" s="118">
        <f>IF(J485="","",2000+SUM(J$5:J485))</f>
        <v>2844.9399999999996</v>
      </c>
      <c r="L485" s="119">
        <f>IF(OR($I485="Ganada",$I485="Perdida",$I485="Medio Ganada",$I485="Medio Perdida"),IF($G485=0,"",J485/$G485),"")</f>
        <v>-1</v>
      </c>
      <c r="M485" s="120">
        <f>IF(OR($A485="",$B485=""),"",COUNTIFS($A$5:A485,A485,$B$5:B485,B485))</f>
        <v>3</v>
      </c>
      <c r="N485" s="120">
        <f>IF($A485="","",COUNTA($A$5:$A485))</f>
        <v>481</v>
      </c>
      <c r="O485" s="120">
        <f>IF($A485="","",COUNTA($A$5:$A485))</f>
        <v>481</v>
      </c>
      <c r="P485" s="118">
        <f>IF($K485="","",MAX($K$5:K485))</f>
        <v>2894.45</v>
      </c>
      <c r="Q485" s="117">
        <f>IF($K485="","",K485-P485)</f>
        <v>-49.510000000000218</v>
      </c>
      <c r="R485" s="2"/>
      <c r="S485" s="2">
        <f>IF(OR($A485="",$F485=""),"",IF($I485="Pendiente","",ROUND($G485*($F485*0.609-1),2)))</f>
        <v>5.08</v>
      </c>
      <c r="T485" s="2">
        <f>IF($A485="","",IFERROR(SUM($S$5:S485),0))</f>
        <v>698.0799999999997</v>
      </c>
    </row>
    <row r="486" spans="1:20" ht="27.75">
      <c r="A486" s="110">
        <v>46219</v>
      </c>
      <c r="B486" s="113" t="s">
        <v>28</v>
      </c>
      <c r="C486" s="176" t="s">
        <v>813</v>
      </c>
      <c r="D486" s="113" t="s">
        <v>67</v>
      </c>
      <c r="E486" s="1" t="s">
        <v>814</v>
      </c>
      <c r="F486" s="115">
        <v>1.92</v>
      </c>
      <c r="G486" s="116">
        <v>30</v>
      </c>
      <c r="H486" s="120" t="s">
        <v>69</v>
      </c>
      <c r="I486" s="120" t="s">
        <v>70</v>
      </c>
      <c r="J486" s="117">
        <f>IF($A486="","",IF($I486="Ganada",ROUND($G486*($F486-1),2),IF($I486="Medio Ganada",ROUND($G486/2*($F486-1),2),IF($I486="Perdida",IF($H486="Free Bet",0,-$G486),IF($I486="Medio Perdida",IF($H486="Free Bet",0,-$G486/2),IF($I486="Reembolso",IF($R486="","",ROUND($R486-$G486,2)),IF($I486="Anulada",0,"")))))))</f>
        <v>27.6</v>
      </c>
      <c r="K486" s="118">
        <f>IF(J486="","",2000+SUM(J$5:J486))</f>
        <v>2872.54</v>
      </c>
      <c r="L486" s="119">
        <f>IF(OR($I486="Ganada",$I486="Perdida",$I486="Medio Ganada",$I486="Medio Perdida"),IF($G486=0,"",J486/$G486),"")</f>
        <v>0.92</v>
      </c>
      <c r="M486" s="120">
        <f>IF(OR($A486="",$B486=""),"",COUNTIFS($A$5:A486,A486,$B$5:B486,B486))</f>
        <v>4</v>
      </c>
      <c r="N486" s="120">
        <f>IF($A486="","",COUNTA($A$5:$A486))</f>
        <v>482</v>
      </c>
      <c r="O486" s="120">
        <f>IF($A486="","",COUNTA($A$5:$A486))</f>
        <v>482</v>
      </c>
      <c r="P486" s="118">
        <f>IF($K486="","",MAX($K$5:K486))</f>
        <v>2894.45</v>
      </c>
      <c r="Q486" s="117">
        <f>IF($K486="","",K486-P486)</f>
        <v>-21.909999999999854</v>
      </c>
      <c r="R486" s="2"/>
      <c r="S486" s="2">
        <f>IF(OR($A486="",$F486=""),"",IF($I486="Pendiente","",ROUND($G486*($F486*0.609-1),2)))</f>
        <v>5.08</v>
      </c>
      <c r="T486" s="2">
        <f>IF($A486="","",IFERROR(SUM($S$5:S486),0))</f>
        <v>703.15999999999974</v>
      </c>
    </row>
    <row r="487" spans="1:20" ht="15" customHeight="1">
      <c r="A487" s="110">
        <v>46219</v>
      </c>
      <c r="B487" s="113" t="s">
        <v>28</v>
      </c>
      <c r="C487" s="177" t="s">
        <v>815</v>
      </c>
      <c r="D487" s="113" t="s">
        <v>90</v>
      </c>
      <c r="E487" s="1" t="s">
        <v>366</v>
      </c>
      <c r="F487" s="115">
        <v>1.58</v>
      </c>
      <c r="G487" s="116">
        <v>38</v>
      </c>
      <c r="H487" s="120" t="s">
        <v>69</v>
      </c>
      <c r="I487" s="120" t="s">
        <v>88</v>
      </c>
      <c r="J487" s="117">
        <f>IF($A487="","",IF($I487="Ganada",ROUND($G487*($F487-1),2),IF($I487="Medio Ganada",ROUND($G487/2*($F487-1),2),IF($I487="Perdida",IF($H487="Free Bet",0,-$G487),IF($I487="Medio Perdida",IF($H487="Free Bet",0,-$G487/2),IF($I487="Reembolso",IF($R487="","",ROUND($R487-$G487,2)),IF($I487="Anulada",0,"")))))))</f>
        <v>0</v>
      </c>
      <c r="K487" s="118">
        <f>IF(J487="","",2000+SUM(J$5:J487))</f>
        <v>2872.54</v>
      </c>
      <c r="L487" s="119" t="str">
        <f>IF(OR($I487="Ganada",$I487="Perdida",$I487="Medio Ganada",$I487="Medio Perdida"),IF($G487=0,"",J487/$G487),"")</f>
        <v/>
      </c>
      <c r="M487" s="120">
        <f>IF(OR($A487="",$B487=""),"",COUNTIFS($A$5:A487,A487,$B$5:B487,B487))</f>
        <v>5</v>
      </c>
      <c r="N487" s="120">
        <f>IF($A487="","",COUNTA($A$5:$A487))</f>
        <v>483</v>
      </c>
      <c r="O487" s="120">
        <f>IF($A487="","",COUNTA($A$5:$A487))</f>
        <v>483</v>
      </c>
      <c r="P487" s="118">
        <f>IF($K487="","",MAX($K$5:K487))</f>
        <v>2894.45</v>
      </c>
      <c r="Q487" s="117">
        <f>IF($K487="","",K487-P487)</f>
        <v>-21.909999999999854</v>
      </c>
      <c r="R487" s="2"/>
      <c r="S487" s="2">
        <f>IF(OR($A487="",$F487=""),"",IF($I487="Pendiente","",ROUND($G487*($F487*0.609-1),2)))</f>
        <v>-1.44</v>
      </c>
      <c r="T487" s="2">
        <f>IF($A487="","",IFERROR(SUM($S$5:S487),0))</f>
        <v>701.71999999999969</v>
      </c>
    </row>
    <row r="488" spans="1:20" ht="25.5">
      <c r="A488" s="110">
        <v>46220</v>
      </c>
      <c r="B488" s="113" t="s">
        <v>28</v>
      </c>
      <c r="C488" s="177" t="s">
        <v>816</v>
      </c>
      <c r="D488" s="113" t="s">
        <v>67</v>
      </c>
      <c r="E488" s="1" t="s">
        <v>817</v>
      </c>
      <c r="F488" s="115">
        <v>2</v>
      </c>
      <c r="G488" s="116">
        <v>30</v>
      </c>
      <c r="H488" s="120" t="s">
        <v>69</v>
      </c>
      <c r="I488" s="120" t="s">
        <v>75</v>
      </c>
      <c r="J488" s="117">
        <f>IF($A488="","",IF($I488="Ganada",ROUND($G488*($F488-1),2),IF($I488="Medio Ganada",ROUND($G488/2*($F488-1),2),IF($I488="Perdida",IF($H488="Free Bet",0,-$G488),IF($I488="Medio Perdida",IF($H488="Free Bet",0,-$G488/2),IF($I488="Reembolso",IF($R488="","",ROUND($R488-$G488,2)),IF($I488="Anulada",0,"")))))))</f>
        <v>-30</v>
      </c>
      <c r="K488" s="118">
        <f>IF(J488="","",2000+SUM(J$5:J488))</f>
        <v>2842.54</v>
      </c>
      <c r="L488" s="119">
        <f>IF(OR($I488="Ganada",$I488="Perdida",$I488="Medio Ganada",$I488="Medio Perdida"),IF($G488=0,"",J488/$G488),"")</f>
        <v>-1</v>
      </c>
      <c r="M488" s="120">
        <f>IF(OR($A488="",$B488=""),"",COUNTIFS($A$5:A488,A488,$B$5:B488,B488))</f>
        <v>1</v>
      </c>
      <c r="N488" s="120">
        <f>IF($A488="","",COUNTA($A$5:$A488))</f>
        <v>484</v>
      </c>
      <c r="O488" s="120">
        <f>IF($A488="","",COUNTA($A$5:$A488))</f>
        <v>484</v>
      </c>
      <c r="P488" s="118">
        <f>IF($K488="","",MAX($K$5:K488))</f>
        <v>2894.45</v>
      </c>
      <c r="Q488" s="117">
        <f>IF($K488="","",K488-P488)</f>
        <v>-51.909999999999854</v>
      </c>
      <c r="R488" s="2"/>
      <c r="S488" s="2">
        <f>IF(OR($A488="",$F488=""),"",IF($I488="Pendiente","",ROUND($G488*($F488*0.609-1),2)))</f>
        <v>6.54</v>
      </c>
      <c r="T488" s="2">
        <f>IF($A488="","",IFERROR(SUM($S$5:S488),0))</f>
        <v>708.25999999999965</v>
      </c>
    </row>
    <row r="489" spans="1:20">
      <c r="A489" s="110">
        <v>46220</v>
      </c>
      <c r="B489" s="113" t="s">
        <v>30</v>
      </c>
      <c r="C489" s="177" t="s">
        <v>818</v>
      </c>
      <c r="D489" s="113" t="s">
        <v>76</v>
      </c>
      <c r="E489" s="1" t="s">
        <v>819</v>
      </c>
      <c r="F489" s="115">
        <v>1.54</v>
      </c>
      <c r="G489" s="116">
        <v>30</v>
      </c>
      <c r="H489" s="120" t="s">
        <v>69</v>
      </c>
      <c r="I489" s="120" t="s">
        <v>75</v>
      </c>
      <c r="J489" s="117">
        <f>IF($A489="","",IF($I489="Ganada",ROUND($G489*($F489-1),2),IF($I489="Medio Ganada",ROUND($G489/2*($F489-1),2),IF($I489="Perdida",IF($H489="Free Bet",0,-$G489),IF($I489="Medio Perdida",IF($H489="Free Bet",0,-$G489/2),IF($I489="Reembolso",IF($R489="","",ROUND($R489-$G489,2)),IF($I489="Anulada",0,"")))))))</f>
        <v>-30</v>
      </c>
      <c r="K489" s="118">
        <f>IF(J489="","",2000+SUM(J$5:J489))</f>
        <v>2812.54</v>
      </c>
      <c r="L489" s="119">
        <f>IF(OR($I489="Ganada",$I489="Perdida",$I489="Medio Ganada",$I489="Medio Perdida"),IF($G489=0,"",J489/$G489),"")</f>
        <v>-1</v>
      </c>
      <c r="M489" s="120">
        <f>IF(OR($A489="",$B489=""),"",COUNTIFS($A$5:A489,A489,$B$5:B489,B489))</f>
        <v>1</v>
      </c>
      <c r="N489" s="120">
        <f>IF($A489="","",COUNTA($A$5:$A489))</f>
        <v>485</v>
      </c>
      <c r="O489" s="120">
        <f>IF($A489="","",COUNTA($A$5:$A489))</f>
        <v>485</v>
      </c>
      <c r="P489" s="118">
        <f>IF($K489="","",MAX($K$5:K489))</f>
        <v>2894.45</v>
      </c>
      <c r="Q489" s="117">
        <f>IF($K489="","",K489-P489)</f>
        <v>-81.909999999999854</v>
      </c>
      <c r="R489" s="2"/>
      <c r="S489" s="2">
        <f>IF(OR($A489="",$F489=""),"",IF($I489="Pendiente","",ROUND($G489*($F489*0.609-1),2)))</f>
        <v>-1.86</v>
      </c>
      <c r="T489" s="2">
        <f>IF($A489="","",IFERROR(SUM($S$5:S489),0))</f>
        <v>706.39999999999964</v>
      </c>
    </row>
    <row r="490" spans="1:20" ht="15" customHeight="1">
      <c r="A490" s="110">
        <v>46221</v>
      </c>
      <c r="B490" s="113" t="s">
        <v>31</v>
      </c>
      <c r="C490" s="177" t="s">
        <v>820</v>
      </c>
      <c r="D490" s="113" t="s">
        <v>67</v>
      </c>
      <c r="E490" s="1" t="s">
        <v>821</v>
      </c>
      <c r="F490" s="115">
        <v>1.5</v>
      </c>
      <c r="G490" s="116">
        <v>10</v>
      </c>
      <c r="H490" s="120" t="s">
        <v>69</v>
      </c>
      <c r="I490" s="120" t="s">
        <v>75</v>
      </c>
      <c r="J490" s="117">
        <f>IF($A490="","",IF($I490="Ganada",ROUND($G490*($F490-1),2),IF($I490="Medio Ganada",ROUND($G490/2*($F490-1),2),IF($I490="Perdida",IF($H490="Free Bet",0,-$G490),IF($I490="Medio Perdida",IF($H490="Free Bet",0,-$G490/2),IF($I490="Reembolso",IF($R490="","",ROUND($R490-$G490,2)),IF($I490="Anulada",0,"")))))))</f>
        <v>-10</v>
      </c>
      <c r="K490" s="118">
        <f>IF(J490="","",2000+SUM(J$5:J490))</f>
        <v>2802.54</v>
      </c>
      <c r="L490" s="119">
        <f>IF(OR($I490="Ganada",$I490="Perdida",$I490="Medio Ganada",$I490="Medio Perdida"),IF($G490=0,"",J490/$G490),"")</f>
        <v>-1</v>
      </c>
      <c r="M490" s="120">
        <f>IF(OR($A490="",$B490=""),"",COUNTIFS($A$5:A490,A490,$B$5:B490,B490))</f>
        <v>1</v>
      </c>
      <c r="N490" s="120">
        <f>IF($A490="","",COUNTA($A$5:$A490))</f>
        <v>486</v>
      </c>
      <c r="O490" s="120">
        <f>IF($A490="","",COUNTA($A$5:$A490))</f>
        <v>486</v>
      </c>
      <c r="P490" s="118">
        <f>IF($K490="","",MAX($K$5:K490))</f>
        <v>2894.45</v>
      </c>
      <c r="Q490" s="117">
        <f>IF($K490="","",K490-P490)</f>
        <v>-91.909999999999854</v>
      </c>
      <c r="R490" s="2"/>
      <c r="S490" s="2">
        <f>IF(OR($A490="",$F490=""),"",IF($I490="Pendiente","",ROUND($G490*($F490*0.609-1),2)))</f>
        <v>-0.87</v>
      </c>
      <c r="T490" s="2">
        <f>IF($A490="","",IFERROR(SUM($S$5:S490),0))</f>
        <v>705.52999999999963</v>
      </c>
    </row>
    <row r="491" spans="1:20" ht="19.5" customHeight="1">
      <c r="A491" s="110">
        <v>46221</v>
      </c>
      <c r="B491" s="113" t="s">
        <v>32</v>
      </c>
      <c r="C491" s="177" t="s">
        <v>822</v>
      </c>
      <c r="D491" s="113" t="s">
        <v>76</v>
      </c>
      <c r="E491" s="1" t="s">
        <v>823</v>
      </c>
      <c r="F491" s="115">
        <v>1.5329999999999999</v>
      </c>
      <c r="G491" s="116">
        <v>30</v>
      </c>
      <c r="H491" s="120" t="s">
        <v>69</v>
      </c>
      <c r="I491" s="120" t="s">
        <v>70</v>
      </c>
      <c r="J491" s="117">
        <f>IF($A491="","",IF($I491="Ganada",ROUND($G491*($F491-1),2),IF($I491="Medio Ganada",ROUND($G491/2*($F491-1),2),IF($I491="Perdida",IF($H491="Free Bet",0,-$G491),IF($I491="Medio Perdida",IF($H491="Free Bet",0,-$G491/2),IF($I491="Reembolso",IF($R491="","",ROUND($R491-$G491,2)),IF($I491="Anulada",0,"")))))))</f>
        <v>15.99</v>
      </c>
      <c r="K491" s="118">
        <f>IF(J491="","",2000+SUM(J$5:J491))</f>
        <v>2818.5299999999997</v>
      </c>
      <c r="L491" s="119">
        <f>IF(OR($I491="Ganada",$I491="Perdida",$I491="Medio Ganada",$I491="Medio Perdida"),IF($G491=0,"",J491/$G491),"")</f>
        <v>0.53300000000000003</v>
      </c>
      <c r="M491" s="120">
        <f>IF(OR($A491="",$B491=""),"",COUNTIFS($A$5:A491,A491,$B$5:B491,B491))</f>
        <v>1</v>
      </c>
      <c r="N491" s="120">
        <f>IF($A491="","",COUNTA($A$5:$A491))</f>
        <v>487</v>
      </c>
      <c r="O491" s="120">
        <f>IF($A491="","",COUNTA($A$5:$A491))</f>
        <v>487</v>
      </c>
      <c r="P491" s="118">
        <f>IF($K491="","",MAX($K$5:K491))</f>
        <v>2894.45</v>
      </c>
      <c r="Q491" s="117">
        <f>IF($K491="","",K491-P491)</f>
        <v>-75.920000000000073</v>
      </c>
      <c r="R491" s="2"/>
      <c r="S491" s="2">
        <f>IF(OR($A491="",$F491=""),"",IF($I491="Pendiente","",ROUND($G491*($F491*0.609-1),2)))</f>
        <v>-1.99</v>
      </c>
      <c r="T491" s="2">
        <f>IF($A491="","",IFERROR(SUM($S$5:S491),0))</f>
        <v>703.53999999999962</v>
      </c>
    </row>
    <row r="492" spans="1:20" ht="15" customHeight="1">
      <c r="A492" s="110">
        <v>46221</v>
      </c>
      <c r="B492" s="113" t="s">
        <v>30</v>
      </c>
      <c r="C492" s="177" t="s">
        <v>824</v>
      </c>
      <c r="D492" s="113" t="s">
        <v>67</v>
      </c>
      <c r="E492" s="1" t="s">
        <v>500</v>
      </c>
      <c r="F492" s="115">
        <v>2.14</v>
      </c>
      <c r="G492" s="116">
        <v>22</v>
      </c>
      <c r="H492" s="120" t="s">
        <v>69</v>
      </c>
      <c r="I492" s="120" t="s">
        <v>70</v>
      </c>
      <c r="J492" s="117">
        <f>IF($A492="","",IF($I492="Ganada",ROUND($G492*($F492-1),2),IF($I492="Medio Ganada",ROUND($G492/2*($F492-1),2),IF($I492="Perdida",IF($H492="Free Bet",0,-$G492),IF($I492="Medio Perdida",IF($H492="Free Bet",0,-$G492/2),IF($I492="Reembolso",IF($R492="","",ROUND($R492-$G492,2)),IF($I492="Anulada",0,"")))))))</f>
        <v>25.08</v>
      </c>
      <c r="K492" s="118">
        <f>IF(J492="","",2000+SUM(J$5:J492))</f>
        <v>2843.6099999999997</v>
      </c>
      <c r="L492" s="119">
        <f>IF(OR($I492="Ganada",$I492="Perdida",$I492="Medio Ganada",$I492="Medio Perdida"),IF($G492=0,"",J492/$G492),"")</f>
        <v>1.1399999999999999</v>
      </c>
      <c r="M492" s="120">
        <f>IF(OR($A492="",$B492=""),"",COUNTIFS($A$5:A492,A492,$B$5:B492,B492))</f>
        <v>1</v>
      </c>
      <c r="N492" s="120">
        <f>IF($A492="","",COUNTA($A$5:$A492))</f>
        <v>488</v>
      </c>
      <c r="O492" s="120">
        <f>IF($A492="","",COUNTA($A$5:$A492))</f>
        <v>488</v>
      </c>
      <c r="P492" s="118">
        <f>IF($K492="","",MAX($K$5:K492))</f>
        <v>2894.45</v>
      </c>
      <c r="Q492" s="117">
        <f>IF($K492="","",K492-P492)</f>
        <v>-50.840000000000146</v>
      </c>
      <c r="R492" s="2"/>
      <c r="S492" s="2">
        <f>IF(OR($A492="",$F492=""),"",IF($I492="Pendiente","",ROUND($G492*($F492*0.609-1),2)))</f>
        <v>6.67</v>
      </c>
      <c r="T492" s="2">
        <f>IF($A492="","",IFERROR(SUM($S$5:S492),0))</f>
        <v>710.20999999999958</v>
      </c>
    </row>
    <row r="493" spans="1:20" ht="15" customHeight="1">
      <c r="A493" s="165">
        <v>46221</v>
      </c>
      <c r="B493" s="113" t="s">
        <v>30</v>
      </c>
      <c r="C493" s="1" t="s">
        <v>825</v>
      </c>
      <c r="D493" s="110" t="s">
        <v>76</v>
      </c>
      <c r="E493" s="1" t="s">
        <v>85</v>
      </c>
      <c r="F493" s="115">
        <v>2</v>
      </c>
      <c r="G493" s="116">
        <v>20</v>
      </c>
      <c r="H493" s="120" t="s">
        <v>69</v>
      </c>
      <c r="I493" s="120" t="s">
        <v>75</v>
      </c>
      <c r="J493" s="117">
        <f>IF($D493="","",IF($I493="Ganada",ROUND($G493*($F493-1),2),IF($I493="Medio Ganada",ROUND($G493/2*($F493-1),2),IF($I493="Perdida",IF($H493="Free Bet",0,-$G493),IF($I493="Medio Perdida",IF($H493="Free Bet",0,-$G493/2),IF($I493="Reembolso",IF($R493="","",ROUND($R493-$G493,2)),IF($I493="Anulada",0,"")))))))</f>
        <v>-20</v>
      </c>
      <c r="K493" s="118">
        <f>IF(J493="","",2000+SUM(J$5:J493))</f>
        <v>2823.6099999999997</v>
      </c>
      <c r="L493" s="119">
        <f>IF(OR($I493="Ganada",$I493="Perdida",$I493="Medio Ganada",$I493="Medio Perdida"),IF($G493=0,"",J493/$G493),"")</f>
        <v>-1</v>
      </c>
      <c r="M493" s="120">
        <f>IF(OR($D493="",$B493=""),"",COUNTIFS($A$5:A493,D493,$B$5:B493,B493))</f>
        <v>0</v>
      </c>
      <c r="N493" s="120">
        <f>IF($D493="","",COUNTA($A$5:$A493))</f>
        <v>489</v>
      </c>
      <c r="O493" s="120">
        <f>IF($D493="","",COUNTA($A$5:$A493))</f>
        <v>489</v>
      </c>
      <c r="P493" s="118">
        <f>IF($K493="","",MAX($K$5:K493))</f>
        <v>2894.45</v>
      </c>
      <c r="Q493" s="117">
        <f>IF($K493="","",K493-P493)</f>
        <v>-70.840000000000146</v>
      </c>
      <c r="R493" s="2"/>
      <c r="S493" s="2">
        <f>IF(OR($D493="",$F493=""),"",IF($I493="Pendiente","",ROUND($G493*($F493*0.609-1),2)))</f>
        <v>4.3600000000000003</v>
      </c>
      <c r="T493" s="2">
        <f>IF($D493="","",IFERROR(SUM($S$5:S493),0))</f>
        <v>714.5699999999996</v>
      </c>
    </row>
    <row r="494" spans="1:20" ht="15" customHeight="1">
      <c r="A494" s="110">
        <v>46221</v>
      </c>
      <c r="B494" s="113" t="s">
        <v>28</v>
      </c>
      <c r="C494" t="s">
        <v>826</v>
      </c>
      <c r="D494" s="177" t="s">
        <v>90</v>
      </c>
      <c r="E494" s="1" t="s">
        <v>366</v>
      </c>
      <c r="F494" s="115">
        <v>1.98</v>
      </c>
      <c r="G494" s="116">
        <v>30</v>
      </c>
      <c r="H494" s="120" t="s">
        <v>69</v>
      </c>
      <c r="I494" s="120" t="s">
        <v>70</v>
      </c>
      <c r="J494" s="117">
        <f>IF($A494="","",IF($I494="Ganada",ROUND($G494*($F494-1),2),IF($I494="Medio Ganada",ROUND($G494/2*($F494-1),2),IF($I494="Perdida",IF($H494="Free Bet",0,-$G494),IF($I494="Medio Perdida",IF($H494="Free Bet",0,-$G494/2),IF($I494="Reembolso",IF($R494="","",ROUND($R494-$G494,2)),IF($I494="Anulada",0,"")))))))</f>
        <v>29.4</v>
      </c>
      <c r="K494" s="118">
        <f>IF(J494="","",2000+SUM(J$5:J494))</f>
        <v>2853.0099999999998</v>
      </c>
      <c r="L494" s="119">
        <f>IF(OR($I494="Ganada",$I494="Perdida",$I494="Medio Ganada",$I494="Medio Perdida"),IF($G494=0,"",J494/$G494),"")</f>
        <v>0.98</v>
      </c>
      <c r="M494" s="120">
        <f>IF(OR($A494="",$B494=""),"",COUNTIFS($A$5:A494,A494,$B$5:B494,B494))</f>
        <v>1</v>
      </c>
      <c r="N494" s="120">
        <f>IF($A494="","",COUNTA($A$5:$A494))</f>
        <v>490</v>
      </c>
      <c r="O494" s="120">
        <f>IF($A494="","",COUNTA($A$5:$A494))</f>
        <v>490</v>
      </c>
      <c r="P494" s="118">
        <f>IF($K494="","",MAX($K$5:K494))</f>
        <v>2894.45</v>
      </c>
      <c r="Q494" s="117">
        <f>IF($K494="","",K494-P494)</f>
        <v>-41.440000000000055</v>
      </c>
      <c r="R494" s="2"/>
      <c r="S494" s="2">
        <f>IF(OR($A494="",$F494=""),"",IF($I494="Pendiente","",ROUND($G494*($F494*0.609-1),2)))</f>
        <v>6.17</v>
      </c>
      <c r="T494" s="2">
        <f>IF($A494="","",IFERROR(SUM($S$5:S494),0))</f>
        <v>720.73999999999955</v>
      </c>
    </row>
    <row r="495" spans="1:20" ht="15" customHeight="1">
      <c r="A495" s="110">
        <v>46221</v>
      </c>
      <c r="B495" s="113" t="s">
        <v>32</v>
      </c>
      <c r="C495" s="177" t="s">
        <v>827</v>
      </c>
      <c r="D495" s="113" t="s">
        <v>95</v>
      </c>
      <c r="E495" s="1" t="s">
        <v>828</v>
      </c>
      <c r="F495" s="115">
        <v>1.85</v>
      </c>
      <c r="G495" s="116">
        <v>22</v>
      </c>
      <c r="H495" s="120" t="s">
        <v>69</v>
      </c>
      <c r="I495" s="120" t="s">
        <v>75</v>
      </c>
      <c r="J495" s="117">
        <f>IF($A495="","",IF($I495="Ganada",ROUND($G495*($F495-1),2),IF($I495="Medio Ganada",ROUND($G495/2*($F495-1),2),IF($I495="Perdida",IF($H495="Free Bet",0,-$G495),IF($I495="Medio Perdida",IF($H495="Free Bet",0,-$G495/2),IF($I495="Reembolso",IF($R495="","",ROUND($R495-$G495,2)),IF($I495="Anulada",0,"")))))))</f>
        <v>-22</v>
      </c>
      <c r="K495" s="118">
        <f>IF(J495="","",2000+SUM(J$5:J495))</f>
        <v>2831.0099999999998</v>
      </c>
      <c r="L495" s="119">
        <f>IF(OR($I495="Ganada",$I495="Perdida",$I495="Medio Ganada",$I495="Medio Perdida"),IF($G495=0,"",J495/$G495),"")</f>
        <v>-1</v>
      </c>
      <c r="M495" s="120">
        <f>IF(OR($A495="",$B495=""),"",COUNTIFS($A$5:A495,A495,$B$5:B495,B495))</f>
        <v>2</v>
      </c>
      <c r="N495" s="120">
        <f>IF($A495="","",COUNTA($A$5:$A495))</f>
        <v>491</v>
      </c>
      <c r="O495" s="120">
        <f>IF($A495="","",COUNTA($A$5:$A495))</f>
        <v>491</v>
      </c>
      <c r="P495" s="118">
        <f>IF($K495="","",MAX($K$5:K495))</f>
        <v>2894.45</v>
      </c>
      <c r="Q495" s="117">
        <f>IF($K495="","",K495-P495)</f>
        <v>-63.440000000000055</v>
      </c>
      <c r="R495" s="2"/>
      <c r="S495" s="2">
        <f>IF(OR($A495="",$F495=""),"",IF($I495="Pendiente","",ROUND($G495*($F495*0.609-1),2)))</f>
        <v>2.79</v>
      </c>
      <c r="T495" s="2">
        <f>IF($A495="","",IFERROR(SUM($S$5:S495),0))</f>
        <v>723.52999999999952</v>
      </c>
    </row>
    <row r="496" spans="1:20" ht="15" customHeight="1">
      <c r="A496" s="110">
        <v>46221</v>
      </c>
      <c r="B496" s="113" t="s">
        <v>28</v>
      </c>
      <c r="C496" s="177" t="s">
        <v>829</v>
      </c>
      <c r="D496" s="113" t="s">
        <v>90</v>
      </c>
      <c r="E496" s="1" t="s">
        <v>180</v>
      </c>
      <c r="F496" s="115">
        <v>1.68</v>
      </c>
      <c r="G496" s="116">
        <v>38</v>
      </c>
      <c r="H496" s="120" t="s">
        <v>69</v>
      </c>
      <c r="I496" s="120" t="s">
        <v>88</v>
      </c>
      <c r="J496" s="117">
        <f>IF($A496="","",IF($I496="Ganada",ROUND($G496*($F496-1),2),IF($I496="Medio Ganada",ROUND($G496/2*($F496-1),2),IF($I496="Perdida",IF($H496="Free Bet",0,-$G496),IF($I496="Medio Perdida",IF($H496="Free Bet",0,-$G496/2),IF($I496="Reembolso",IF($R496="","",ROUND($R496-$G496,2)),IF($I496="Anulada",0,"")))))))</f>
        <v>0</v>
      </c>
      <c r="K496" s="118">
        <f>IF(J496="","",2000+SUM(J$5:J496))</f>
        <v>2831.0099999999998</v>
      </c>
      <c r="L496" s="119" t="str">
        <f>IF(OR($I496="Ganada",$I496="Perdida",$I496="Medio Ganada",$I496="Medio Perdida"),IF($G496=0,"",J496/$G496),"")</f>
        <v/>
      </c>
      <c r="M496" s="120">
        <f>IF(OR($A496="",$B496=""),"",COUNTIFS($A$5:A496,A496,$B$5:B496,B496))</f>
        <v>2</v>
      </c>
      <c r="N496" s="120">
        <f>IF($A496="","",COUNTA($A$5:$A496))</f>
        <v>492</v>
      </c>
      <c r="O496" s="120">
        <f>IF($A496="","",COUNTA($A$5:$A496))</f>
        <v>492</v>
      </c>
      <c r="P496" s="118">
        <f>IF($K496="","",MAX($K$5:K496))</f>
        <v>2894.45</v>
      </c>
      <c r="Q496" s="117">
        <f>IF($K496="","",K496-P496)</f>
        <v>-63.440000000000055</v>
      </c>
      <c r="R496" s="2"/>
      <c r="S496" s="2">
        <f>IF(OR($A496="",$F496=""),"",IF($I496="Pendiente","",ROUND($G496*($F496*0.609-1),2)))</f>
        <v>0.88</v>
      </c>
      <c r="T496" s="2">
        <f>IF($A496="","",IFERROR(SUM($S$5:S496),0))</f>
        <v>724.40999999999951</v>
      </c>
    </row>
    <row r="497" spans="1:20" ht="15" customHeight="1">
      <c r="A497" s="110">
        <v>46221</v>
      </c>
      <c r="B497" s="113" t="s">
        <v>30</v>
      </c>
      <c r="C497" s="177" t="s">
        <v>830</v>
      </c>
      <c r="D497" s="113" t="s">
        <v>67</v>
      </c>
      <c r="E497" s="1" t="s">
        <v>244</v>
      </c>
      <c r="F497" s="115">
        <v>1.85</v>
      </c>
      <c r="G497" s="116">
        <v>17</v>
      </c>
      <c r="H497" s="120" t="s">
        <v>69</v>
      </c>
      <c r="I497" s="120" t="s">
        <v>75</v>
      </c>
      <c r="J497" s="117">
        <f>IF($A497="","",IF($I497="Ganada",ROUND($G497*($F497-1),2),IF($I497="Medio Ganada",ROUND($G497/2*($F497-1),2),IF($I497="Perdida",IF($H497="Free Bet",0,-$G497),IF($I497="Medio Perdida",IF($H497="Free Bet",0,-$G497/2),IF($I497="Reembolso",IF($R497="","",ROUND($R497-$G497,2)),IF($I497="Anulada",0,"")))))))</f>
        <v>-17</v>
      </c>
      <c r="K497" s="118">
        <f>IF(J497="","",2000+SUM(J$5:J497))</f>
        <v>2814.0099999999998</v>
      </c>
      <c r="L497" s="119">
        <f>IF(OR($I497="Ganada",$I497="Perdida",$I497="Medio Ganada",$I497="Medio Perdida"),IF($G497=0,"",J497/$G497),"")</f>
        <v>-1</v>
      </c>
      <c r="M497" s="120">
        <f>IF(OR($A497="",$B497=""),"",COUNTIFS($A$5:A497,A497,$B$5:B497,B497))</f>
        <v>3</v>
      </c>
      <c r="N497" s="120">
        <f>IF($A497="","",COUNTA($A$5:$A497))</f>
        <v>493</v>
      </c>
      <c r="O497" s="120">
        <f>IF($A497="","",COUNTA($A$5:$A497))</f>
        <v>493</v>
      </c>
      <c r="P497" s="118">
        <f>IF($K497="","",MAX($K$5:K497))</f>
        <v>2894.45</v>
      </c>
      <c r="Q497" s="117">
        <f>IF($K497="","",K497-P497)</f>
        <v>-80.440000000000055</v>
      </c>
      <c r="R497" s="2"/>
      <c r="S497" s="2">
        <f>IF(OR($A497="",$F497=""),"",IF($I497="Pendiente","",ROUND($G497*($F497*0.609-1),2)))</f>
        <v>2.15</v>
      </c>
      <c r="T497" s="2">
        <f>IF($A497="","",IFERROR(SUM($S$5:S497),0))</f>
        <v>726.55999999999949</v>
      </c>
    </row>
    <row r="498" spans="1:20" ht="15" customHeight="1">
      <c r="A498" s="110">
        <v>46221</v>
      </c>
      <c r="B498" s="113" t="s">
        <v>30</v>
      </c>
      <c r="C498" t="s">
        <v>831</v>
      </c>
      <c r="D498" s="113" t="s">
        <v>67</v>
      </c>
      <c r="E498" s="1" t="s">
        <v>412</v>
      </c>
      <c r="F498" s="115">
        <v>1.8</v>
      </c>
      <c r="G498" s="116">
        <v>18</v>
      </c>
      <c r="H498" s="120" t="s">
        <v>69</v>
      </c>
      <c r="I498" s="120" t="s">
        <v>75</v>
      </c>
      <c r="J498" s="117">
        <f>IF($A498="","",IF($I498="Ganada",ROUND($G498*($F498-1),2),IF($I498="Medio Ganada",ROUND($G498/2*($F498-1),2),IF($I498="Perdida",IF($H498="Free Bet",0,-$G498),IF($I498="Medio Perdida",IF($H498="Free Bet",0,-$G498/2),IF($I498="Reembolso",IF($R498="","",ROUND($R498-$G498,2)),IF($I498="Anulada",0,"")))))))</f>
        <v>-18</v>
      </c>
      <c r="K498" s="118">
        <f>IF(J498="","",2000+SUM(J$5:J498))</f>
        <v>2796.0099999999998</v>
      </c>
      <c r="L498" s="119">
        <f>IF(OR($I498="Ganada",$I498="Perdida",$I498="Medio Ganada",$I498="Medio Perdida"),IF($G498=0,"",J498/$G498),"")</f>
        <v>-1</v>
      </c>
      <c r="M498" s="120">
        <f>IF(OR($A498="",$B498=""),"",COUNTIFS($A$5:A498,A498,$B$5:B498,B498))</f>
        <v>4</v>
      </c>
      <c r="N498" s="120">
        <f>IF($A498="","",COUNTA($A$5:$A498))</f>
        <v>494</v>
      </c>
      <c r="O498" s="120">
        <f>IF($A498="","",COUNTA($A$5:$A498))</f>
        <v>494</v>
      </c>
      <c r="P498" s="118">
        <f>IF($K498="","",MAX($K$5:K498))</f>
        <v>2894.45</v>
      </c>
      <c r="Q498" s="117">
        <f>IF($K498="","",K498-P498)</f>
        <v>-98.440000000000055</v>
      </c>
      <c r="R498" s="2"/>
      <c r="S498" s="2">
        <f>IF(OR($A498="",$F498=""),"",IF($I498="Pendiente","",ROUND($G498*($F498*0.609-1),2)))</f>
        <v>1.73</v>
      </c>
      <c r="T498" s="2">
        <f>IF($A498="","",IFERROR(SUM($S$5:S498),0))</f>
        <v>728.28999999999951</v>
      </c>
    </row>
    <row r="499" spans="1:20" ht="25.5">
      <c r="A499" s="110">
        <v>46221</v>
      </c>
      <c r="B499" s="113" t="s">
        <v>31</v>
      </c>
      <c r="C499" s="177" t="s">
        <v>832</v>
      </c>
      <c r="D499" s="113" t="s">
        <v>76</v>
      </c>
      <c r="E499" s="1">
        <v>1</v>
      </c>
      <c r="F499" s="115">
        <v>1.83</v>
      </c>
      <c r="G499" s="116">
        <v>10</v>
      </c>
      <c r="H499" s="120" t="s">
        <v>69</v>
      </c>
      <c r="I499" s="120" t="s">
        <v>70</v>
      </c>
      <c r="J499" s="117">
        <f>IF($A499="","",IF($I499="Ganada",ROUND($G499*($F499-1),2),IF($I499="Medio Ganada",ROUND($G499/2*($F499-1),2),IF($I499="Perdida",IF($H499="Free Bet",0,-$G499),IF($I499="Medio Perdida",IF($H499="Free Bet",0,-$G499/2),IF($I499="Reembolso",IF($R499="","",ROUND($R499-$G499,2)),IF($I499="Anulada",0,"")))))))</f>
        <v>8.3000000000000007</v>
      </c>
      <c r="K499" s="118">
        <f>IF(J499="","",2000+SUM(J$5:J499))</f>
        <v>2804.3099999999995</v>
      </c>
      <c r="L499" s="119">
        <f>IF(OR($I499="Ganada",$I499="Perdida",$I499="Medio Ganada",$I499="Medio Perdida"),IF($G499=0,"",J499/$G499),"")</f>
        <v>0.83000000000000007</v>
      </c>
      <c r="M499" s="120">
        <f>IF(OR($A499="",$B499=""),"",COUNTIFS($A$5:A499,A499,$B$5:B499,B499))</f>
        <v>2</v>
      </c>
      <c r="N499" s="120">
        <f>IF($A499="","",COUNTA($A$5:$A499))</f>
        <v>495</v>
      </c>
      <c r="O499" s="120">
        <f>IF($A499="","",COUNTA($A$5:$A499))</f>
        <v>495</v>
      </c>
      <c r="P499" s="118">
        <f>IF($K499="","",MAX($K$5:K499))</f>
        <v>2894.45</v>
      </c>
      <c r="Q499" s="117">
        <f>IF($K499="","",K499-P499)</f>
        <v>-90.140000000000327</v>
      </c>
      <c r="R499" s="2"/>
      <c r="S499" s="2">
        <f>IF(OR($A499="",$F499=""),"",IF($I499="Pendiente","",ROUND($G499*($F499*0.609-1),2)))</f>
        <v>1.1399999999999999</v>
      </c>
      <c r="T499" s="2">
        <f>IF($A499="","",IFERROR(SUM($S$5:S499),0))</f>
        <v>729.4299999999995</v>
      </c>
    </row>
    <row r="500" spans="1:20" ht="15" customHeight="1">
      <c r="A500" s="110">
        <v>46221</v>
      </c>
      <c r="B500" s="113" t="s">
        <v>30</v>
      </c>
      <c r="C500" s="177" t="s">
        <v>833</v>
      </c>
      <c r="D500" s="113" t="s">
        <v>67</v>
      </c>
      <c r="E500" s="1" t="s">
        <v>319</v>
      </c>
      <c r="F500" s="115">
        <v>1.71</v>
      </c>
      <c r="G500" s="116">
        <v>22</v>
      </c>
      <c r="H500" s="120" t="s">
        <v>69</v>
      </c>
      <c r="I500" s="120" t="s">
        <v>70</v>
      </c>
      <c r="J500" s="117">
        <f>IF($A500="","",IF($I500="Ganada",ROUND($G500*($F500-1),2),IF($I500="Medio Ganada",ROUND($G500/2*($F500-1),2),IF($I500="Perdida",IF($H500="Free Bet",0,-$G500),IF($I500="Medio Perdida",IF($H500="Free Bet",0,-$G500/2),IF($I500="Reembolso",IF($R500="","",ROUND($R500-$G500,2)),IF($I500="Anulada",0,"")))))))</f>
        <v>15.62</v>
      </c>
      <c r="K500" s="118">
        <f>IF(J500="","",2000+SUM(J$5:J500))</f>
        <v>2819.93</v>
      </c>
      <c r="L500" s="119">
        <f>IF(OR($I500="Ganada",$I500="Perdida",$I500="Medio Ganada",$I500="Medio Perdida"),IF($G500=0,"",J500/$G500),"")</f>
        <v>0.71</v>
      </c>
      <c r="M500" s="120">
        <f>IF(OR($A500="",$B500=""),"",COUNTIFS($A$5:A500,A500,$B$5:B500,B500))</f>
        <v>5</v>
      </c>
      <c r="N500" s="120">
        <f>IF($A500="","",COUNTA($A$5:$A500))</f>
        <v>496</v>
      </c>
      <c r="O500" s="120">
        <f>IF($A500="","",COUNTA($A$5:$A500))</f>
        <v>496</v>
      </c>
      <c r="P500" s="118">
        <f>IF($K500="","",MAX($K$5:K500))</f>
        <v>2894.45</v>
      </c>
      <c r="Q500" s="117">
        <f>IF($K500="","",K500-P500)</f>
        <v>-74.519999999999982</v>
      </c>
      <c r="R500" s="2"/>
      <c r="S500" s="2">
        <f>IF(OR($A500="",$F500=""),"",IF($I500="Pendiente","",ROUND($G500*($F500*0.609-1),2)))</f>
        <v>0.91</v>
      </c>
      <c r="T500" s="2">
        <f>IF($A500="","",IFERROR(SUM($S$5:S500),0))</f>
        <v>730.33999999999946</v>
      </c>
    </row>
    <row r="501" spans="1:20" ht="15" customHeight="1">
      <c r="A501" s="110">
        <v>46221</v>
      </c>
      <c r="B501" s="113" t="s">
        <v>30</v>
      </c>
      <c r="C501" s="177" t="s">
        <v>834</v>
      </c>
      <c r="D501" s="113" t="s">
        <v>67</v>
      </c>
      <c r="E501" s="1" t="s">
        <v>467</v>
      </c>
      <c r="F501" s="115">
        <v>1.67</v>
      </c>
      <c r="G501" s="116">
        <v>22</v>
      </c>
      <c r="H501" s="120" t="s">
        <v>69</v>
      </c>
      <c r="I501" s="120" t="s">
        <v>70</v>
      </c>
      <c r="J501" s="117">
        <f>IF($A501="","",IF($I501="Ganada",ROUND($G501*($F501-1),2),IF($I501="Medio Ganada",ROUND($G501/2*($F501-1),2),IF($I501="Perdida",IF($H501="Free Bet",0,-$G501),IF($I501="Medio Perdida",IF($H501="Free Bet",0,-$G501/2),IF($I501="Reembolso",IF($R501="","",ROUND($R501-$G501,2)),IF($I501="Anulada",0,"")))))))</f>
        <v>14.74</v>
      </c>
      <c r="K501" s="118">
        <f>IF(J501="","",2000+SUM(J$5:J501))</f>
        <v>2834.6699999999996</v>
      </c>
      <c r="L501" s="119">
        <f>IF(OR($I501="Ganada",$I501="Perdida",$I501="Medio Ganada",$I501="Medio Perdida"),IF($G501=0,"",J501/$G501),"")</f>
        <v>0.67</v>
      </c>
      <c r="M501" s="120">
        <f>IF(OR($A501="",$B501=""),"",COUNTIFS($A$5:A501,A501,$B$5:B501,B501))</f>
        <v>6</v>
      </c>
      <c r="N501" s="120">
        <f>IF($A501="","",COUNTA($A$5:$A501))</f>
        <v>497</v>
      </c>
      <c r="O501" s="120">
        <f>IF($A501="","",COUNTA($A$5:$A501))</f>
        <v>497</v>
      </c>
      <c r="P501" s="118">
        <f>IF($K501="","",MAX($K$5:K501))</f>
        <v>2894.45</v>
      </c>
      <c r="Q501" s="117">
        <f>IF($K501="","",K501-P501)</f>
        <v>-59.7800000000002</v>
      </c>
      <c r="R501" s="2"/>
      <c r="S501" s="2">
        <f>IF(OR($A501="",$F501=""),"",IF($I501="Pendiente","",ROUND($G501*($F501*0.609-1),2)))</f>
        <v>0.37</v>
      </c>
      <c r="T501" s="2">
        <f>IF($A501="","",IFERROR(SUM($S$5:S501),0))</f>
        <v>730.70999999999947</v>
      </c>
    </row>
    <row r="502" spans="1:20" ht="15" customHeight="1">
      <c r="A502" s="110">
        <v>46221</v>
      </c>
      <c r="B502" s="113" t="s">
        <v>30</v>
      </c>
      <c r="C502" s="177" t="s">
        <v>835</v>
      </c>
      <c r="D502" s="113" t="s">
        <v>67</v>
      </c>
      <c r="E502" s="1" t="s">
        <v>836</v>
      </c>
      <c r="F502" s="115">
        <v>1.64</v>
      </c>
      <c r="G502" s="116">
        <v>25</v>
      </c>
      <c r="H502" s="120" t="s">
        <v>69</v>
      </c>
      <c r="I502" s="120" t="s">
        <v>70</v>
      </c>
      <c r="J502" s="117">
        <f>IF($A502="","",IF($I502="Ganada",ROUND($G502*($F502-1),2),IF($I502="Medio Ganada",ROUND($G502/2*($F502-1),2),IF($I502="Perdida",IF($H502="Free Bet",0,-$G502),IF($I502="Medio Perdida",IF($H502="Free Bet",0,-$G502/2),IF($I502="Reembolso",IF($R502="","",ROUND($R502-$G502,2)),IF($I502="Anulada",0,"")))))))</f>
        <v>16</v>
      </c>
      <c r="K502" s="118">
        <f>IF(J502="","",2000+SUM(J$5:J502))</f>
        <v>2850.6699999999996</v>
      </c>
      <c r="L502" s="119">
        <f>IF(OR($I502="Ganada",$I502="Perdida",$I502="Medio Ganada",$I502="Medio Perdida"),IF($G502=0,"",J502/$G502),"")</f>
        <v>0.64</v>
      </c>
      <c r="M502" s="120">
        <f>IF(OR($A502="",$B502=""),"",COUNTIFS($A$5:A502,A502,$B$5:B502,B502))</f>
        <v>7</v>
      </c>
      <c r="N502" s="120">
        <f>IF($A502="","",COUNTA($A$5:$A502))</f>
        <v>498</v>
      </c>
      <c r="O502" s="120">
        <f>IF($A502="","",COUNTA($A$5:$A502))</f>
        <v>498</v>
      </c>
      <c r="P502" s="118">
        <f>IF($K502="","",MAX($K$5:K502))</f>
        <v>2894.45</v>
      </c>
      <c r="Q502" s="117">
        <f>IF($K502="","",K502-P502)</f>
        <v>-43.7800000000002</v>
      </c>
      <c r="R502" s="2"/>
      <c r="S502" s="2">
        <f>IF(OR($A502="",$F502=""),"",IF($I502="Pendiente","",ROUND($G502*($F502*0.609-1),2)))</f>
        <v>-0.03</v>
      </c>
      <c r="T502" s="2">
        <f>IF($A502="","",IFERROR(SUM($S$5:S502),0))</f>
        <v>730.6799999999995</v>
      </c>
    </row>
    <row r="503" spans="1:20" ht="15" customHeight="1">
      <c r="A503" s="110">
        <v>46221</v>
      </c>
      <c r="B503" s="113" t="s">
        <v>30</v>
      </c>
      <c r="C503" s="177" t="s">
        <v>837</v>
      </c>
      <c r="D503" s="113" t="s">
        <v>67</v>
      </c>
      <c r="E503" s="1" t="s">
        <v>370</v>
      </c>
      <c r="F503" s="115">
        <v>2.1</v>
      </c>
      <c r="G503" s="116">
        <v>22</v>
      </c>
      <c r="H503" s="120" t="s">
        <v>69</v>
      </c>
      <c r="I503" s="120" t="s">
        <v>75</v>
      </c>
      <c r="J503" s="117">
        <f>IF($A503="","",IF($I503="Ganada",ROUND($G503*($F503-1),2),IF($I503="Medio Ganada",ROUND($G503/2*($F503-1),2),IF($I503="Perdida",IF($H503="Free Bet",0,-$G503),IF($I503="Medio Perdida",IF($H503="Free Bet",0,-$G503/2),IF($I503="Reembolso",IF($R503="","",ROUND($R503-$G503,2)),IF($I503="Anulada",0,"")))))))</f>
        <v>-22</v>
      </c>
      <c r="K503" s="118">
        <f>IF(J503="","",2000+SUM(J$5:J503))</f>
        <v>2828.6699999999996</v>
      </c>
      <c r="L503" s="119">
        <f>IF(OR($I503="Ganada",$I503="Perdida",$I503="Medio Ganada",$I503="Medio Perdida"),IF($G503=0,"",J503/$G503),"")</f>
        <v>-1</v>
      </c>
      <c r="M503" s="120">
        <f>IF(OR($A503="",$B503=""),"",COUNTIFS($A$5:A503,A503,$B$5:B503,B503))</f>
        <v>8</v>
      </c>
      <c r="N503" s="120">
        <f>IF($A503="","",COUNTA($A$5:$A503))</f>
        <v>499</v>
      </c>
      <c r="O503" s="120">
        <f>IF($A503="","",COUNTA($A$5:$A503))</f>
        <v>499</v>
      </c>
      <c r="P503" s="118">
        <f>IF($K503="","",MAX($K$5:K503))</f>
        <v>2894.45</v>
      </c>
      <c r="Q503" s="117">
        <f>IF($K503="","",K503-P503)</f>
        <v>-65.7800000000002</v>
      </c>
      <c r="R503" s="2"/>
      <c r="S503" s="2">
        <f>IF(OR($A503="",$F503=""),"",IF($I503="Pendiente","",ROUND($G503*($F503*0.609-1),2)))</f>
        <v>6.14</v>
      </c>
      <c r="T503" s="2">
        <f>IF($A503="","",IFERROR(SUM($S$5:S503),0))</f>
        <v>736.81999999999948</v>
      </c>
    </row>
    <row r="504" spans="1:20" ht="15" customHeight="1">
      <c r="A504" s="110">
        <v>46221</v>
      </c>
      <c r="B504" s="113" t="s">
        <v>28</v>
      </c>
      <c r="C504" s="177" t="s">
        <v>838</v>
      </c>
      <c r="D504" s="113" t="s">
        <v>76</v>
      </c>
      <c r="E504" s="1" t="s">
        <v>756</v>
      </c>
      <c r="F504" s="115">
        <v>1.74</v>
      </c>
      <c r="G504" s="116">
        <v>38</v>
      </c>
      <c r="H504" s="120" t="s">
        <v>69</v>
      </c>
      <c r="I504" s="120" t="s">
        <v>70</v>
      </c>
      <c r="J504" s="117">
        <f>IF($A504="","",IF($I504="Ganada",ROUND($G504*($F504-1),2),IF($I504="Medio Ganada",ROUND($G504/2*($F504-1),2),IF($I504="Perdida",IF($H504="Free Bet",0,-$G504),IF($I504="Medio Perdida",IF($H504="Free Bet",0,-$G504/2),IF($I504="Reembolso",IF($R504="","",ROUND($R504-$G504,2)),IF($I504="Anulada",0,"")))))))</f>
        <v>28.12</v>
      </c>
      <c r="K504" s="118">
        <f>IF(J504="","",2000+SUM(J$5:J504))</f>
        <v>2856.79</v>
      </c>
      <c r="L504" s="119">
        <f>IF(OR($I504="Ganada",$I504="Perdida",$I504="Medio Ganada",$I504="Medio Perdida"),IF($G504=0,"",J504/$G504),"")</f>
        <v>0.74</v>
      </c>
      <c r="M504" s="120">
        <f>IF(OR($A504="",$B504=""),"",COUNTIFS($A$5:A504,A504,$B$5:B504,B504))</f>
        <v>3</v>
      </c>
      <c r="N504" s="120">
        <f>IF($A504="","",COUNTA($A$5:$A504))</f>
        <v>500</v>
      </c>
      <c r="O504" s="120">
        <f>IF($A504="","",COUNTA($A$5:$A504))</f>
        <v>500</v>
      </c>
      <c r="P504" s="118">
        <f>IF($K504="","",MAX($K$5:K504))</f>
        <v>2894.45</v>
      </c>
      <c r="Q504" s="117">
        <f>IF($K504="","",K504-P504)</f>
        <v>-37.659999999999854</v>
      </c>
      <c r="R504" s="2"/>
      <c r="S504" s="2">
        <f>IF(OR($A504="",$F504=""),"",IF($I504="Pendiente","",ROUND($G504*($F504*0.609-1),2)))</f>
        <v>2.27</v>
      </c>
      <c r="T504" s="2">
        <f>IF($A504="","",IFERROR(SUM($S$5:S504),0))</f>
        <v>739.08999999999946</v>
      </c>
    </row>
    <row r="505" spans="1:20" ht="15" customHeight="1">
      <c r="A505" s="110">
        <v>46221</v>
      </c>
      <c r="B505" s="113" t="s">
        <v>28</v>
      </c>
      <c r="C505" t="s">
        <v>839</v>
      </c>
      <c r="D505" s="113" t="s">
        <v>95</v>
      </c>
      <c r="E505" s="1" t="s">
        <v>840</v>
      </c>
      <c r="F505" s="115">
        <v>1.66</v>
      </c>
      <c r="G505" s="116">
        <v>38</v>
      </c>
      <c r="H505" s="120" t="s">
        <v>69</v>
      </c>
      <c r="I505" s="120" t="s">
        <v>70</v>
      </c>
      <c r="J505" s="117">
        <f>IF($A505="","",IF($I505="Ganada",ROUND($G505*($F505-1),2),IF($I505="Medio Ganada",ROUND($G505/2*($F505-1),2),IF($I505="Perdida",IF($H505="Free Bet",0,-$G505),IF($I505="Medio Perdida",IF($H505="Free Bet",0,-$G505/2),IF($I505="Reembolso",IF($R505="","",ROUND($R505-$G505,2)),IF($I505="Anulada",0,"")))))))</f>
        <v>25.08</v>
      </c>
      <c r="K505" s="118">
        <f>IF(J505="","",2000+SUM(J$5:J505))</f>
        <v>2881.87</v>
      </c>
      <c r="L505" s="119">
        <f>IF(OR($I505="Ganada",$I505="Perdida",$I505="Medio Ganada",$I505="Medio Perdida"),IF($G505=0,"",J505/$G505),"")</f>
        <v>0.65999999999999992</v>
      </c>
      <c r="M505" s="120">
        <f>IF(OR($A505="",$B505=""),"",COUNTIFS($A$5:A505,A505,$B$5:B505,B505))</f>
        <v>4</v>
      </c>
      <c r="N505" s="120">
        <f>IF($A505="","",COUNTA($A$5:$A505))</f>
        <v>501</v>
      </c>
      <c r="O505" s="120">
        <f>IF($A505="","",COUNTA($A$5:$A505))</f>
        <v>501</v>
      </c>
      <c r="P505" s="118">
        <f>IF($K505="","",MAX($K$5:K505))</f>
        <v>2894.45</v>
      </c>
      <c r="Q505" s="117">
        <f>IF($K505="","",K505-P505)</f>
        <v>-12.579999999999927</v>
      </c>
      <c r="R505" s="2"/>
      <c r="S505" s="2">
        <f>IF(OR($A505="",$F505=""),"",IF($I505="Pendiente","",ROUND($G505*($F505*0.609-1),2)))</f>
        <v>0.42</v>
      </c>
      <c r="T505" s="2">
        <f>IF($A505="","",IFERROR(SUM($S$5:S505),0))</f>
        <v>739.50999999999942</v>
      </c>
    </row>
    <row r="506" spans="1:20" ht="15" customHeight="1">
      <c r="A506" s="110">
        <v>46221</v>
      </c>
      <c r="B506" s="113" t="s">
        <v>30</v>
      </c>
      <c r="C506" s="177" t="s">
        <v>841</v>
      </c>
      <c r="D506" s="113" t="s">
        <v>67</v>
      </c>
      <c r="E506" s="1" t="s">
        <v>244</v>
      </c>
      <c r="F506" s="115">
        <v>1.73</v>
      </c>
      <c r="G506" s="116">
        <v>20</v>
      </c>
      <c r="H506" s="120" t="s">
        <v>69</v>
      </c>
      <c r="I506" s="120" t="s">
        <v>75</v>
      </c>
      <c r="J506" s="117">
        <f>IF($A506="","",IF($I506="Ganada",ROUND($G506*($F506-1),2),IF($I506="Medio Ganada",ROUND($G506/2*($F506-1),2),IF($I506="Perdida",IF($H506="Free Bet",0,-$G506),IF($I506="Medio Perdida",IF($H506="Free Bet",0,-$G506/2),IF($I506="Reembolso",IF($R506="","",ROUND($R506-$G506,2)),IF($I506="Anulada",0,"")))))))</f>
        <v>-20</v>
      </c>
      <c r="K506" s="118">
        <f>IF(J506="","",2000+SUM(J$5:J506))</f>
        <v>2861.87</v>
      </c>
      <c r="L506" s="119">
        <f>IF(OR($I506="Ganada",$I506="Perdida",$I506="Medio Ganada",$I506="Medio Perdida"),IF($G506=0,"",J506/$G506),"")</f>
        <v>-1</v>
      </c>
      <c r="M506" s="120">
        <f>IF(OR($A506="",$B506=""),"",COUNTIFS($A$5:A506,A506,$B$5:B506,B506))</f>
        <v>9</v>
      </c>
      <c r="N506" s="120">
        <f>IF($A506="","",COUNTA($A$5:$A506))</f>
        <v>502</v>
      </c>
      <c r="O506" s="120">
        <f>IF($A506="","",COUNTA($A$5:$A506))</f>
        <v>502</v>
      </c>
      <c r="P506" s="118">
        <f>IF($K506="","",MAX($K$5:K506))</f>
        <v>2894.45</v>
      </c>
      <c r="Q506" s="117">
        <f>IF($K506="","",K506-P506)</f>
        <v>-32.579999999999927</v>
      </c>
      <c r="R506" s="2"/>
      <c r="S506" s="2">
        <f>IF(OR($A506="",$F506=""),"",IF($I506="Pendiente","",ROUND($G506*($F506*0.609-1),2)))</f>
        <v>1.07</v>
      </c>
      <c r="T506" s="2">
        <f>IF($A506="","",IFERROR(SUM($S$5:S506),0))</f>
        <v>740.57999999999947</v>
      </c>
    </row>
    <row r="507" spans="1:20" ht="15" customHeight="1">
      <c r="A507" s="110">
        <v>46221</v>
      </c>
      <c r="B507" s="113" t="s">
        <v>30</v>
      </c>
      <c r="C507" s="177" t="s">
        <v>842</v>
      </c>
      <c r="D507" s="113" t="s">
        <v>90</v>
      </c>
      <c r="E507" s="1" t="s">
        <v>180</v>
      </c>
      <c r="F507" s="115">
        <v>1.76</v>
      </c>
      <c r="G507" s="116">
        <v>30</v>
      </c>
      <c r="H507" s="120" t="s">
        <v>69</v>
      </c>
      <c r="I507" s="120" t="s">
        <v>75</v>
      </c>
      <c r="J507" s="117">
        <f>IF($A507="","",IF($I507="Ganada",ROUND($G507*($F507-1),2),IF($I507="Medio Ganada",ROUND($G507/2*($F507-1),2),IF($I507="Perdida",IF($H507="Free Bet",0,-$G507),IF($I507="Medio Perdida",IF($H507="Free Bet",0,-$G507/2),IF($I507="Reembolso",IF($R507="","",ROUND($R507-$G507,2)),IF($I507="Anulada",0,"")))))))</f>
        <v>-30</v>
      </c>
      <c r="K507" s="118">
        <f>IF(J507="","",2000+SUM(J$5:J507))</f>
        <v>2831.87</v>
      </c>
      <c r="L507" s="119">
        <f>IF(OR($I507="Ganada",$I507="Perdida",$I507="Medio Ganada",$I507="Medio Perdida"),IF($G507=0,"",J507/$G507),"")</f>
        <v>-1</v>
      </c>
      <c r="M507" s="120">
        <f>IF(OR($A507="",$B507=""),"",COUNTIFS($A$5:A507,A507,$B$5:B507,B507))</f>
        <v>10</v>
      </c>
      <c r="N507" s="120">
        <f>IF($A507="","",COUNTA($A$5:$A507))</f>
        <v>503</v>
      </c>
      <c r="O507" s="120">
        <f>IF($A507="","",COUNTA($A$5:$A507))</f>
        <v>503</v>
      </c>
      <c r="P507" s="118">
        <f>IF($K507="","",MAX($K$5:K507))</f>
        <v>2894.45</v>
      </c>
      <c r="Q507" s="117">
        <f>IF($K507="","",K507-P507)</f>
        <v>-62.579999999999927</v>
      </c>
      <c r="R507" s="2"/>
      <c r="S507" s="2">
        <f>IF(OR($A507="",$F507=""),"",IF($I507="Pendiente","",ROUND($G507*($F507*0.609-1),2)))</f>
        <v>2.16</v>
      </c>
      <c r="T507" s="2">
        <f>IF($A507="","",IFERROR(SUM($S$5:S507),0))</f>
        <v>742.73999999999944</v>
      </c>
    </row>
    <row r="508" spans="1:20" ht="15" customHeight="1">
      <c r="A508" s="110">
        <v>46221</v>
      </c>
      <c r="B508" s="113" t="s">
        <v>28</v>
      </c>
      <c r="C508" s="177" t="s">
        <v>843</v>
      </c>
      <c r="D508" s="113" t="s">
        <v>76</v>
      </c>
      <c r="E508" s="1" t="s">
        <v>844</v>
      </c>
      <c r="F508" s="115">
        <v>1.8</v>
      </c>
      <c r="G508" s="116">
        <v>30</v>
      </c>
      <c r="H508" s="120" t="s">
        <v>69</v>
      </c>
      <c r="I508" s="120" t="s">
        <v>70</v>
      </c>
      <c r="J508" s="117">
        <f>IF($A508="","",IF($I508="Ganada",ROUND($G508*($F508-1),2),IF($I508="Medio Ganada",ROUND($G508/2*($F508-1),2),IF($I508="Perdida",IF($H508="Free Bet",0,-$G508),IF($I508="Medio Perdida",IF($H508="Free Bet",0,-$G508/2),IF($I508="Reembolso",IF($R508="","",ROUND($R508-$G508,2)),IF($I508="Anulada",0,"")))))))</f>
        <v>24</v>
      </c>
      <c r="K508" s="118">
        <f>IF(J508="","",2000+SUM(J$5:J508))</f>
        <v>2855.87</v>
      </c>
      <c r="L508" s="119">
        <f>IF(OR($I508="Ganada",$I508="Perdida",$I508="Medio Ganada",$I508="Medio Perdida"),IF($G508=0,"",J508/$G508),"")</f>
        <v>0.8</v>
      </c>
      <c r="M508" s="120">
        <f>IF(OR($A508="",$B508=""),"",COUNTIFS($A$5:A508,A508,$B$5:B508,B508))</f>
        <v>5</v>
      </c>
      <c r="N508" s="120">
        <f>IF($A508="","",COUNTA($A$5:$A508))</f>
        <v>504</v>
      </c>
      <c r="O508" s="120">
        <f>IF($A508="","",COUNTA($A$5:$A508))</f>
        <v>504</v>
      </c>
      <c r="P508" s="118">
        <f>IF($K508="","",MAX($K$5:K508))</f>
        <v>2894.45</v>
      </c>
      <c r="Q508" s="117">
        <f>IF($K508="","",K508-P508)</f>
        <v>-38.579999999999927</v>
      </c>
      <c r="R508" s="2"/>
      <c r="S508" s="2">
        <f>IF(OR($A508="",$F508=""),"",IF($I508="Pendiente","",ROUND($G508*($F508*0.609-1),2)))</f>
        <v>2.89</v>
      </c>
      <c r="T508" s="2">
        <f>IF($A508="","",IFERROR(SUM($S$5:S508),0))</f>
        <v>745.62999999999943</v>
      </c>
    </row>
    <row r="509" spans="1:20" ht="15" customHeight="1">
      <c r="A509" s="110">
        <v>46221</v>
      </c>
      <c r="B509" s="113" t="s">
        <v>28</v>
      </c>
      <c r="C509" t="s">
        <v>845</v>
      </c>
      <c r="D509" s="113" t="s">
        <v>67</v>
      </c>
      <c r="E509" s="1" t="s">
        <v>846</v>
      </c>
      <c r="F509" s="115">
        <v>1.8</v>
      </c>
      <c r="G509" s="116">
        <v>30</v>
      </c>
      <c r="H509" s="120" t="s">
        <v>69</v>
      </c>
      <c r="I509" s="120" t="s">
        <v>847</v>
      </c>
      <c r="J509" s="117" t="str">
        <f>IF($A509="","",IF($I509="Ganada",ROUND($G509*($F509-1),2),IF($I509="Medio Ganada",ROUND($G509/2*($F509-1),2),IF($I509="Perdida",IF($H509="Free Bet",0,-$G509),IF($I509="Medio Perdida",IF($H509="Free Bet",0,-$G509/2),IF($I509="Reembolso",IF($R509="","",ROUND($R509-$G509,2)),IF($I509="Anulada",0,"")))))))</f>
        <v/>
      </c>
      <c r="K509" s="118" t="str">
        <f>IF(J509="","",2000+SUM(J$5:J509))</f>
        <v/>
      </c>
      <c r="L509" s="119" t="str">
        <f>IF(OR($I509="Ganada",$I509="Perdida",$I509="Medio Ganada",$I509="Medio Perdida"),IF($G509=0,"",J509/$G509),"")</f>
        <v/>
      </c>
      <c r="M509" s="120">
        <f>IF(OR($A509="",$B509=""),"",COUNTIFS($A$5:A509,A509,$B$5:B509,B509))</f>
        <v>6</v>
      </c>
      <c r="N509" s="120">
        <f>IF($A509="","",COUNTA($A$5:$A509))</f>
        <v>505</v>
      </c>
      <c r="O509" s="120">
        <f>IF($A509="","",COUNTA($A$5:$A509))</f>
        <v>505</v>
      </c>
      <c r="P509" s="118" t="str">
        <f>IF($K509="","",MAX($K$5:K509))</f>
        <v/>
      </c>
      <c r="Q509" s="117" t="str">
        <f>IF($K509="","",K509-P509)</f>
        <v/>
      </c>
      <c r="R509" s="2"/>
      <c r="S509" s="2" t="str">
        <f>IF(OR($A509="",$F509=""),"",IF($I509="Pendiente","",ROUND($G509*($F509*0.609-1),2)))</f>
        <v/>
      </c>
      <c r="T509" s="2">
        <f>IF($A509="","",IFERROR(SUM($S$5:S509),0))</f>
        <v>745.62999999999943</v>
      </c>
    </row>
    <row r="510" spans="1:20" ht="15" customHeight="1">
      <c r="A510" s="110">
        <v>46221</v>
      </c>
      <c r="B510" s="113" t="s">
        <v>33</v>
      </c>
      <c r="C510" s="177" t="s">
        <v>848</v>
      </c>
      <c r="D510" s="113" t="s">
        <v>76</v>
      </c>
      <c r="E510" t="s">
        <v>706</v>
      </c>
      <c r="F510" s="115">
        <v>1.47</v>
      </c>
      <c r="G510" s="116">
        <v>30</v>
      </c>
      <c r="H510" s="120" t="s">
        <v>69</v>
      </c>
      <c r="I510" s="120" t="s">
        <v>847</v>
      </c>
      <c r="J510" s="117" t="str">
        <f>IF($A510="","",IF($I510="Ganada",ROUND($G510*($F510-1),2),IF($I510="Medio Ganada",ROUND($G510/2*($F510-1),2),IF($I510="Perdida",IF($H510="Free Bet",0,-$G510),IF($I510="Medio Perdida",IF($H510="Free Bet",0,-$G510/2),IF($I510="Reembolso",IF($R510="","",ROUND($R510-$G510,2)),IF($I510="Anulada",0,"")))))))</f>
        <v/>
      </c>
      <c r="K510" s="118" t="str">
        <f>IF(J510="","",2000+SUM(J$5:J510))</f>
        <v/>
      </c>
      <c r="L510" s="119" t="str">
        <f>IF(OR($I510="Ganada",$I510="Perdida",$I510="Medio Ganada",$I510="Medio Perdida"),IF($G510=0,"",J510/$G510),"")</f>
        <v/>
      </c>
      <c r="M510" s="120">
        <f>IF(OR($A510="",$B510=""),"",COUNTIFS($A$5:A510,A510,$B$5:B510,B510))</f>
        <v>1</v>
      </c>
      <c r="N510" s="120">
        <f>IF($A510="","",COUNTA($A$5:$A510))</f>
        <v>506</v>
      </c>
      <c r="O510" s="120">
        <f>IF($A510="","",COUNTA($A$5:$A510))</f>
        <v>506</v>
      </c>
      <c r="P510" s="118" t="str">
        <f>IF($K510="","",MAX($K$5:K510))</f>
        <v/>
      </c>
      <c r="Q510" s="117" t="str">
        <f>IF($K510="","",K510-P510)</f>
        <v/>
      </c>
      <c r="R510" s="2"/>
      <c r="S510" s="2" t="str">
        <f>IF(OR($A510="",$F510=""),"",IF($I510="Pendiente","",ROUND($G510*($F510*0.609-1),2)))</f>
        <v/>
      </c>
      <c r="T510" s="2">
        <f>IF($A510="","",IFERROR(SUM($S$5:S510),0))</f>
        <v>745.62999999999943</v>
      </c>
    </row>
    <row r="511" spans="1:20" ht="15" customHeight="1">
      <c r="A511" s="110">
        <v>46221</v>
      </c>
      <c r="B511" s="113" t="s">
        <v>33</v>
      </c>
      <c r="C511" t="s">
        <v>848</v>
      </c>
      <c r="D511" s="113" t="s">
        <v>76</v>
      </c>
      <c r="E511" s="1" t="s">
        <v>849</v>
      </c>
      <c r="F511" s="115">
        <v>1.34</v>
      </c>
      <c r="G511" s="116">
        <v>45</v>
      </c>
      <c r="H511" s="120" t="s">
        <v>69</v>
      </c>
      <c r="I511" s="120" t="s">
        <v>75</v>
      </c>
      <c r="J511" s="117">
        <f>IF($A511="","",IF($I511="Ganada",ROUND($G511*($F511-1),2),IF($I511="Medio Ganada",ROUND($G511/2*($F511-1),2),IF($I511="Perdida",IF($H511="Free Bet",0,-$G511),IF($I511="Medio Perdida",IF($H511="Free Bet",0,-$G511/2),IF($I511="Reembolso",IF($R511="","",ROUND($R511-$G511,2)),IF($I511="Anulada",0,"")))))))</f>
        <v>-45</v>
      </c>
      <c r="K511" s="118">
        <f>IF(J511="","",2000+SUM(J$5:J511))</f>
        <v>2810.87</v>
      </c>
      <c r="L511" s="119">
        <f>IF(OR($I511="Ganada",$I511="Perdida",$I511="Medio Ganada",$I511="Medio Perdida"),IF($G511=0,"",J511/$G511),"")</f>
        <v>-1</v>
      </c>
      <c r="M511" s="120">
        <f>IF(OR($A511="",$B511=""),"",COUNTIFS($A$5:A511,A511,$B$5:B511,B511))</f>
        <v>2</v>
      </c>
      <c r="N511" s="120">
        <f>IF($A511="","",COUNTA($A$5:$A511))</f>
        <v>507</v>
      </c>
      <c r="O511" s="120">
        <f>IF($A511="","",COUNTA($A$5:$A511))</f>
        <v>507</v>
      </c>
      <c r="P511" s="118">
        <f>IF($K511="","",MAX($K$5:K511))</f>
        <v>2894.45</v>
      </c>
      <c r="Q511" s="117">
        <f>IF($K511="","",K511-P511)</f>
        <v>-83.579999999999927</v>
      </c>
      <c r="R511" s="2"/>
      <c r="S511" s="2">
        <f>IF(OR($A511="",$F511=""),"",IF($I511="Pendiente","",ROUND($G511*($F511*0.609-1),2)))</f>
        <v>-8.2799999999999994</v>
      </c>
      <c r="T511" s="2">
        <f>IF($A511="","",IFERROR(SUM($S$5:S511),0))</f>
        <v>737.34999999999945</v>
      </c>
    </row>
    <row r="512" spans="1:20" ht="15" customHeight="1">
      <c r="A512" s="110">
        <v>46221</v>
      </c>
      <c r="B512" s="113" t="s">
        <v>31</v>
      </c>
      <c r="C512" s="177" t="s">
        <v>850</v>
      </c>
      <c r="D512" s="113" t="s">
        <v>67</v>
      </c>
      <c r="E512" s="1" t="s">
        <v>851</v>
      </c>
      <c r="F512" s="115">
        <v>1.5</v>
      </c>
      <c r="G512" s="116">
        <v>8</v>
      </c>
      <c r="H512" s="120" t="s">
        <v>69</v>
      </c>
      <c r="I512" s="120" t="s">
        <v>75</v>
      </c>
      <c r="J512" s="117">
        <f>IF($A512="","",IF($I512="Ganada",ROUND($G512*($F512-1),2),IF($I512="Medio Ganada",ROUND($G512/2*($F512-1),2),IF($I512="Perdida",IF($H512="Free Bet",0,-$G512),IF($I512="Medio Perdida",IF($H512="Free Bet",0,-$G512/2),IF($I512="Reembolso",IF($R512="","",ROUND($R512-$G512,2)),IF($I512="Anulada",0,"")))))))</f>
        <v>-8</v>
      </c>
      <c r="K512" s="118">
        <f>IF(J512="","",2000+SUM(J$5:J512))</f>
        <v>2802.87</v>
      </c>
      <c r="L512" s="119">
        <f>IF(OR($I512="Ganada",$I512="Perdida",$I512="Medio Ganada",$I512="Medio Perdida"),IF($G512=0,"",J512/$G512),"")</f>
        <v>-1</v>
      </c>
      <c r="M512" s="120">
        <f>IF(OR($A512="",$B512=""),"",COUNTIFS($A$5:A512,A512,$B$5:B512,B512))</f>
        <v>3</v>
      </c>
      <c r="N512" s="120">
        <f>IF($A512="","",COUNTA($A$5:$A512))</f>
        <v>508</v>
      </c>
      <c r="O512" s="120">
        <f>IF($A512="","",COUNTA($A$5:$A512))</f>
        <v>508</v>
      </c>
      <c r="P512" s="118">
        <f>IF($K512="","",MAX($K$5:K512))</f>
        <v>2894.45</v>
      </c>
      <c r="Q512" s="117">
        <f>IF($K512="","",K512-P512)</f>
        <v>-91.579999999999927</v>
      </c>
      <c r="R512" s="2"/>
      <c r="S512" s="2">
        <f>IF(OR($A512="",$F512=""),"",IF($I512="Pendiente","",ROUND($G512*($F512*0.609-1),2)))</f>
        <v>-0.69</v>
      </c>
      <c r="T512" s="2">
        <f>IF($A512="","",IFERROR(SUM($S$5:S512),0))</f>
        <v>736.6599999999994</v>
      </c>
    </row>
    <row r="513" spans="1:20" ht="15" customHeight="1">
      <c r="A513" s="110"/>
      <c r="B513" s="113"/>
      <c r="C513" s="177"/>
      <c r="D513" s="113"/>
      <c r="F513" s="115"/>
      <c r="G513" s="116"/>
      <c r="H513" s="120"/>
      <c r="I513" s="120"/>
      <c r="J513" s="117" t="str">
        <f>IF($A513="","",IF($I513="Ganada",ROUND($G513*($F513-1),2),IF($I513="Medio Ganada",ROUND($G513/2*($F513-1),2),IF($I513="Perdida",IF($H513="Free Bet",0,-$G513),IF($I513="Medio Perdida",IF($H513="Free Bet",0,-$G513/2),IF($I513="Reembolso",IF($R513="","",ROUND($R513-$G513,2)),IF($I513="Anulada",0,"")))))))</f>
        <v/>
      </c>
      <c r="K513" s="118" t="str">
        <f>IF(J513="","",2000+SUM(J$5:J513))</f>
        <v/>
      </c>
      <c r="L513" s="119" t="str">
        <f>IF(OR($I513="Ganada",$I513="Perdida",$I513="Medio Ganada",$I513="Medio Perdida"),IF($G513=0,"",J513/$G513),"")</f>
        <v/>
      </c>
      <c r="M513" s="120" t="str">
        <f>IF(OR($A513="",$B513=""),"",COUNTIFS($A$5:A513,A513,$B$5:B513,B513))</f>
        <v/>
      </c>
      <c r="N513" s="120" t="str">
        <f>IF($A513="","",COUNTA($A$5:$A513))</f>
        <v/>
      </c>
      <c r="O513" s="120" t="str">
        <f>IF($A513="","",COUNTA($A$5:$A513))</f>
        <v/>
      </c>
      <c r="P513" s="118" t="str">
        <f>IF($K513="","",MAX($K$5:K513))</f>
        <v/>
      </c>
      <c r="Q513" s="117" t="str">
        <f>IF($K513="","",K513-P513)</f>
        <v/>
      </c>
      <c r="R513" s="2"/>
      <c r="S513" s="2" t="str">
        <f>IF(OR($A513="",$F513=""),"",IF($I513="Pendiente","",ROUND($G513*($F513*0.609-1),2)))</f>
        <v/>
      </c>
      <c r="T513" s="2" t="str">
        <f>IF($A513="","",IFERROR(SUM($S$5:S513),0))</f>
        <v/>
      </c>
    </row>
    <row r="514" spans="1:20" ht="15" customHeight="1">
      <c r="A514" s="110"/>
      <c r="B514" s="113"/>
      <c r="C514" s="177"/>
      <c r="D514" s="113"/>
      <c r="F514" s="115"/>
      <c r="G514" s="116"/>
      <c r="H514" s="120"/>
      <c r="I514" s="120"/>
      <c r="J514" s="117" t="str">
        <f>IF($A514="","",IF($I514="Ganada",ROUND($G514*($F514-1),2),IF($I514="Medio Ganada",ROUND($G514/2*($F514-1),2),IF($I514="Perdida",IF($H514="Free Bet",0,-$G514),IF($I514="Medio Perdida",IF($H514="Free Bet",0,-$G514/2),IF($I514="Reembolso",IF($R514="","",ROUND($R514-$G514,2)),IF($I514="Anulada",0,"")))))))</f>
        <v/>
      </c>
      <c r="K514" s="118" t="str">
        <f>IF(J514="","",2000+SUM(J$5:J514))</f>
        <v/>
      </c>
      <c r="L514" s="119" t="str">
        <f>IF(OR($I514="Ganada",$I514="Perdida",$I514="Medio Ganada",$I514="Medio Perdida"),IF($G514=0,"",J514/$G514),"")</f>
        <v/>
      </c>
      <c r="M514" s="120" t="str">
        <f>IF(OR($A514="",$B514=""),"",COUNTIFS($A$5:A514,A514,$B$5:B514,B514))</f>
        <v/>
      </c>
      <c r="N514" s="120" t="str">
        <f>IF($A514="","",COUNTA($A$5:$A514))</f>
        <v/>
      </c>
      <c r="O514" s="120" t="str">
        <f>IF($A514="","",COUNTA($A$5:$A514))</f>
        <v/>
      </c>
      <c r="P514" s="118" t="str">
        <f>IF($K514="","",MAX($K$5:K514))</f>
        <v/>
      </c>
      <c r="Q514" s="117" t="str">
        <f>IF($K514="","",K514-P514)</f>
        <v/>
      </c>
      <c r="R514" s="2"/>
      <c r="S514" s="2" t="str">
        <f>IF(OR($A514="",$F514=""),"",IF($I514="Pendiente","",ROUND($G514*($F514*0.609-1),2)))</f>
        <v/>
      </c>
      <c r="T514" s="2" t="str">
        <f>IF($A514="","",IFERROR(SUM($S$5:S514),0))</f>
        <v/>
      </c>
    </row>
    <row r="515" spans="1:20" ht="15" customHeight="1">
      <c r="A515" s="110"/>
      <c r="B515" s="113"/>
      <c r="C515" s="177"/>
      <c r="D515" s="113"/>
      <c r="F515" s="115"/>
      <c r="G515" s="116"/>
      <c r="H515" s="120"/>
      <c r="I515" s="120"/>
      <c r="J515" s="117" t="str">
        <f>IF($A515="","",IF($I515="Ganada",ROUND($G515*($F515-1),2),IF($I515="Medio Ganada",ROUND($G515/2*($F515-1),2),IF($I515="Perdida",IF($H515="Free Bet",0,-$G515),IF($I515="Medio Perdida",IF($H515="Free Bet",0,-$G515/2),IF($I515="Reembolso",IF($R515="","",ROUND($R515-$G515,2)),IF($I515="Anulada",0,"")))))))</f>
        <v/>
      </c>
      <c r="K515" s="118" t="str">
        <f>IF(J515="","",2000+SUM(J$5:J515))</f>
        <v/>
      </c>
      <c r="L515" s="119" t="str">
        <f>IF(OR($I515="Ganada",$I515="Perdida",$I515="Medio Ganada",$I515="Medio Perdida"),IF($G515=0,"",J515/$G515),"")</f>
        <v/>
      </c>
      <c r="M515" s="120" t="str">
        <f>IF(OR($A515="",$B515=""),"",COUNTIFS($A$5:A515,A515,$B$5:B515,B515))</f>
        <v/>
      </c>
      <c r="N515" s="120" t="str">
        <f>IF($A515="","",COUNTA($A$5:$A515))</f>
        <v/>
      </c>
      <c r="O515" s="120" t="str">
        <f>IF($A515="","",COUNTA($A$5:$A515))</f>
        <v/>
      </c>
      <c r="P515" s="118" t="str">
        <f>IF($K515="","",MAX($K$5:K515))</f>
        <v/>
      </c>
      <c r="Q515" s="117" t="str">
        <f>IF($K515="","",K515-P515)</f>
        <v/>
      </c>
      <c r="R515" s="2"/>
      <c r="S515" s="2" t="str">
        <f>IF(OR($A515="",$F515=""),"",IF($I515="Pendiente","",ROUND($G515*($F515*0.609-1),2)))</f>
        <v/>
      </c>
      <c r="T515" s="2" t="str">
        <f>IF($A515="","",IFERROR(SUM($S$5:S515),0))</f>
        <v/>
      </c>
    </row>
    <row r="516" spans="1:20" ht="15" customHeight="1">
      <c r="A516" s="110"/>
      <c r="B516" s="113"/>
      <c r="C516" s="177"/>
      <c r="D516" s="113"/>
      <c r="F516" s="115"/>
      <c r="G516" s="116"/>
      <c r="H516" s="120"/>
      <c r="I516" s="120"/>
      <c r="J516" s="117" t="str">
        <f>IF($A516="","",IF($I516="Ganada",ROUND($G516*($F516-1),2),IF($I516="Medio Ganada",ROUND($G516/2*($F516-1),2),IF($I516="Perdida",IF($H516="Free Bet",0,-$G516),IF($I516="Medio Perdida",IF($H516="Free Bet",0,-$G516/2),IF($I516="Reembolso",IF($R516="","",ROUND($R516-$G516,2)),IF($I516="Anulada",0,"")))))))</f>
        <v/>
      </c>
      <c r="K516" s="118" t="str">
        <f>IF(J516="","",2000+SUM(J$5:J516))</f>
        <v/>
      </c>
      <c r="L516" s="119" t="str">
        <f>IF(OR($I516="Ganada",$I516="Perdida",$I516="Medio Ganada",$I516="Medio Perdida"),IF($G516=0,"",J516/$G516),"")</f>
        <v/>
      </c>
      <c r="M516" s="120" t="str">
        <f>IF(OR($A516="",$B516=""),"",COUNTIFS($A$5:A516,A516,$B$5:B516,B516))</f>
        <v/>
      </c>
      <c r="N516" s="120" t="str">
        <f>IF($A516="","",COUNTA($A$5:$A516))</f>
        <v/>
      </c>
      <c r="O516" s="120" t="str">
        <f>IF($A516="","",COUNTA($A$5:$A516))</f>
        <v/>
      </c>
      <c r="P516" s="118" t="str">
        <f>IF($K516="","",MAX($K$5:K516))</f>
        <v/>
      </c>
      <c r="Q516" s="117" t="str">
        <f>IF($K516="","",K516-P516)</f>
        <v/>
      </c>
      <c r="R516" s="2"/>
      <c r="S516" s="2" t="str">
        <f>IF(OR($A516="",$F516=""),"",IF($I516="Pendiente","",ROUND($G516*($F516*0.609-1),2)))</f>
        <v/>
      </c>
      <c r="T516" s="2" t="str">
        <f>IF($A516="","",IFERROR(SUM($S$5:S516),0))</f>
        <v/>
      </c>
    </row>
    <row r="517" spans="1:20" ht="15" customHeight="1">
      <c r="A517" s="110"/>
      <c r="B517" s="113"/>
      <c r="C517" s="177"/>
      <c r="D517" s="113"/>
      <c r="F517" s="115"/>
      <c r="G517" s="116"/>
      <c r="H517" s="120"/>
      <c r="I517" s="120"/>
      <c r="J517" s="117" t="str">
        <f>IF($A517="","",IF($I517="Ganada",ROUND($G517*($F517-1),2),IF($I517="Medio Ganada",ROUND($G517/2*($F517-1),2),IF($I517="Perdida",IF($H517="Free Bet",0,-$G517),IF($I517="Medio Perdida",IF($H517="Free Bet",0,-$G517/2),IF($I517="Reembolso",IF($R517="","",ROUND($R517-$G517,2)),IF($I517="Anulada",0,"")))))))</f>
        <v/>
      </c>
      <c r="K517" s="118" t="str">
        <f>IF(J517="","",2000+SUM(J$5:J517))</f>
        <v/>
      </c>
      <c r="L517" s="119" t="str">
        <f>IF(OR($I517="Ganada",$I517="Perdida",$I517="Medio Ganada",$I517="Medio Perdida"),IF($G517=0,"",J517/$G517),"")</f>
        <v/>
      </c>
      <c r="M517" s="120" t="str">
        <f>IF(OR($A517="",$B517=""),"",COUNTIFS($A$5:A517,A517,$B$5:B517,B517))</f>
        <v/>
      </c>
      <c r="N517" s="120" t="str">
        <f>IF($A517="","",COUNTA($A$5:$A517))</f>
        <v/>
      </c>
      <c r="O517" s="120" t="str">
        <f>IF($A517="","",COUNTA($A$5:$A517))</f>
        <v/>
      </c>
      <c r="P517" s="118" t="str">
        <f>IF($K517="","",MAX($K$5:K517))</f>
        <v/>
      </c>
      <c r="Q517" s="117" t="str">
        <f>IF($K517="","",K517-P517)</f>
        <v/>
      </c>
      <c r="R517" s="2"/>
      <c r="S517" s="2" t="str">
        <f>IF(OR($A517="",$F517=""),"",IF($I517="Pendiente","",ROUND($G517*($F517*0.609-1),2)))</f>
        <v/>
      </c>
      <c r="T517" s="2" t="str">
        <f>IF($A517="","",IFERROR(SUM($S$5:S517),0))</f>
        <v/>
      </c>
    </row>
    <row r="518" spans="1:20" ht="15" customHeight="1">
      <c r="A518" s="110"/>
      <c r="B518" s="113"/>
      <c r="C518" s="177"/>
      <c r="D518" s="113"/>
      <c r="F518" s="115"/>
      <c r="G518" s="116"/>
      <c r="H518" s="120"/>
      <c r="I518" s="120"/>
      <c r="J518" s="117" t="str">
        <f>IF($A518="","",IF($I518="Ganada",ROUND($G518*($F518-1),2),IF($I518="Medio Ganada",ROUND($G518/2*($F518-1),2),IF($I518="Perdida",IF($H518="Free Bet",0,-$G518),IF($I518="Medio Perdida",IF($H518="Free Bet",0,-$G518/2),IF($I518="Reembolso",IF($R518="","",ROUND($R518-$G518,2)),IF($I518="Anulada",0,"")))))))</f>
        <v/>
      </c>
      <c r="K518" s="118" t="str">
        <f>IF(J518="","",2000+SUM(J$5:J518))</f>
        <v/>
      </c>
      <c r="L518" s="119" t="str">
        <f>IF(OR($I518="Ganada",$I518="Perdida",$I518="Medio Ganada",$I518="Medio Perdida"),IF($G518=0,"",J518/$G518),"")</f>
        <v/>
      </c>
      <c r="M518" s="120" t="str">
        <f>IF(OR($A518="",$B518=""),"",COUNTIFS($A$5:A518,A518,$B$5:B518,B518))</f>
        <v/>
      </c>
      <c r="N518" s="120" t="str">
        <f>IF($A518="","",COUNTA($A$5:$A518))</f>
        <v/>
      </c>
      <c r="O518" s="120" t="str">
        <f>IF($A518="","",COUNTA($A$5:$A518))</f>
        <v/>
      </c>
      <c r="P518" s="118" t="str">
        <f>IF($K518="","",MAX($K$5:K518))</f>
        <v/>
      </c>
      <c r="Q518" s="117" t="str">
        <f>IF($K518="","",K518-P518)</f>
        <v/>
      </c>
      <c r="R518" s="2"/>
      <c r="S518" s="2" t="str">
        <f>IF(OR($A518="",$F518=""),"",IF($I518="Pendiente","",ROUND($G518*($F518*0.609-1),2)))</f>
        <v/>
      </c>
      <c r="T518" s="2" t="str">
        <f>IF($A518="","",IFERROR(SUM($S$5:S518),0))</f>
        <v/>
      </c>
    </row>
    <row r="519" spans="1:20" ht="15" customHeight="1">
      <c r="A519" s="110"/>
      <c r="B519" s="113"/>
      <c r="C519" s="177"/>
      <c r="D519" s="113"/>
      <c r="F519" s="115"/>
      <c r="G519" s="116"/>
      <c r="H519" s="120"/>
      <c r="I519" s="120"/>
      <c r="J519" s="117" t="str">
        <f>IF($A519="","",IF($I519="Ganada",ROUND($G519*($F519-1),2),IF($I519="Medio Ganada",ROUND($G519/2*($F519-1),2),IF($I519="Perdida",IF($H519="Free Bet",0,-$G519),IF($I519="Medio Perdida",IF($H519="Free Bet",0,-$G519/2),IF($I519="Reembolso",IF($R519="","",ROUND($R519-$G519,2)),IF($I519="Anulada",0,"")))))))</f>
        <v/>
      </c>
      <c r="K519" s="118" t="str">
        <f>IF(J519="","",2000+SUM(J$5:J519))</f>
        <v/>
      </c>
      <c r="L519" s="119" t="str">
        <f>IF(OR($I519="Ganada",$I519="Perdida",$I519="Medio Ganada",$I519="Medio Perdida"),IF($G519=0,"",J519/$G519),"")</f>
        <v/>
      </c>
      <c r="M519" s="120" t="str">
        <f>IF(OR($A519="",$B519=""),"",COUNTIFS($A$5:A519,A519,$B$5:B519,B519))</f>
        <v/>
      </c>
      <c r="N519" s="120" t="str">
        <f>IF($A519="","",COUNTA($A$5:$A519))</f>
        <v/>
      </c>
      <c r="O519" s="120" t="str">
        <f>IF($A519="","",COUNTA($A$5:$A519))</f>
        <v/>
      </c>
      <c r="P519" s="118" t="str">
        <f>IF($K519="","",MAX($K$5:K519))</f>
        <v/>
      </c>
      <c r="Q519" s="117" t="str">
        <f>IF($K519="","",K519-P519)</f>
        <v/>
      </c>
      <c r="R519" s="2"/>
      <c r="S519" s="2" t="str">
        <f>IF(OR($A519="",$F519=""),"",IF($I519="Pendiente","",ROUND($G519*($F519*0.609-1),2)))</f>
        <v/>
      </c>
      <c r="T519" s="2" t="str">
        <f>IF($A519="","",IFERROR(SUM($S$5:S519),0))</f>
        <v/>
      </c>
    </row>
    <row r="520" spans="1:20" ht="15" customHeight="1">
      <c r="A520" s="110"/>
      <c r="B520" s="113"/>
      <c r="C520" s="177"/>
      <c r="D520" s="113"/>
      <c r="F520" s="115"/>
      <c r="G520" s="116"/>
      <c r="H520" s="120"/>
      <c r="I520" s="120"/>
      <c r="J520" s="117" t="str">
        <f>IF($A520="","",IF($I520="Ganada",ROUND($G520*($F520-1),2),IF($I520="Medio Ganada",ROUND($G520/2*($F520-1),2),IF($I520="Perdida",IF($H520="Free Bet",0,-$G520),IF($I520="Medio Perdida",IF($H520="Free Bet",0,-$G520/2),IF($I520="Reembolso",IF($R520="","",ROUND($R520-$G520,2)),IF($I520="Anulada",0,"")))))))</f>
        <v/>
      </c>
      <c r="K520" s="118" t="str">
        <f>IF(J520="","",2000+SUM(J$5:J520))</f>
        <v/>
      </c>
      <c r="L520" s="119" t="str">
        <f>IF(OR($I520="Ganada",$I520="Perdida",$I520="Medio Ganada",$I520="Medio Perdida"),IF($G520=0,"",J520/$G520),"")</f>
        <v/>
      </c>
      <c r="M520" s="120" t="str">
        <f>IF(OR($A520="",$B520=""),"",COUNTIFS($A$5:A520,A520,$B$5:B520,B520))</f>
        <v/>
      </c>
      <c r="N520" s="120" t="str">
        <f>IF($A520="","",COUNTA($A$5:$A520))</f>
        <v/>
      </c>
      <c r="O520" s="120" t="str">
        <f>IF($A520="","",COUNTA($A$5:$A520))</f>
        <v/>
      </c>
      <c r="P520" s="118" t="str">
        <f>IF($K520="","",MAX($K$5:K520))</f>
        <v/>
      </c>
      <c r="Q520" s="117" t="str">
        <f>IF($K520="","",K520-P520)</f>
        <v/>
      </c>
      <c r="R520" s="2"/>
      <c r="S520" s="2" t="str">
        <f>IF(OR($A520="",$F520=""),"",IF($I520="Pendiente","",ROUND($G520*($F520*0.609-1),2)))</f>
        <v/>
      </c>
      <c r="T520" s="2" t="str">
        <f>IF($A520="","",IFERROR(SUM($S$5:S520),0))</f>
        <v/>
      </c>
    </row>
    <row r="521" spans="1:20" ht="15" customHeight="1">
      <c r="A521" s="110"/>
      <c r="B521" s="113"/>
      <c r="C521" s="177"/>
      <c r="D521" s="113"/>
      <c r="F521" s="115"/>
      <c r="G521" s="116"/>
      <c r="H521" s="120"/>
      <c r="I521" s="120"/>
      <c r="J521" s="117" t="str">
        <f>IF($A521="","",IF($I521="Ganada",ROUND($G521*($F521-1),2),IF($I521="Medio Ganada",ROUND($G521/2*($F521-1),2),IF($I521="Perdida",IF($H521="Free Bet",0,-$G521),IF($I521="Medio Perdida",IF($H521="Free Bet",0,-$G521/2),IF($I521="Reembolso",IF($R521="","",ROUND($R521-$G521,2)),IF($I521="Anulada",0,"")))))))</f>
        <v/>
      </c>
      <c r="K521" s="118" t="str">
        <f>IF(J521="","",2000+SUM(J$5:J521))</f>
        <v/>
      </c>
      <c r="L521" s="119" t="str">
        <f>IF(OR($I521="Ganada",$I521="Perdida",$I521="Medio Ganada",$I521="Medio Perdida"),IF($G521=0,"",J521/$G521),"")</f>
        <v/>
      </c>
      <c r="M521" s="120" t="str">
        <f>IF(OR($A521="",$B521=""),"",COUNTIFS($A$5:A521,A521,$B$5:B521,B521))</f>
        <v/>
      </c>
      <c r="N521" s="120" t="str">
        <f>IF($A521="","",COUNTA($A$5:$A521))</f>
        <v/>
      </c>
      <c r="O521" s="120" t="str">
        <f>IF($A521="","",COUNTA($A$5:$A521))</f>
        <v/>
      </c>
      <c r="P521" s="118" t="str">
        <f>IF($K521="","",MAX($K$5:K521))</f>
        <v/>
      </c>
      <c r="Q521" s="117" t="str">
        <f>IF($K521="","",K521-P521)</f>
        <v/>
      </c>
      <c r="R521" s="2"/>
      <c r="S521" s="2" t="str">
        <f>IF(OR($A521="",$F521=""),"",IF($I521="Pendiente","",ROUND($G521*($F521*0.609-1),2)))</f>
        <v/>
      </c>
      <c r="T521" s="2" t="str">
        <f>IF($A521="","",IFERROR(SUM($S$5:S521),0))</f>
        <v/>
      </c>
    </row>
    <row r="522" spans="1:20" ht="15" customHeight="1">
      <c r="A522" s="110"/>
      <c r="B522" s="113"/>
      <c r="C522" s="177"/>
      <c r="D522" s="113"/>
      <c r="F522" s="115"/>
      <c r="G522" s="116"/>
      <c r="H522" s="120"/>
      <c r="I522" s="120"/>
      <c r="J522" s="117" t="str">
        <f>IF($A522="","",IF($I522="Ganada",ROUND($G522*($F522-1),2),IF($I522="Medio Ganada",ROUND($G522/2*($F522-1),2),IF($I522="Perdida",IF($H522="Free Bet",0,-$G522),IF($I522="Medio Perdida",IF($H522="Free Bet",0,-$G522/2),IF($I522="Reembolso",IF($R522="","",ROUND($R522-$G522,2)),IF($I522="Anulada",0,"")))))))</f>
        <v/>
      </c>
      <c r="K522" s="118" t="str">
        <f>IF(J522="","",2000+SUM(J$5:J522))</f>
        <v/>
      </c>
      <c r="L522" s="119" t="str">
        <f>IF(OR($I522="Ganada",$I522="Perdida",$I522="Medio Ganada",$I522="Medio Perdida"),IF($G522=0,"",J522/$G522),"")</f>
        <v/>
      </c>
      <c r="M522" s="120" t="str">
        <f>IF(OR($A522="",$B522=""),"",COUNTIFS($A$5:A522,A522,$B$5:B522,B522))</f>
        <v/>
      </c>
      <c r="N522" s="120" t="str">
        <f>IF($A522="","",COUNTA($A$5:$A522))</f>
        <v/>
      </c>
      <c r="O522" s="120" t="str">
        <f>IF($A522="","",COUNTA($A$5:$A522))</f>
        <v/>
      </c>
      <c r="P522" s="118" t="str">
        <f>IF($K522="","",MAX($K$5:K522))</f>
        <v/>
      </c>
      <c r="Q522" s="117" t="str">
        <f>IF($K522="","",K522-P522)</f>
        <v/>
      </c>
      <c r="R522" s="2"/>
      <c r="S522" s="2" t="str">
        <f>IF(OR($A522="",$F522=""),"",IF($I522="Pendiente","",ROUND($G522*($F522*0.609-1),2)))</f>
        <v/>
      </c>
      <c r="T522" s="2" t="str">
        <f>IF($A522="","",IFERROR(SUM($S$5:S522),0))</f>
        <v/>
      </c>
    </row>
    <row r="523" spans="1:20" ht="15" customHeight="1">
      <c r="A523" s="110"/>
      <c r="B523" s="113"/>
      <c r="C523" s="177"/>
      <c r="D523" s="113"/>
      <c r="F523" s="115"/>
      <c r="G523" s="116"/>
      <c r="H523" s="120"/>
      <c r="I523" s="120"/>
      <c r="J523" s="117" t="str">
        <f>IF($A523="","",IF($I523="Ganada",ROUND($G523*($F523-1),2),IF($I523="Medio Ganada",ROUND($G523/2*($F523-1),2),IF($I523="Perdida",IF($H523="Free Bet",0,-$G523),IF($I523="Medio Perdida",IF($H523="Free Bet",0,-$G523/2),IF($I523="Reembolso",IF($R523="","",ROUND($R523-$G523,2)),IF($I523="Anulada",0,"")))))))</f>
        <v/>
      </c>
      <c r="K523" s="118" t="str">
        <f>IF(J523="","",2000+SUM(J$5:J523))</f>
        <v/>
      </c>
      <c r="L523" s="119" t="str">
        <f>IF(OR($I523="Ganada",$I523="Perdida",$I523="Medio Ganada",$I523="Medio Perdida"),IF($G523=0,"",J523/$G523),"")</f>
        <v/>
      </c>
      <c r="M523" s="120" t="str">
        <f>IF(OR($A523="",$B523=""),"",COUNTIFS($A$5:A523,A523,$B$5:B523,B523))</f>
        <v/>
      </c>
      <c r="N523" s="120" t="str">
        <f>IF($A523="","",COUNTA($A$5:$A523))</f>
        <v/>
      </c>
      <c r="O523" s="120" t="str">
        <f>IF($A523="","",COUNTA($A$5:$A523))</f>
        <v/>
      </c>
      <c r="P523" s="118" t="str">
        <f>IF($K523="","",MAX($K$5:K523))</f>
        <v/>
      </c>
      <c r="Q523" s="117" t="str">
        <f>IF($K523="","",K523-P523)</f>
        <v/>
      </c>
      <c r="R523" s="2"/>
      <c r="S523" s="2" t="str">
        <f>IF(OR($A523="",$F523=""),"",IF($I523="Pendiente","",ROUND($G523*($F523*0.609-1),2)))</f>
        <v/>
      </c>
      <c r="T523" s="2" t="str">
        <f>IF($A523="","",IFERROR(SUM($S$5:S523),0))</f>
        <v/>
      </c>
    </row>
    <row r="524" spans="1:20" ht="15" customHeight="1">
      <c r="A524" s="110"/>
      <c r="B524" s="113"/>
      <c r="C524" s="177"/>
      <c r="D524" s="113"/>
      <c r="F524" s="115"/>
      <c r="G524" s="116"/>
      <c r="H524" s="120"/>
      <c r="I524" s="120"/>
      <c r="J524" s="117" t="str">
        <f>IF($A524="","",IF($I524="Ganada",ROUND($G524*($F524-1),2),IF($I524="Medio Ganada",ROUND($G524/2*($F524-1),2),IF($I524="Perdida",IF($H524="Free Bet",0,-$G524),IF($I524="Medio Perdida",IF($H524="Free Bet",0,-$G524/2),IF($I524="Reembolso",IF($R524="","",ROUND($R524-$G524,2)),IF($I524="Anulada",0,"")))))))</f>
        <v/>
      </c>
      <c r="K524" s="118" t="str">
        <f>IF(J524="","",2000+SUM(J$5:J524))</f>
        <v/>
      </c>
      <c r="L524" s="119" t="str">
        <f>IF(OR($I524="Ganada",$I524="Perdida",$I524="Medio Ganada",$I524="Medio Perdida"),IF($G524=0,"",J524/$G524),"")</f>
        <v/>
      </c>
      <c r="M524" s="120" t="str">
        <f>IF(OR($A524="",$B524=""),"",COUNTIFS($A$5:A524,A524,$B$5:B524,B524))</f>
        <v/>
      </c>
      <c r="N524" s="120" t="str">
        <f>IF($A524="","",COUNTA($A$5:$A524))</f>
        <v/>
      </c>
      <c r="O524" s="120" t="str">
        <f>IF($A524="","",COUNTA($A$5:$A524))</f>
        <v/>
      </c>
      <c r="P524" s="118" t="str">
        <f>IF($K524="","",MAX($K$5:K524))</f>
        <v/>
      </c>
      <c r="Q524" s="117" t="str">
        <f>IF($K524="","",K524-P524)</f>
        <v/>
      </c>
      <c r="R524" s="2"/>
      <c r="S524" s="2" t="str">
        <f>IF(OR($A524="",$F524=""),"",IF($I524="Pendiente","",ROUND($G524*($F524*0.609-1),2)))</f>
        <v/>
      </c>
      <c r="T524" s="2" t="str">
        <f>IF($A524="","",IFERROR(SUM($S$5:S524),0))</f>
        <v/>
      </c>
    </row>
    <row r="525" spans="1:20" ht="15" customHeight="1">
      <c r="A525" s="110"/>
      <c r="B525" s="113"/>
      <c r="C525" s="177"/>
      <c r="D525" s="113"/>
      <c r="F525" s="115"/>
      <c r="G525" s="116"/>
      <c r="H525" s="120"/>
      <c r="I525" s="120"/>
      <c r="J525" s="117" t="str">
        <f>IF($A525="","",IF($I525="Ganada",ROUND($G525*($F525-1),2),IF($I525="Medio Ganada",ROUND($G525/2*($F525-1),2),IF($I525="Perdida",IF($H525="Free Bet",0,-$G525),IF($I525="Medio Perdida",IF($H525="Free Bet",0,-$G525/2),IF($I525="Reembolso",IF($R525="","",ROUND($R525-$G525,2)),IF($I525="Anulada",0,"")))))))</f>
        <v/>
      </c>
      <c r="K525" s="118" t="str">
        <f>IF(J525="","",2000+SUM(J$5:J525))</f>
        <v/>
      </c>
      <c r="L525" s="119" t="str">
        <f>IF(OR($I525="Ganada",$I525="Perdida",$I525="Medio Ganada",$I525="Medio Perdida"),IF($G525=0,"",J525/$G525),"")</f>
        <v/>
      </c>
      <c r="M525" s="120" t="str">
        <f>IF(OR($A525="",$B525=""),"",COUNTIFS($A$5:A525,A525,$B$5:B525,B525))</f>
        <v/>
      </c>
      <c r="N525" s="120" t="str">
        <f>IF($A525="","",COUNTA($A$5:$A525))</f>
        <v/>
      </c>
      <c r="O525" s="120" t="str">
        <f>IF($A525="","",COUNTA($A$5:$A525))</f>
        <v/>
      </c>
      <c r="P525" s="118" t="str">
        <f>IF($K525="","",MAX($K$5:K525))</f>
        <v/>
      </c>
      <c r="Q525" s="117" t="str">
        <f>IF($K525="","",K525-P525)</f>
        <v/>
      </c>
      <c r="R525" s="2"/>
      <c r="S525" s="2" t="str">
        <f>IF(OR($A525="",$F525=""),"",IF($I525="Pendiente","",ROUND($G525*($F525*0.609-1),2)))</f>
        <v/>
      </c>
      <c r="T525" s="2" t="str">
        <f>IF($A525="","",IFERROR(SUM($S$5:S525),0))</f>
        <v/>
      </c>
    </row>
    <row r="526" spans="1:20" ht="15" customHeight="1">
      <c r="A526" s="110"/>
      <c r="B526" s="113"/>
      <c r="C526" s="177"/>
      <c r="D526" s="113"/>
      <c r="F526" s="115"/>
      <c r="G526" s="116"/>
      <c r="H526" s="120"/>
      <c r="I526" s="120"/>
      <c r="J526" s="117" t="str">
        <f>IF($A526="","",IF($I526="Ganada",ROUND($G526*($F526-1),2),IF($I526="Medio Ganada",ROUND($G526/2*($F526-1),2),IF($I526="Perdida",IF($H526="Free Bet",0,-$G526),IF($I526="Medio Perdida",IF($H526="Free Bet",0,-$G526/2),IF($I526="Reembolso",IF($R526="","",ROUND($R526-$G526,2)),IF($I526="Anulada",0,"")))))))</f>
        <v/>
      </c>
      <c r="K526" s="118" t="str">
        <f>IF(J526="","",2000+SUM(J$5:J526))</f>
        <v/>
      </c>
      <c r="L526" s="119" t="str">
        <f>IF(OR($I526="Ganada",$I526="Perdida",$I526="Medio Ganada",$I526="Medio Perdida"),IF($G526=0,"",J526/$G526),"")</f>
        <v/>
      </c>
      <c r="M526" s="120" t="str">
        <f>IF(OR($A526="",$B526=""),"",COUNTIFS($A$5:A526,A526,$B$5:B526,B526))</f>
        <v/>
      </c>
      <c r="N526" s="120" t="str">
        <f>IF($A526="","",COUNTA($A$5:$A526))</f>
        <v/>
      </c>
      <c r="O526" s="120" t="str">
        <f>IF($A526="","",COUNTA($A$5:$A526))</f>
        <v/>
      </c>
      <c r="P526" s="118" t="str">
        <f>IF($K526="","",MAX($K$5:K526))</f>
        <v/>
      </c>
      <c r="Q526" s="117" t="str">
        <f>IF($K526="","",K526-P526)</f>
        <v/>
      </c>
      <c r="R526" s="2"/>
      <c r="S526" s="2" t="str">
        <f>IF(OR($A526="",$F526=""),"",IF($I526="Pendiente","",ROUND($G526*($F526*0.609-1),2)))</f>
        <v/>
      </c>
      <c r="T526" s="2" t="str">
        <f>IF($A526="","",IFERROR(SUM($S$5:S526),0))</f>
        <v/>
      </c>
    </row>
    <row r="527" spans="1:20" ht="15" customHeight="1">
      <c r="A527" s="110"/>
      <c r="B527" s="113"/>
      <c r="C527" s="177"/>
      <c r="D527" s="113"/>
      <c r="F527" s="115"/>
      <c r="G527" s="116"/>
      <c r="H527" s="120"/>
      <c r="I527" s="120"/>
      <c r="J527" s="117" t="str">
        <f>IF($A527="","",IF($I527="Ganada",ROUND($G527*($F527-1),2),IF($I527="Medio Ganada",ROUND($G527/2*($F527-1),2),IF($I527="Perdida",IF($H527="Free Bet",0,-$G527),IF($I527="Medio Perdida",IF($H527="Free Bet",0,-$G527/2),IF($I527="Reembolso",IF($R527="","",ROUND($R527-$G527,2)),IF($I527="Anulada",0,"")))))))</f>
        <v/>
      </c>
      <c r="K527" s="118" t="str">
        <f>IF(J527="","",2000+SUM(J$5:J527))</f>
        <v/>
      </c>
      <c r="L527" s="119" t="str">
        <f>IF(OR($I527="Ganada",$I527="Perdida",$I527="Medio Ganada",$I527="Medio Perdida"),IF($G527=0,"",J527/$G527),"")</f>
        <v/>
      </c>
      <c r="M527" s="120" t="str">
        <f>IF(OR($A527="",$B527=""),"",COUNTIFS($A$5:A527,A527,$B$5:B527,B527))</f>
        <v/>
      </c>
      <c r="N527" s="120" t="str">
        <f>IF($A527="","",COUNTA($A$5:$A527))</f>
        <v/>
      </c>
      <c r="O527" s="120" t="str">
        <f>IF($A527="","",COUNTA($A$5:$A527))</f>
        <v/>
      </c>
      <c r="P527" s="118" t="str">
        <f>IF($K527="","",MAX($K$5:K527))</f>
        <v/>
      </c>
      <c r="Q527" s="117" t="str">
        <f>IF($K527="","",K527-P527)</f>
        <v/>
      </c>
      <c r="R527" s="2"/>
      <c r="S527" s="2" t="str">
        <f>IF(OR($A527="",$F527=""),"",IF($I527="Pendiente","",ROUND($G527*($F527*0.609-1),2)))</f>
        <v/>
      </c>
      <c r="T527" s="2" t="str">
        <f>IF($A527="","",IFERROR(SUM($S$5:S527),0))</f>
        <v/>
      </c>
    </row>
    <row r="528" spans="1:20" ht="15" customHeight="1">
      <c r="A528" s="110"/>
      <c r="B528" s="113"/>
      <c r="C528" s="177"/>
      <c r="D528" s="113"/>
      <c r="F528" s="115"/>
      <c r="G528" s="116"/>
      <c r="H528" s="120"/>
      <c r="I528" s="120"/>
      <c r="J528" s="117" t="str">
        <f>IF($A528="","",IF($I528="Ganada",ROUND($G528*($F528-1),2),IF($I528="Medio Ganada",ROUND($G528/2*($F528-1),2),IF($I528="Perdida",IF($H528="Free Bet",0,-$G528),IF($I528="Medio Perdida",IF($H528="Free Bet",0,-$G528/2),IF($I528="Reembolso",IF($R528="","",ROUND($R528-$G528,2)),IF($I528="Anulada",0,"")))))))</f>
        <v/>
      </c>
      <c r="K528" s="118" t="str">
        <f>IF(J528="","",2000+SUM(J$5:J528))</f>
        <v/>
      </c>
      <c r="L528" s="119" t="str">
        <f>IF(OR($I528="Ganada",$I528="Perdida",$I528="Medio Ganada",$I528="Medio Perdida"),IF($G528=0,"",J528/$G528),"")</f>
        <v/>
      </c>
      <c r="M528" s="120" t="str">
        <f>IF(OR($A528="",$B528=""),"",COUNTIFS($A$5:A528,A528,$B$5:B528,B528))</f>
        <v/>
      </c>
      <c r="N528" s="120" t="str">
        <f>IF($A528="","",COUNTA($A$5:$A528))</f>
        <v/>
      </c>
      <c r="O528" s="120" t="str">
        <f>IF($A528="","",COUNTA($A$5:$A528))</f>
        <v/>
      </c>
      <c r="P528" s="118" t="str">
        <f>IF($K528="","",MAX($K$5:K528))</f>
        <v/>
      </c>
      <c r="Q528" s="117" t="str">
        <f>IF($K528="","",K528-P528)</f>
        <v/>
      </c>
      <c r="R528" s="2"/>
      <c r="S528" s="2" t="str">
        <f>IF(OR($A528="",$F528=""),"",IF($I528="Pendiente","",ROUND($G528*($F528*0.609-1),2)))</f>
        <v/>
      </c>
      <c r="T528" s="2" t="str">
        <f>IF($A528="","",IFERROR(SUM($S$5:S528),0))</f>
        <v/>
      </c>
    </row>
    <row r="529" spans="1:20" ht="15" customHeight="1">
      <c r="A529" s="110"/>
      <c r="B529" s="113"/>
      <c r="C529" s="177"/>
      <c r="D529" s="113"/>
      <c r="F529" s="115"/>
      <c r="G529" s="116"/>
      <c r="H529" s="120"/>
      <c r="I529" s="120"/>
      <c r="J529" s="117" t="str">
        <f>IF($A529="","",IF($I529="Ganada",ROUND($G529*($F529-1),2),IF($I529="Medio Ganada",ROUND($G529/2*($F529-1),2),IF($I529="Perdida",IF($H529="Free Bet",0,-$G529),IF($I529="Medio Perdida",IF($H529="Free Bet",0,-$G529/2),IF($I529="Reembolso",IF($R529="","",ROUND($R529-$G529,2)),IF($I529="Anulada",0,"")))))))</f>
        <v/>
      </c>
      <c r="K529" s="118" t="str">
        <f>IF(J529="","",2000+SUM(J$5:J529))</f>
        <v/>
      </c>
      <c r="L529" s="119" t="str">
        <f>IF(OR($I529="Ganada",$I529="Perdida",$I529="Medio Ganada",$I529="Medio Perdida"),IF($G529=0,"",J529/$G529),"")</f>
        <v/>
      </c>
      <c r="M529" s="120" t="str">
        <f>IF(OR($A529="",$B529=""),"",COUNTIFS($A$5:A529,A529,$B$5:B529,B529))</f>
        <v/>
      </c>
      <c r="N529" s="120" t="str">
        <f>IF($A529="","",COUNTA($A$5:$A529))</f>
        <v/>
      </c>
      <c r="O529" s="120" t="str">
        <f>IF($A529="","",COUNTA($A$5:$A529))</f>
        <v/>
      </c>
      <c r="P529" s="118" t="str">
        <f>IF($K529="","",MAX($K$5:K529))</f>
        <v/>
      </c>
      <c r="Q529" s="117" t="str">
        <f>IF($K529="","",K529-P529)</f>
        <v/>
      </c>
      <c r="R529" s="2"/>
      <c r="S529" s="2" t="str">
        <f>IF(OR($A529="",$F529=""),"",IF($I529="Pendiente","",ROUND($G529*($F529*0.609-1),2)))</f>
        <v/>
      </c>
      <c r="T529" s="2" t="str">
        <f>IF($A529="","",IFERROR(SUM($S$5:S529),0))</f>
        <v/>
      </c>
    </row>
    <row r="530" spans="1:20" ht="15" customHeight="1">
      <c r="A530" s="110"/>
      <c r="B530" s="113"/>
      <c r="C530" s="177"/>
      <c r="D530" s="113"/>
      <c r="F530" s="115"/>
      <c r="G530" s="116"/>
      <c r="H530" s="120"/>
      <c r="I530" s="120"/>
      <c r="J530" s="117" t="str">
        <f>IF($A530="","",IF($I530="Ganada",ROUND($G530*($F530-1),2),IF($I530="Medio Ganada",ROUND($G530/2*($F530-1),2),IF($I530="Perdida",IF($H530="Free Bet",0,-$G530),IF($I530="Medio Perdida",IF($H530="Free Bet",0,-$G530/2),IF($I530="Reembolso",IF($R530="","",ROUND($R530-$G530,2)),IF($I530="Anulada",0,"")))))))</f>
        <v/>
      </c>
      <c r="K530" s="118" t="str">
        <f>IF(J530="","",2000+SUM(J$5:J530))</f>
        <v/>
      </c>
      <c r="L530" s="119" t="str">
        <f>IF(OR($I530="Ganada",$I530="Perdida",$I530="Medio Ganada",$I530="Medio Perdida"),IF($G530=0,"",J530/$G530),"")</f>
        <v/>
      </c>
      <c r="M530" s="120" t="str">
        <f>IF(OR($A530="",$B530=""),"",COUNTIFS($A$5:A530,A530,$B$5:B530,B530))</f>
        <v/>
      </c>
      <c r="N530" s="120" t="str">
        <f>IF($A530="","",COUNTA($A$5:$A530))</f>
        <v/>
      </c>
      <c r="O530" s="120" t="str">
        <f>IF($A530="","",COUNTA($A$5:$A530))</f>
        <v/>
      </c>
      <c r="P530" s="118" t="str">
        <f>IF($K530="","",MAX($K$5:K530))</f>
        <v/>
      </c>
      <c r="Q530" s="117" t="str">
        <f>IF($K530="","",K530-P530)</f>
        <v/>
      </c>
      <c r="R530" s="2"/>
      <c r="S530" s="2" t="str">
        <f>IF(OR($A530="",$F530=""),"",IF($I530="Pendiente","",ROUND($G530*($F530*0.609-1),2)))</f>
        <v/>
      </c>
      <c r="T530" s="2" t="str">
        <f>IF($A530="","",IFERROR(SUM($S$5:S530),0))</f>
        <v/>
      </c>
    </row>
    <row r="531" spans="1:20" ht="15" customHeight="1">
      <c r="A531" s="110"/>
      <c r="B531" s="113"/>
      <c r="C531" s="177"/>
      <c r="D531" s="113"/>
      <c r="F531" s="115"/>
      <c r="G531" s="116"/>
      <c r="H531" s="120"/>
      <c r="I531" s="120"/>
      <c r="J531" s="117" t="str">
        <f>IF($A531="","",IF($I531="Ganada",ROUND($G531*($F531-1),2),IF($I531="Medio Ganada",ROUND($G531/2*($F531-1),2),IF($I531="Perdida",IF($H531="Free Bet",0,-$G531),IF($I531="Medio Perdida",IF($H531="Free Bet",0,-$G531/2),IF($I531="Reembolso",IF($R531="","",ROUND($R531-$G531,2)),IF($I531="Anulada",0,"")))))))</f>
        <v/>
      </c>
      <c r="K531" s="118" t="str">
        <f>IF(J531="","",2000+SUM(J$5:J531))</f>
        <v/>
      </c>
      <c r="L531" s="119" t="str">
        <f>IF(OR($I531="Ganada",$I531="Perdida",$I531="Medio Ganada",$I531="Medio Perdida"),IF($G531=0,"",J531/$G531),"")</f>
        <v/>
      </c>
      <c r="M531" s="120" t="str">
        <f>IF(OR($A531="",$B531=""),"",COUNTIFS($A$5:A531,A531,$B$5:B531,B531))</f>
        <v/>
      </c>
      <c r="N531" s="120" t="str">
        <f>IF($A531="","",COUNTA($A$5:$A531))</f>
        <v/>
      </c>
      <c r="O531" s="120" t="str">
        <f>IF($A531="","",COUNTA($A$5:$A531))</f>
        <v/>
      </c>
      <c r="P531" s="118" t="str">
        <f>IF($K531="","",MAX($K$5:K531))</f>
        <v/>
      </c>
      <c r="Q531" s="117" t="str">
        <f>IF($K531="","",K531-P531)</f>
        <v/>
      </c>
      <c r="R531" s="2"/>
      <c r="S531" s="2" t="str">
        <f>IF(OR($A531="",$F531=""),"",IF($I531="Pendiente","",ROUND($G531*($F531*0.609-1),2)))</f>
        <v/>
      </c>
      <c r="T531" s="2" t="str">
        <f>IF($A531="","",IFERROR(SUM($S$5:S531),0))</f>
        <v/>
      </c>
    </row>
    <row r="532" spans="1:20" ht="15" customHeight="1">
      <c r="A532" s="110"/>
      <c r="B532" s="113"/>
      <c r="C532" s="177"/>
      <c r="D532" s="113"/>
      <c r="F532" s="115"/>
      <c r="G532" s="116"/>
      <c r="H532" s="120"/>
      <c r="I532" s="120"/>
      <c r="J532" s="117" t="str">
        <f>IF($A532="","",IF($I532="Ganada",ROUND($G532*($F532-1),2),IF($I532="Medio Ganada",ROUND($G532/2*($F532-1),2),IF($I532="Perdida",IF($H532="Free Bet",0,-$G532),IF($I532="Medio Perdida",IF($H532="Free Bet",0,-$G532/2),IF($I532="Reembolso",IF($R532="","",ROUND($R532-$G532,2)),IF($I532="Anulada",0,"")))))))</f>
        <v/>
      </c>
      <c r="K532" s="118" t="str">
        <f>IF(J532="","",2000+SUM(J$5:J532))</f>
        <v/>
      </c>
      <c r="L532" s="119" t="str">
        <f>IF(OR($I532="Ganada",$I532="Perdida",$I532="Medio Ganada",$I532="Medio Perdida"),IF($G532=0,"",J532/$G532),"")</f>
        <v/>
      </c>
      <c r="M532" s="120" t="str">
        <f>IF(OR($A532="",$B532=""),"",COUNTIFS($A$5:A532,A532,$B$5:B532,B532))</f>
        <v/>
      </c>
      <c r="N532" s="120" t="str">
        <f>IF($A532="","",COUNTA($A$5:$A532))</f>
        <v/>
      </c>
      <c r="O532" s="120" t="str">
        <f>IF($A532="","",COUNTA($A$5:$A532))</f>
        <v/>
      </c>
      <c r="P532" s="118" t="str">
        <f>IF($K532="","",MAX($K$5:K532))</f>
        <v/>
      </c>
      <c r="Q532" s="117" t="str">
        <f>IF($K532="","",K532-P532)</f>
        <v/>
      </c>
      <c r="R532" s="2"/>
      <c r="S532" s="2" t="str">
        <f>IF(OR($A532="",$F532=""),"",IF($I532="Pendiente","",ROUND($G532*($F532*0.609-1),2)))</f>
        <v/>
      </c>
      <c r="T532" s="2" t="str">
        <f>IF($A532="","",IFERROR(SUM($S$5:S532),0))</f>
        <v/>
      </c>
    </row>
    <row r="533" spans="1:20" ht="15" customHeight="1">
      <c r="A533" s="110"/>
      <c r="B533" s="113"/>
      <c r="C533" s="177"/>
      <c r="D533" s="113"/>
      <c r="F533" s="115"/>
      <c r="G533" s="116"/>
      <c r="H533" s="120"/>
      <c r="I533" s="120"/>
      <c r="J533" s="117" t="str">
        <f>IF($A533="","",IF($I533="Ganada",ROUND($G533*($F533-1),2),IF($I533="Medio Ganada",ROUND($G533/2*($F533-1),2),IF($I533="Perdida",IF($H533="Free Bet",0,-$G533),IF($I533="Medio Perdida",IF($H533="Free Bet",0,-$G533/2),IF($I533="Reembolso",IF($R533="","",ROUND($R533-$G533,2)),IF($I533="Anulada",0,"")))))))</f>
        <v/>
      </c>
      <c r="K533" s="118" t="str">
        <f>IF(J533="","",2000+SUM(J$5:J533))</f>
        <v/>
      </c>
      <c r="L533" s="119" t="str">
        <f>IF(OR($I533="Ganada",$I533="Perdida",$I533="Medio Ganada",$I533="Medio Perdida"),IF($G533=0,"",J533/$G533),"")</f>
        <v/>
      </c>
      <c r="M533" s="120" t="str">
        <f>IF(OR($A533="",$B533=""),"",COUNTIFS($A$5:A533,A533,$B$5:B533,B533))</f>
        <v/>
      </c>
      <c r="N533" s="120" t="str">
        <f>IF($A533="","",COUNTA($A$5:$A533))</f>
        <v/>
      </c>
      <c r="O533" s="120" t="str">
        <f>IF($A533="","",COUNTA($A$5:$A533))</f>
        <v/>
      </c>
      <c r="P533" s="118" t="str">
        <f>IF($K533="","",MAX($K$5:K533))</f>
        <v/>
      </c>
      <c r="Q533" s="117" t="str">
        <f>IF($K533="","",K533-P533)</f>
        <v/>
      </c>
      <c r="R533" s="2"/>
      <c r="S533" s="2" t="str">
        <f>IF(OR($A533="",$F533=""),"",IF($I533="Pendiente","",ROUND($G533*($F533*0.609-1),2)))</f>
        <v/>
      </c>
      <c r="T533" s="2" t="str">
        <f>IF($A533="","",IFERROR(SUM($S$5:S533),0))</f>
        <v/>
      </c>
    </row>
    <row r="534" spans="1:20" ht="15" customHeight="1">
      <c r="A534" s="110"/>
      <c r="B534" s="113"/>
      <c r="C534" s="177"/>
      <c r="D534" s="113"/>
      <c r="F534" s="115"/>
      <c r="G534" s="116"/>
      <c r="H534" s="120"/>
      <c r="I534" s="120"/>
      <c r="J534" s="117" t="str">
        <f>IF($A534="","",IF($I534="Ganada",ROUND($G534*($F534-1),2),IF($I534="Medio Ganada",ROUND($G534/2*($F534-1),2),IF($I534="Perdida",IF($H534="Free Bet",0,-$G534),IF($I534="Medio Perdida",IF($H534="Free Bet",0,-$G534/2),IF($I534="Reembolso",IF($R534="","",ROUND($R534-$G534,2)),IF($I534="Anulada",0,"")))))))</f>
        <v/>
      </c>
      <c r="K534" s="118" t="str">
        <f>IF(J534="","",2000+SUM(J$5:J534))</f>
        <v/>
      </c>
      <c r="L534" s="119" t="str">
        <f>IF(OR($I534="Ganada",$I534="Perdida",$I534="Medio Ganada",$I534="Medio Perdida"),IF($G534=0,"",J534/$G534),"")</f>
        <v/>
      </c>
      <c r="M534" s="120" t="str">
        <f>IF(OR($A534="",$B534=""),"",COUNTIFS($A$5:A534,A534,$B$5:B534,B534))</f>
        <v/>
      </c>
      <c r="N534" s="120" t="str">
        <f>IF($A534="","",COUNTA($A$5:$A534))</f>
        <v/>
      </c>
      <c r="O534" s="120" t="str">
        <f>IF($A534="","",COUNTA($A$5:$A534))</f>
        <v/>
      </c>
      <c r="P534" s="118" t="str">
        <f>IF($K534="","",MAX($K$5:K534))</f>
        <v/>
      </c>
      <c r="Q534" s="117" t="str">
        <f>IF($K534="","",K534-P534)</f>
        <v/>
      </c>
      <c r="R534" s="2"/>
      <c r="S534" s="2" t="str">
        <f>IF(OR($A534="",$F534=""),"",IF($I534="Pendiente","",ROUND($G534*($F534*0.609-1),2)))</f>
        <v/>
      </c>
      <c r="T534" s="2" t="str">
        <f>IF($A534="","",IFERROR(SUM($S$5:S534),0))</f>
        <v/>
      </c>
    </row>
    <row r="535" spans="1:20" ht="15" customHeight="1">
      <c r="A535" s="110"/>
      <c r="B535" s="113"/>
      <c r="C535" s="177"/>
      <c r="D535" s="113"/>
      <c r="F535" s="115"/>
      <c r="G535" s="116"/>
      <c r="H535" s="120"/>
      <c r="I535" s="120"/>
      <c r="J535" s="117" t="str">
        <f>IF($A535="","",IF($I535="Ganada",ROUND($G535*($F535-1),2),IF($I535="Medio Ganada",ROUND($G535/2*($F535-1),2),IF($I535="Perdida",IF($H535="Free Bet",0,-$G535),IF($I535="Medio Perdida",IF($H535="Free Bet",0,-$G535/2),IF($I535="Reembolso",IF($R535="","",ROUND($R535-$G535,2)),IF($I535="Anulada",0,"")))))))</f>
        <v/>
      </c>
      <c r="K535" s="118" t="str">
        <f>IF(J535="","",2000+SUM(J$5:J535))</f>
        <v/>
      </c>
      <c r="L535" s="119" t="str">
        <f>IF(OR($I535="Ganada",$I535="Perdida",$I535="Medio Ganada",$I535="Medio Perdida"),IF($G535=0,"",J535/$G535),"")</f>
        <v/>
      </c>
      <c r="M535" s="120" t="str">
        <f>IF(OR($A535="",$B535=""),"",COUNTIFS($A$5:A535,A535,$B$5:B535,B535))</f>
        <v/>
      </c>
      <c r="N535" s="120" t="str">
        <f>IF($A535="","",COUNTA($A$5:$A535))</f>
        <v/>
      </c>
      <c r="O535" s="120" t="str">
        <f>IF($A535="","",COUNTA($A$5:$A535))</f>
        <v/>
      </c>
      <c r="P535" s="118" t="str">
        <f>IF($K535="","",MAX($K$5:K535))</f>
        <v/>
      </c>
      <c r="Q535" s="117" t="str">
        <f>IF($K535="","",K535-P535)</f>
        <v/>
      </c>
      <c r="R535" s="2"/>
      <c r="S535" s="2" t="str">
        <f>IF(OR($A535="",$F535=""),"",IF($I535="Pendiente","",ROUND($G535*($F535*0.609-1),2)))</f>
        <v/>
      </c>
      <c r="T535" s="2" t="str">
        <f>IF($A535="","",IFERROR(SUM($S$5:S535),0))</f>
        <v/>
      </c>
    </row>
    <row r="536" spans="1:20" ht="15" customHeight="1">
      <c r="A536" s="110"/>
      <c r="B536" s="113"/>
      <c r="C536" s="177"/>
      <c r="D536" s="113"/>
      <c r="F536" s="115"/>
      <c r="G536" s="116"/>
      <c r="H536" s="120"/>
      <c r="I536" s="120"/>
      <c r="J536" s="117" t="str">
        <f>IF($A536="","",IF($I536="Ganada",ROUND($G536*($F536-1),2),IF($I536="Medio Ganada",ROUND($G536/2*($F536-1),2),IF($I536="Perdida",IF($H536="Free Bet",0,-$G536),IF($I536="Medio Perdida",IF($H536="Free Bet",0,-$G536/2),IF($I536="Reembolso",IF($R536="","",ROUND($R536-$G536,2)),IF($I536="Anulada",0,"")))))))</f>
        <v/>
      </c>
      <c r="K536" s="118" t="str">
        <f>IF(J536="","",2000+SUM(J$5:J536))</f>
        <v/>
      </c>
      <c r="L536" s="119" t="str">
        <f>IF(OR($I536="Ganada",$I536="Perdida",$I536="Medio Ganada",$I536="Medio Perdida"),IF($G536=0,"",J536/$G536),"")</f>
        <v/>
      </c>
      <c r="M536" s="120" t="str">
        <f>IF(OR($A536="",$B536=""),"",COUNTIFS($A$5:A536,A536,$B$5:B536,B536))</f>
        <v/>
      </c>
      <c r="N536" s="120" t="str">
        <f>IF($A536="","",COUNTA($A$5:$A536))</f>
        <v/>
      </c>
      <c r="O536" s="120" t="str">
        <f>IF($A536="","",COUNTA($A$5:$A536))</f>
        <v/>
      </c>
      <c r="P536" s="118" t="str">
        <f>IF($K536="","",MAX($K$5:K536))</f>
        <v/>
      </c>
      <c r="Q536" s="117" t="str">
        <f>IF($K536="","",K536-P536)</f>
        <v/>
      </c>
      <c r="R536" s="2"/>
      <c r="S536" s="2" t="str">
        <f>IF(OR($A536="",$F536=""),"",IF($I536="Pendiente","",ROUND($G536*($F536*0.609-1),2)))</f>
        <v/>
      </c>
      <c r="T536" s="2" t="str">
        <f>IF($A536="","",IFERROR(SUM($S$5:S536),0))</f>
        <v/>
      </c>
    </row>
    <row r="537" spans="1:20" ht="15" customHeight="1">
      <c r="A537" s="110"/>
      <c r="B537" s="113"/>
      <c r="C537" s="177"/>
      <c r="D537" s="113"/>
      <c r="F537" s="115"/>
      <c r="G537" s="116"/>
      <c r="H537" s="120"/>
      <c r="I537" s="120"/>
      <c r="J537" s="117" t="str">
        <f>IF($A537="","",IF($I537="Ganada",ROUND($G537*($F537-1),2),IF($I537="Medio Ganada",ROUND($G537/2*($F537-1),2),IF($I537="Perdida",IF($H537="Free Bet",0,-$G537),IF($I537="Medio Perdida",IF($H537="Free Bet",0,-$G537/2),IF($I537="Reembolso",IF($R537="","",ROUND($R537-$G537,2)),IF($I537="Anulada",0,"")))))))</f>
        <v/>
      </c>
      <c r="K537" s="118" t="str">
        <f>IF(J537="","",2000+SUM(J$5:J537))</f>
        <v/>
      </c>
      <c r="L537" s="119" t="str">
        <f>IF(OR($I537="Ganada",$I537="Perdida",$I537="Medio Ganada",$I537="Medio Perdida"),IF($G537=0,"",J537/$G537),"")</f>
        <v/>
      </c>
      <c r="M537" s="120" t="str">
        <f>IF(OR($A537="",$B537=""),"",COUNTIFS($A$5:A537,A537,$B$5:B537,B537))</f>
        <v/>
      </c>
      <c r="N537" s="120" t="str">
        <f>IF($A537="","",COUNTA($A$5:$A537))</f>
        <v/>
      </c>
      <c r="O537" s="120" t="str">
        <f>IF($A537="","",COUNTA($A$5:$A537))</f>
        <v/>
      </c>
      <c r="P537" s="118" t="str">
        <f>IF($K537="","",MAX($K$5:K537))</f>
        <v/>
      </c>
      <c r="Q537" s="117" t="str">
        <f>IF($K537="","",K537-P537)</f>
        <v/>
      </c>
      <c r="R537" s="2"/>
      <c r="S537" s="2" t="str">
        <f>IF(OR($A537="",$F537=""),"",IF($I537="Pendiente","",ROUND($G537*($F537*0.609-1),2)))</f>
        <v/>
      </c>
      <c r="T537" s="2" t="str">
        <f>IF($A537="","",IFERROR(SUM($S$5:S537),0))</f>
        <v/>
      </c>
    </row>
    <row r="538" spans="1:20" ht="15" customHeight="1">
      <c r="A538" s="110"/>
      <c r="B538" s="113"/>
      <c r="C538" s="177"/>
      <c r="D538" s="113"/>
      <c r="F538" s="115"/>
      <c r="G538" s="116"/>
      <c r="H538" s="120"/>
      <c r="I538" s="120"/>
      <c r="J538" s="117" t="str">
        <f>IF($A538="","",IF($I538="Ganada",ROUND($G538*($F538-1),2),IF($I538="Medio Ganada",ROUND($G538/2*($F538-1),2),IF($I538="Perdida",IF($H538="Free Bet",0,-$G538),IF($I538="Medio Perdida",IF($H538="Free Bet",0,-$G538/2),IF($I538="Reembolso",IF($R538="","",ROUND($R538-$G538,2)),IF($I538="Anulada",0,"")))))))</f>
        <v/>
      </c>
      <c r="K538" s="118" t="str">
        <f>IF(J538="","",2000+SUM(J$5:J538))</f>
        <v/>
      </c>
      <c r="L538" s="119" t="str">
        <f>IF(OR($I538="Ganada",$I538="Perdida",$I538="Medio Ganada",$I538="Medio Perdida"),IF($G538=0,"",J538/$G538),"")</f>
        <v/>
      </c>
      <c r="M538" s="120" t="str">
        <f>IF(OR($A538="",$B538=""),"",COUNTIFS($A$5:A538,A538,$B$5:B538,B538))</f>
        <v/>
      </c>
      <c r="N538" s="120" t="str">
        <f>IF($A538="","",COUNTA($A$5:$A538))</f>
        <v/>
      </c>
      <c r="O538" s="120" t="str">
        <f>IF($A538="","",COUNTA($A$5:$A538))</f>
        <v/>
      </c>
      <c r="P538" s="118" t="str">
        <f>IF($K538="","",MAX($K$5:K538))</f>
        <v/>
      </c>
      <c r="Q538" s="117" t="str">
        <f>IF($K538="","",K538-P538)</f>
        <v/>
      </c>
      <c r="R538" s="2"/>
      <c r="S538" s="2" t="str">
        <f>IF(OR($A538="",$F538=""),"",IF($I538="Pendiente","",ROUND($G538*($F538*0.609-1),2)))</f>
        <v/>
      </c>
      <c r="T538" s="2" t="str">
        <f>IF($A538="","",IFERROR(SUM($S$5:S538),0))</f>
        <v/>
      </c>
    </row>
    <row r="539" spans="1:20" ht="15" customHeight="1">
      <c r="A539" s="110"/>
      <c r="B539" s="113"/>
      <c r="C539" s="177"/>
      <c r="D539" s="113"/>
      <c r="F539" s="115"/>
      <c r="G539" s="116"/>
      <c r="H539" s="120"/>
      <c r="I539" s="120"/>
      <c r="J539" s="117" t="str">
        <f>IF($A539="","",IF($I539="Ganada",ROUND($G539*($F539-1),2),IF($I539="Medio Ganada",ROUND($G539/2*($F539-1),2),IF($I539="Perdida",IF($H539="Free Bet",0,-$G539),IF($I539="Medio Perdida",IF($H539="Free Bet",0,-$G539/2),IF($I539="Reembolso",IF($R539="","",ROUND($R539-$G539,2)),IF($I539="Anulada",0,"")))))))</f>
        <v/>
      </c>
      <c r="K539" s="118" t="str">
        <f>IF(J539="","",2000+SUM(J$5:J539))</f>
        <v/>
      </c>
      <c r="L539" s="119" t="str">
        <f>IF(OR($I539="Ganada",$I539="Perdida",$I539="Medio Ganada",$I539="Medio Perdida"),IF($G539=0,"",J539/$G539),"")</f>
        <v/>
      </c>
      <c r="M539" s="120" t="str">
        <f>IF(OR($A539="",$B539=""),"",COUNTIFS($A$5:A539,A539,$B$5:B539,B539))</f>
        <v/>
      </c>
      <c r="N539" s="120" t="str">
        <f>IF($A539="","",COUNTA($A$5:$A539))</f>
        <v/>
      </c>
      <c r="O539" s="120" t="str">
        <f>IF($A539="","",COUNTA($A$5:$A539))</f>
        <v/>
      </c>
      <c r="P539" s="118" t="str">
        <f>IF($K539="","",MAX($K$5:K539))</f>
        <v/>
      </c>
      <c r="Q539" s="117" t="str">
        <f>IF($K539="","",K539-P539)</f>
        <v/>
      </c>
      <c r="R539" s="2"/>
      <c r="S539" s="2" t="str">
        <f>IF(OR($A539="",$F539=""),"",IF($I539="Pendiente","",ROUND($G539*($F539*0.609-1),2)))</f>
        <v/>
      </c>
      <c r="T539" s="2" t="str">
        <f>IF($A539="","",IFERROR(SUM($S$5:S539),0))</f>
        <v/>
      </c>
    </row>
    <row r="540" spans="1:20" ht="15" customHeight="1">
      <c r="A540" s="110"/>
      <c r="B540" s="113"/>
      <c r="C540" s="177"/>
      <c r="D540" s="113"/>
      <c r="F540" s="115"/>
      <c r="G540" s="116"/>
      <c r="H540" s="120"/>
      <c r="I540" s="120"/>
      <c r="J540" s="117" t="str">
        <f>IF($A540="","",IF($I540="Ganada",ROUND($G540*($F540-1),2),IF($I540="Medio Ganada",ROUND($G540/2*($F540-1),2),IF($I540="Perdida",IF($H540="Free Bet",0,-$G540),IF($I540="Medio Perdida",IF($H540="Free Bet",0,-$G540/2),IF($I540="Reembolso",IF($R540="","",ROUND($R540-$G540,2)),IF($I540="Anulada",0,"")))))))</f>
        <v/>
      </c>
      <c r="K540" s="118" t="str">
        <f>IF(J540="","",2000+SUM(J$5:J540))</f>
        <v/>
      </c>
      <c r="L540" s="119" t="str">
        <f>IF(OR($I540="Ganada",$I540="Perdida",$I540="Medio Ganada",$I540="Medio Perdida"),IF($G540=0,"",J540/$G540),"")</f>
        <v/>
      </c>
      <c r="M540" s="120" t="str">
        <f>IF(OR($A540="",$B540=""),"",COUNTIFS($A$5:A540,A540,$B$5:B540,B540))</f>
        <v/>
      </c>
      <c r="N540" s="120" t="str">
        <f>IF($A540="","",COUNTA($A$5:$A540))</f>
        <v/>
      </c>
      <c r="O540" s="120" t="str">
        <f>IF($A540="","",COUNTA($A$5:$A540))</f>
        <v/>
      </c>
      <c r="P540" s="118" t="str">
        <f>IF($K540="","",MAX($K$5:K540))</f>
        <v/>
      </c>
      <c r="Q540" s="117" t="str">
        <f>IF($K540="","",K540-P540)</f>
        <v/>
      </c>
      <c r="R540" s="2"/>
      <c r="S540" s="2" t="str">
        <f>IF(OR($A540="",$F540=""),"",IF($I540="Pendiente","",ROUND($G540*($F540*0.609-1),2)))</f>
        <v/>
      </c>
      <c r="T540" s="2" t="str">
        <f>IF($A540="","",IFERROR(SUM($S$5:S540),0))</f>
        <v/>
      </c>
    </row>
    <row r="541" spans="1:20" ht="15" customHeight="1">
      <c r="A541" s="110"/>
      <c r="B541" s="113"/>
      <c r="C541" s="177"/>
      <c r="D541" s="113"/>
      <c r="F541" s="115"/>
      <c r="G541" s="116"/>
      <c r="H541" s="120"/>
      <c r="I541" s="120"/>
      <c r="J541" s="117" t="str">
        <f>IF($A541="","",IF($I541="Ganada",ROUND($G541*($F541-1),2),IF($I541="Medio Ganada",ROUND($G541/2*($F541-1),2),IF($I541="Perdida",IF($H541="Free Bet",0,-$G541),IF($I541="Medio Perdida",IF($H541="Free Bet",0,-$G541/2),IF($I541="Reembolso",IF($R541="","",ROUND($R541-$G541,2)),IF($I541="Anulada",0,"")))))))</f>
        <v/>
      </c>
      <c r="K541" s="118" t="str">
        <f>IF(J541="","",2000+SUM(J$5:J541))</f>
        <v/>
      </c>
      <c r="L541" s="119" t="str">
        <f>IF(OR($I541="Ganada",$I541="Perdida",$I541="Medio Ganada",$I541="Medio Perdida"),IF($G541=0,"",J541/$G541),"")</f>
        <v/>
      </c>
      <c r="M541" s="120" t="str">
        <f>IF(OR($A541="",$B541=""),"",COUNTIFS($A$5:A541,A541,$B$5:B541,B541))</f>
        <v/>
      </c>
      <c r="N541" s="120" t="str">
        <f>IF($A541="","",COUNTA($A$5:$A541))</f>
        <v/>
      </c>
      <c r="O541" s="120" t="str">
        <f>IF($A541="","",COUNTA($A$5:$A541))</f>
        <v/>
      </c>
      <c r="P541" s="118" t="str">
        <f>IF($K541="","",MAX($K$5:K541))</f>
        <v/>
      </c>
      <c r="Q541" s="117" t="str">
        <f>IF($K541="","",K541-P541)</f>
        <v/>
      </c>
      <c r="R541" s="2"/>
      <c r="S541" s="2" t="str">
        <f>IF(OR($A541="",$F541=""),"",IF($I541="Pendiente","",ROUND($G541*($F541*0.609-1),2)))</f>
        <v/>
      </c>
      <c r="T541" s="2" t="str">
        <f>IF($A541="","",IFERROR(SUM($S$5:S541),0))</f>
        <v/>
      </c>
    </row>
    <row r="542" spans="1:20" ht="15" customHeight="1">
      <c r="A542" s="110"/>
      <c r="B542" s="113"/>
      <c r="C542" s="177"/>
      <c r="D542" s="113"/>
      <c r="F542" s="115"/>
      <c r="G542" s="116"/>
      <c r="H542" s="120"/>
      <c r="I542" s="120"/>
      <c r="J542" s="117" t="str">
        <f>IF($A542="","",IF($I542="Ganada",ROUND($G542*($F542-1),2),IF($I542="Medio Ganada",ROUND($G542/2*($F542-1),2),IF($I542="Perdida",IF($H542="Free Bet",0,-$G542),IF($I542="Medio Perdida",IF($H542="Free Bet",0,-$G542/2),IF($I542="Reembolso",IF($R542="","",ROUND($R542-$G542,2)),IF($I542="Anulada",0,"")))))))</f>
        <v/>
      </c>
      <c r="K542" s="118" t="str">
        <f>IF(J542="","",2000+SUM(J$5:J542))</f>
        <v/>
      </c>
      <c r="L542" s="119" t="str">
        <f>IF(OR($I542="Ganada",$I542="Perdida",$I542="Medio Ganada",$I542="Medio Perdida"),IF($G542=0,"",J542/$G542),"")</f>
        <v/>
      </c>
      <c r="M542" s="120" t="str">
        <f>IF(OR($A542="",$B542=""),"",COUNTIFS($A$5:A542,A542,$B$5:B542,B542))</f>
        <v/>
      </c>
      <c r="N542" s="120" t="str">
        <f>IF($A542="","",COUNTA($A$5:$A542))</f>
        <v/>
      </c>
      <c r="O542" s="120" t="str">
        <f>IF($A542="","",COUNTA($A$5:$A542))</f>
        <v/>
      </c>
      <c r="P542" s="118" t="str">
        <f>IF($K542="","",MAX($K$5:K542))</f>
        <v/>
      </c>
      <c r="Q542" s="117" t="str">
        <f>IF($K542="","",K542-P542)</f>
        <v/>
      </c>
      <c r="R542" s="2"/>
      <c r="S542" s="2" t="str">
        <f>IF(OR($A542="",$F542=""),"",IF($I542="Pendiente","",ROUND($G542*($F542*0.609-1),2)))</f>
        <v/>
      </c>
      <c r="T542" s="2" t="str">
        <f>IF($A542="","",IFERROR(SUM($S$5:S542),0))</f>
        <v/>
      </c>
    </row>
    <row r="543" spans="1:20" ht="15" customHeight="1">
      <c r="A543" s="110"/>
      <c r="B543" s="113"/>
      <c r="C543" s="177"/>
      <c r="D543" s="113"/>
      <c r="F543" s="115"/>
      <c r="G543" s="116"/>
      <c r="H543" s="120"/>
      <c r="I543" s="120"/>
      <c r="J543" s="117" t="str">
        <f>IF($A543="","",IF($I543="Ganada",ROUND($G543*($F543-1),2),IF($I543="Medio Ganada",ROUND($G543/2*($F543-1),2),IF($I543="Perdida",IF($H543="Free Bet",0,-$G543),IF($I543="Medio Perdida",IF($H543="Free Bet",0,-$G543/2),IF($I543="Reembolso",IF($R543="","",ROUND($R543-$G543,2)),IF($I543="Anulada",0,"")))))))</f>
        <v/>
      </c>
      <c r="K543" s="118" t="str">
        <f>IF(J543="","",2000+SUM(J$5:J543))</f>
        <v/>
      </c>
      <c r="L543" s="119" t="str">
        <f>IF(OR($I543="Ganada",$I543="Perdida",$I543="Medio Ganada",$I543="Medio Perdida"),IF($G543=0,"",J543/$G543),"")</f>
        <v/>
      </c>
      <c r="M543" s="120" t="str">
        <f>IF(OR($A543="",$B543=""),"",COUNTIFS($A$5:A543,A543,$B$5:B543,B543))</f>
        <v/>
      </c>
      <c r="N543" s="120" t="str">
        <f>IF($A543="","",COUNTA($A$5:$A543))</f>
        <v/>
      </c>
      <c r="O543" s="120" t="str">
        <f>IF($A543="","",COUNTA($A$5:$A543))</f>
        <v/>
      </c>
      <c r="P543" s="118" t="str">
        <f>IF($K543="","",MAX($K$5:K543))</f>
        <v/>
      </c>
      <c r="Q543" s="117" t="str">
        <f>IF($K543="","",K543-P543)</f>
        <v/>
      </c>
      <c r="R543" s="2"/>
      <c r="S543" s="2" t="str">
        <f>IF(OR($A543="",$F543=""),"",IF($I543="Pendiente","",ROUND($G543*($F543*0.609-1),2)))</f>
        <v/>
      </c>
      <c r="T543" s="2" t="str">
        <f>IF($A543="","",IFERROR(SUM($S$5:S543),0))</f>
        <v/>
      </c>
    </row>
    <row r="544" spans="1:20" ht="15" customHeight="1">
      <c r="A544" s="110"/>
      <c r="B544" s="113"/>
      <c r="C544" s="177"/>
      <c r="D544" s="113"/>
      <c r="F544" s="115"/>
      <c r="G544" s="116"/>
      <c r="H544" s="120"/>
      <c r="I544" s="120"/>
      <c r="J544" s="117" t="str">
        <f>IF($A544="","",IF($I544="Ganada",ROUND($G544*($F544-1),2),IF($I544="Medio Ganada",ROUND($G544/2*($F544-1),2),IF($I544="Perdida",IF($H544="Free Bet",0,-$G544),IF($I544="Medio Perdida",IF($H544="Free Bet",0,-$G544/2),IF($I544="Reembolso",IF($R544="","",ROUND($R544-$G544,2)),IF($I544="Anulada",0,"")))))))</f>
        <v/>
      </c>
      <c r="K544" s="118" t="str">
        <f>IF(J544="","",2000+SUM(J$5:J544))</f>
        <v/>
      </c>
      <c r="L544" s="119" t="str">
        <f>IF(OR($I544="Ganada",$I544="Perdida",$I544="Medio Ganada",$I544="Medio Perdida"),IF($G544=0,"",J544/$G544),"")</f>
        <v/>
      </c>
      <c r="M544" s="120" t="str">
        <f>IF(OR($A544="",$B544=""),"",COUNTIFS($A$5:A544,A544,$B$5:B544,B544))</f>
        <v/>
      </c>
      <c r="N544" s="120" t="str">
        <f>IF($A544="","",COUNTA($A$5:$A544))</f>
        <v/>
      </c>
      <c r="O544" s="120" t="str">
        <f>IF($A544="","",COUNTA($A$5:$A544))</f>
        <v/>
      </c>
      <c r="P544" s="118" t="str">
        <f>IF($K544="","",MAX($K$5:K544))</f>
        <v/>
      </c>
      <c r="Q544" s="117" t="str">
        <f>IF($K544="","",K544-P544)</f>
        <v/>
      </c>
      <c r="R544" s="2"/>
      <c r="S544" s="2" t="str">
        <f>IF(OR($A544="",$F544=""),"",IF($I544="Pendiente","",ROUND($G544*($F544*0.609-1),2)))</f>
        <v/>
      </c>
      <c r="T544" s="2" t="str">
        <f>IF($A544="","",IFERROR(SUM($S$5:S544),0))</f>
        <v/>
      </c>
    </row>
    <row r="545" spans="1:20" ht="15" customHeight="1">
      <c r="A545" s="110"/>
      <c r="B545" s="113"/>
      <c r="C545" s="177"/>
      <c r="D545" s="113"/>
      <c r="F545" s="115"/>
      <c r="G545" s="116"/>
      <c r="H545" s="120"/>
      <c r="I545" s="120"/>
      <c r="J545" s="117" t="str">
        <f>IF($A545="","",IF($I545="Ganada",ROUND($G545*($F545-1),2),IF($I545="Medio Ganada",ROUND($G545/2*($F545-1),2),IF($I545="Perdida",IF($H545="Free Bet",0,-$G545),IF($I545="Medio Perdida",IF($H545="Free Bet",0,-$G545/2),IF($I545="Reembolso",IF($R545="","",ROUND($R545-$G545,2)),IF($I545="Anulada",0,"")))))))</f>
        <v/>
      </c>
      <c r="K545" s="118" t="str">
        <f>IF(J545="","",2000+SUM(J$5:J545))</f>
        <v/>
      </c>
      <c r="L545" s="119" t="str">
        <f>IF(OR($I545="Ganada",$I545="Perdida",$I545="Medio Ganada",$I545="Medio Perdida"),IF($G545=0,"",J545/$G545),"")</f>
        <v/>
      </c>
      <c r="M545" s="120" t="str">
        <f>IF(OR($A545="",$B545=""),"",COUNTIFS($A$5:A545,A545,$B$5:B545,B545))</f>
        <v/>
      </c>
      <c r="N545" s="120" t="str">
        <f>IF($A545="","",COUNTA($A$5:$A545))</f>
        <v/>
      </c>
      <c r="O545" s="120" t="str">
        <f>IF($A545="","",COUNTA($A$5:$A545))</f>
        <v/>
      </c>
      <c r="P545" s="118" t="str">
        <f>IF($K545="","",MAX($K$5:K545))</f>
        <v/>
      </c>
      <c r="Q545" s="117" t="str">
        <f>IF($K545="","",K545-P545)</f>
        <v/>
      </c>
      <c r="R545" s="2"/>
      <c r="S545" s="2" t="str">
        <f>IF(OR($A545="",$F545=""),"",IF($I545="Pendiente","",ROUND($G545*($F545*0.609-1),2)))</f>
        <v/>
      </c>
      <c r="T545" s="2" t="str">
        <f>IF($A545="","",IFERROR(SUM($S$5:S545),0))</f>
        <v/>
      </c>
    </row>
    <row r="546" spans="1:20" ht="15" customHeight="1">
      <c r="A546" s="110"/>
      <c r="B546" s="113"/>
      <c r="C546" s="177"/>
      <c r="D546" s="113"/>
      <c r="F546" s="115"/>
      <c r="G546" s="116"/>
      <c r="H546" s="120"/>
      <c r="I546" s="120"/>
      <c r="J546" s="117" t="str">
        <f>IF($A546="","",IF($I546="Ganada",ROUND($G546*($F546-1),2),IF($I546="Medio Ganada",ROUND($G546/2*($F546-1),2),IF($I546="Perdida",IF($H546="Free Bet",0,-$G546),IF($I546="Medio Perdida",IF($H546="Free Bet",0,-$G546/2),IF($I546="Reembolso",IF($R546="","",ROUND($R546-$G546,2)),IF($I546="Anulada",0,"")))))))</f>
        <v/>
      </c>
      <c r="K546" s="118" t="str">
        <f>IF(J546="","",2000+SUM(J$5:J546))</f>
        <v/>
      </c>
      <c r="L546" s="119" t="str">
        <f>IF(OR($I546="Ganada",$I546="Perdida",$I546="Medio Ganada",$I546="Medio Perdida"),IF($G546=0,"",J546/$G546),"")</f>
        <v/>
      </c>
      <c r="M546" s="120" t="str">
        <f>IF(OR($A546="",$B546=""),"",COUNTIFS($A$5:A546,A546,$B$5:B546,B546))</f>
        <v/>
      </c>
      <c r="N546" s="120" t="str">
        <f>IF($A546="","",COUNTA($A$5:$A546))</f>
        <v/>
      </c>
      <c r="O546" s="120" t="str">
        <f>IF($A546="","",COUNTA($A$5:$A546))</f>
        <v/>
      </c>
      <c r="P546" s="118" t="str">
        <f>IF($K546="","",MAX($K$5:K546))</f>
        <v/>
      </c>
      <c r="Q546" s="117" t="str">
        <f>IF($K546="","",K546-P546)</f>
        <v/>
      </c>
      <c r="R546" s="2"/>
      <c r="S546" s="2" t="str">
        <f>IF(OR($A546="",$F546=""),"",IF($I546="Pendiente","",ROUND($G546*($F546*0.609-1),2)))</f>
        <v/>
      </c>
      <c r="T546" s="2" t="str">
        <f>IF($A546="","",IFERROR(SUM($S$5:S546),0))</f>
        <v/>
      </c>
    </row>
    <row r="547" spans="1:20" ht="15" customHeight="1">
      <c r="A547" s="110"/>
      <c r="B547" s="113"/>
      <c r="C547" s="177"/>
      <c r="D547" s="113"/>
      <c r="F547" s="115"/>
      <c r="G547" s="116"/>
      <c r="H547" s="120"/>
      <c r="I547" s="120"/>
      <c r="J547" s="117" t="str">
        <f>IF($A547="","",IF($I547="Ganada",ROUND($G547*($F547-1),2),IF($I547="Medio Ganada",ROUND($G547/2*($F547-1),2),IF($I547="Perdida",IF($H547="Free Bet",0,-$G547),IF($I547="Medio Perdida",IF($H547="Free Bet",0,-$G547/2),IF($I547="Reembolso",IF($R547="","",ROUND($R547-$G547,2)),IF($I547="Anulada",0,"")))))))</f>
        <v/>
      </c>
      <c r="K547" s="118" t="str">
        <f>IF(J547="","",2000+SUM(J$5:J547))</f>
        <v/>
      </c>
      <c r="L547" s="119" t="str">
        <f>IF(OR($I547="Ganada",$I547="Perdida",$I547="Medio Ganada",$I547="Medio Perdida"),IF($G547=0,"",J547/$G547),"")</f>
        <v/>
      </c>
      <c r="M547" s="120" t="str">
        <f>IF(OR($A547="",$B547=""),"",COUNTIFS($A$5:A547,A547,$B$5:B547,B547))</f>
        <v/>
      </c>
      <c r="N547" s="120" t="str">
        <f>IF($A547="","",COUNTA($A$5:$A547))</f>
        <v/>
      </c>
      <c r="O547" s="120" t="str">
        <f>IF($A547="","",COUNTA($A$5:$A547))</f>
        <v/>
      </c>
      <c r="P547" s="118" t="str">
        <f>IF($K547="","",MAX($K$5:K547))</f>
        <v/>
      </c>
      <c r="Q547" s="117" t="str">
        <f>IF($K547="","",K547-P547)</f>
        <v/>
      </c>
      <c r="R547" s="2"/>
      <c r="S547" s="2" t="str">
        <f>IF(OR($A547="",$F547=""),"",IF($I547="Pendiente","",ROUND($G547*($F547*0.609-1),2)))</f>
        <v/>
      </c>
      <c r="T547" s="2" t="str">
        <f>IF($A547="","",IFERROR(SUM($S$5:S547),0))</f>
        <v/>
      </c>
    </row>
    <row r="548" spans="1:20" ht="15" customHeight="1">
      <c r="A548" s="110"/>
      <c r="B548" s="113"/>
      <c r="C548" s="177"/>
      <c r="D548" s="113"/>
      <c r="F548" s="115"/>
      <c r="G548" s="116"/>
      <c r="H548" s="120"/>
      <c r="I548" s="120"/>
      <c r="J548" s="117" t="str">
        <f>IF($A548="","",IF($I548="Ganada",ROUND($G548*($F548-1),2),IF($I548="Medio Ganada",ROUND($G548/2*($F548-1),2),IF($I548="Perdida",IF($H548="Free Bet",0,-$G548),IF($I548="Medio Perdida",IF($H548="Free Bet",0,-$G548/2),IF($I548="Reembolso",IF($R548="","",ROUND($R548-$G548,2)),IF($I548="Anulada",0,"")))))))</f>
        <v/>
      </c>
      <c r="K548" s="118" t="str">
        <f>IF(J548="","",2000+SUM(J$5:J548))</f>
        <v/>
      </c>
      <c r="L548" s="119" t="str">
        <f>IF(OR($I548="Ganada",$I548="Perdida",$I548="Medio Ganada",$I548="Medio Perdida"),IF($G548=0,"",J548/$G548),"")</f>
        <v/>
      </c>
      <c r="M548" s="120" t="str">
        <f>IF(OR($A548="",$B548=""),"",COUNTIFS($A$5:A548,A548,$B$5:B548,B548))</f>
        <v/>
      </c>
      <c r="N548" s="120" t="str">
        <f>IF($A548="","",COUNTA($A$5:$A548))</f>
        <v/>
      </c>
      <c r="O548" s="120" t="str">
        <f>IF($A548="","",COUNTA($A$5:$A548))</f>
        <v/>
      </c>
      <c r="P548" s="118" t="str">
        <f>IF($K548="","",MAX($K$5:K548))</f>
        <v/>
      </c>
      <c r="Q548" s="117" t="str">
        <f>IF($K548="","",K548-P548)</f>
        <v/>
      </c>
      <c r="R548" s="2"/>
      <c r="S548" s="2" t="str">
        <f>IF(OR($A548="",$F548=""),"",IF($I548="Pendiente","",ROUND($G548*($F548*0.609-1),2)))</f>
        <v/>
      </c>
      <c r="T548" s="2" t="str">
        <f>IF($A548="","",IFERROR(SUM($S$5:S548),0))</f>
        <v/>
      </c>
    </row>
    <row r="549" spans="1:20" ht="15" customHeight="1">
      <c r="A549" s="110"/>
      <c r="B549" s="113"/>
      <c r="C549" s="177"/>
      <c r="D549" s="113"/>
      <c r="F549" s="115"/>
      <c r="G549" s="116"/>
      <c r="H549" s="120"/>
      <c r="I549" s="120"/>
      <c r="J549" s="117" t="str">
        <f>IF($A549="","",IF($I549="Ganada",ROUND($G549*($F549-1),2),IF($I549="Medio Ganada",ROUND($G549/2*($F549-1),2),IF($I549="Perdida",IF($H549="Free Bet",0,-$G549),IF($I549="Medio Perdida",IF($H549="Free Bet",0,-$G549/2),IF($I549="Reembolso",IF($R549="","",ROUND($R549-$G549,2)),IF($I549="Anulada",0,"")))))))</f>
        <v/>
      </c>
      <c r="K549" s="118" t="str">
        <f>IF(J549="","",2000+SUM(J$5:J549))</f>
        <v/>
      </c>
      <c r="L549" s="119" t="str">
        <f>IF(OR($I549="Ganada",$I549="Perdida",$I549="Medio Ganada",$I549="Medio Perdida"),IF($G549=0,"",J549/$G549),"")</f>
        <v/>
      </c>
      <c r="M549" s="120" t="str">
        <f>IF(OR($A549="",$B549=""),"",COUNTIFS($A$5:A549,A549,$B$5:B549,B549))</f>
        <v/>
      </c>
      <c r="N549" s="120" t="str">
        <f>IF($A549="","",COUNTA($A$5:$A549))</f>
        <v/>
      </c>
      <c r="O549" s="120" t="str">
        <f>IF($A549="","",COUNTA($A$5:$A549))</f>
        <v/>
      </c>
      <c r="P549" s="118" t="str">
        <f>IF($K549="","",MAX($K$5:K549))</f>
        <v/>
      </c>
      <c r="Q549" s="117" t="str">
        <f>IF($K549="","",K549-P549)</f>
        <v/>
      </c>
      <c r="R549" s="2"/>
      <c r="S549" s="2" t="str">
        <f>IF(OR($A549="",$F549=""),"",IF($I549="Pendiente","",ROUND($G549*($F549*0.609-1),2)))</f>
        <v/>
      </c>
      <c r="T549" s="2" t="str">
        <f>IF($A549="","",IFERROR(SUM($S$5:S549),0))</f>
        <v/>
      </c>
    </row>
    <row r="550" spans="1:20" ht="15" customHeight="1">
      <c r="A550" s="110"/>
      <c r="B550" s="113"/>
      <c r="C550" s="177"/>
      <c r="D550" s="113"/>
      <c r="F550" s="115"/>
      <c r="G550" s="116"/>
      <c r="H550" s="120"/>
      <c r="I550" s="120"/>
      <c r="J550" s="117" t="str">
        <f>IF($A550="","",IF($I550="Ganada",ROUND($G550*($F550-1),2),IF($I550="Medio Ganada",ROUND($G550/2*($F550-1),2),IF($I550="Perdida",IF($H550="Free Bet",0,-$G550),IF($I550="Medio Perdida",IF($H550="Free Bet",0,-$G550/2),IF($I550="Reembolso",IF($R550="","",ROUND($R550-$G550,2)),IF($I550="Anulada",0,"")))))))</f>
        <v/>
      </c>
      <c r="K550" s="118" t="str">
        <f>IF(J550="","",2000+SUM(J$5:J550))</f>
        <v/>
      </c>
      <c r="L550" s="119" t="str">
        <f>IF(OR($I550="Ganada",$I550="Perdida",$I550="Medio Ganada",$I550="Medio Perdida"),IF($G550=0,"",J550/$G550),"")</f>
        <v/>
      </c>
      <c r="M550" s="120" t="str">
        <f>IF(OR($A550="",$B550=""),"",COUNTIFS($A$5:A550,A550,$B$5:B550,B550))</f>
        <v/>
      </c>
      <c r="N550" s="120" t="str">
        <f>IF($A550="","",COUNTA($A$5:$A550))</f>
        <v/>
      </c>
      <c r="O550" s="120" t="str">
        <f>IF($A550="","",COUNTA($A$5:$A550))</f>
        <v/>
      </c>
      <c r="P550" s="118" t="str">
        <f>IF($K550="","",MAX($K$5:K550))</f>
        <v/>
      </c>
      <c r="Q550" s="117" t="str">
        <f>IF($K550="","",K550-P550)</f>
        <v/>
      </c>
      <c r="R550" s="2"/>
      <c r="S550" s="2" t="str">
        <f>IF(OR($A550="",$F550=""),"",IF($I550="Pendiente","",ROUND($G550*($F550*0.609-1),2)))</f>
        <v/>
      </c>
      <c r="T550" s="2" t="str">
        <f>IF($A550="","",IFERROR(SUM($S$5:S550),0))</f>
        <v/>
      </c>
    </row>
    <row r="551" spans="1:20" ht="15" customHeight="1">
      <c r="A551" s="110"/>
      <c r="B551" s="113"/>
      <c r="C551" s="177"/>
      <c r="D551" s="113"/>
      <c r="F551" s="115"/>
      <c r="G551" s="116"/>
      <c r="H551" s="120"/>
      <c r="I551" s="120"/>
      <c r="J551" s="117" t="str">
        <f>IF($A551="","",IF($I551="Ganada",ROUND($G551*($F551-1),2),IF($I551="Medio Ganada",ROUND($G551/2*($F551-1),2),IF($I551="Perdida",IF($H551="Free Bet",0,-$G551),IF($I551="Medio Perdida",IF($H551="Free Bet",0,-$G551/2),IF($I551="Reembolso",IF($R551="","",ROUND($R551-$G551,2)),IF($I551="Anulada",0,"")))))))</f>
        <v/>
      </c>
      <c r="K551" s="118" t="str">
        <f>IF(J551="","",2000+SUM(J$5:J551))</f>
        <v/>
      </c>
      <c r="L551" s="119" t="str">
        <f>IF(OR($I551="Ganada",$I551="Perdida",$I551="Medio Ganada",$I551="Medio Perdida"),IF($G551=0,"",J551/$G551),"")</f>
        <v/>
      </c>
      <c r="M551" s="120" t="str">
        <f>IF(OR($A551="",$B551=""),"",COUNTIFS($A$5:A551,A551,$B$5:B551,B551))</f>
        <v/>
      </c>
      <c r="N551" s="120" t="str">
        <f>IF($A551="","",COUNTA($A$5:$A551))</f>
        <v/>
      </c>
      <c r="O551" s="120" t="str">
        <f>IF($A551="","",COUNTA($A$5:$A551))</f>
        <v/>
      </c>
      <c r="P551" s="118" t="str">
        <f>IF($K551="","",MAX($K$5:K551))</f>
        <v/>
      </c>
      <c r="Q551" s="117" t="str">
        <f>IF($K551="","",K551-P551)</f>
        <v/>
      </c>
      <c r="R551" s="2"/>
      <c r="S551" s="2" t="str">
        <f>IF(OR($A551="",$F551=""),"",IF($I551="Pendiente","",ROUND($G551*($F551*0.609-1),2)))</f>
        <v/>
      </c>
      <c r="T551" s="2" t="str">
        <f>IF($A551="","",IFERROR(SUM($S$5:S551),0))</f>
        <v/>
      </c>
    </row>
    <row r="552" spans="1:20" ht="15" customHeight="1">
      <c r="A552" s="110"/>
      <c r="B552" s="113"/>
      <c r="C552" s="177"/>
      <c r="D552" s="113"/>
      <c r="F552" s="115"/>
      <c r="G552" s="116"/>
      <c r="H552" s="120"/>
      <c r="I552" s="120"/>
      <c r="J552" s="117" t="str">
        <f>IF($A552="","",IF($I552="Ganada",ROUND($G552*($F552-1),2),IF($I552="Medio Ganada",ROUND($G552/2*($F552-1),2),IF($I552="Perdida",IF($H552="Free Bet",0,-$G552),IF($I552="Medio Perdida",IF($H552="Free Bet",0,-$G552/2),IF($I552="Reembolso",IF($R552="","",ROUND($R552-$G552,2)),IF($I552="Anulada",0,"")))))))</f>
        <v/>
      </c>
      <c r="K552" s="118" t="str">
        <f>IF(J552="","",2000+SUM(J$5:J552))</f>
        <v/>
      </c>
      <c r="L552" s="119" t="str">
        <f>IF(OR($I552="Ganada",$I552="Perdida",$I552="Medio Ganada",$I552="Medio Perdida"),IF($G552=0,"",J552/$G552),"")</f>
        <v/>
      </c>
      <c r="M552" s="120" t="str">
        <f>IF(OR($A552="",$B552=""),"",COUNTIFS($A$5:A552,A552,$B$5:B552,B552))</f>
        <v/>
      </c>
      <c r="N552" s="120" t="str">
        <f>IF($A552="","",COUNTA($A$5:$A552))</f>
        <v/>
      </c>
      <c r="O552" s="120" t="str">
        <f>IF($A552="","",COUNTA($A$5:$A552))</f>
        <v/>
      </c>
      <c r="P552" s="118" t="str">
        <f>IF($K552="","",MAX($K$5:K552))</f>
        <v/>
      </c>
      <c r="Q552" s="117" t="str">
        <f>IF($K552="","",K552-P552)</f>
        <v/>
      </c>
      <c r="R552" s="2"/>
      <c r="S552" s="2" t="str">
        <f>IF(OR($A552="",$F552=""),"",IF($I552="Pendiente","",ROUND($G552*($F552*0.609-1),2)))</f>
        <v/>
      </c>
      <c r="T552" s="2" t="str">
        <f>IF($A552="","",IFERROR(SUM($S$5:S552),0))</f>
        <v/>
      </c>
    </row>
    <row r="553" spans="1:20" ht="15" customHeight="1">
      <c r="A553" s="110"/>
      <c r="B553" s="113"/>
      <c r="C553" s="177"/>
      <c r="D553" s="113"/>
      <c r="F553" s="115"/>
      <c r="G553" s="116"/>
      <c r="H553" s="120"/>
      <c r="I553" s="120"/>
      <c r="J553" s="117" t="str">
        <f>IF($A553="","",IF($I553="Ganada",ROUND($G553*($F553-1),2),IF($I553="Medio Ganada",ROUND($G553/2*($F553-1),2),IF($I553="Perdida",IF($H553="Free Bet",0,-$G553),IF($I553="Medio Perdida",IF($H553="Free Bet",0,-$G553/2),IF($I553="Reembolso",IF($R553="","",ROUND($R553-$G553,2)),IF($I553="Anulada",0,"")))))))</f>
        <v/>
      </c>
      <c r="K553" s="118" t="str">
        <f>IF(J553="","",2000+SUM(J$5:J553))</f>
        <v/>
      </c>
      <c r="L553" s="119" t="str">
        <f>IF(OR($I553="Ganada",$I553="Perdida",$I553="Medio Ganada",$I553="Medio Perdida"),IF($G553=0,"",J553/$G553),"")</f>
        <v/>
      </c>
      <c r="M553" s="120" t="str">
        <f>IF(OR($A553="",$B553=""),"",COUNTIFS($A$5:A553,A553,$B$5:B553,B553))</f>
        <v/>
      </c>
      <c r="N553" s="120" t="str">
        <f>IF($A553="","",COUNTA($A$5:$A553))</f>
        <v/>
      </c>
      <c r="O553" s="120" t="str">
        <f>IF($A553="","",COUNTA($A$5:$A553))</f>
        <v/>
      </c>
      <c r="P553" s="118" t="str">
        <f>IF($K553="","",MAX($K$5:K553))</f>
        <v/>
      </c>
      <c r="Q553" s="117" t="str">
        <f>IF($K553="","",K553-P553)</f>
        <v/>
      </c>
      <c r="R553" s="2"/>
      <c r="S553" s="2" t="str">
        <f>IF(OR($A553="",$F553=""),"",IF($I553="Pendiente","",ROUND($G553*($F553*0.609-1),2)))</f>
        <v/>
      </c>
      <c r="T553" s="2" t="str">
        <f>IF($A553="","",IFERROR(SUM($S$5:S553),0))</f>
        <v/>
      </c>
    </row>
    <row r="554" spans="1:20" ht="15" customHeight="1">
      <c r="A554" s="110"/>
      <c r="B554" s="113"/>
      <c r="C554" s="177"/>
      <c r="D554" s="113"/>
      <c r="F554" s="115"/>
      <c r="G554" s="116"/>
      <c r="H554" s="120"/>
      <c r="I554" s="120"/>
      <c r="J554" s="117" t="str">
        <f>IF($A554="","",IF($I554="Ganada",ROUND($G554*($F554-1),2),IF($I554="Medio Ganada",ROUND($G554/2*($F554-1),2),IF($I554="Perdida",IF($H554="Free Bet",0,-$G554),IF($I554="Medio Perdida",IF($H554="Free Bet",0,-$G554/2),IF($I554="Reembolso",IF($R554="","",ROUND($R554-$G554,2)),IF($I554="Anulada",0,"")))))))</f>
        <v/>
      </c>
      <c r="K554" s="118" t="str">
        <f>IF(J554="","",2000+SUM(J$5:J554))</f>
        <v/>
      </c>
      <c r="L554" s="119" t="str">
        <f>IF(OR($I554="Ganada",$I554="Perdida",$I554="Medio Ganada",$I554="Medio Perdida"),IF($G554=0,"",J554/$G554),"")</f>
        <v/>
      </c>
      <c r="M554" s="120" t="str">
        <f>IF(OR($A554="",$B554=""),"",COUNTIFS($A$5:A554,A554,$B$5:B554,B554))</f>
        <v/>
      </c>
      <c r="N554" s="120" t="str">
        <f>IF($A554="","",COUNTA($A$5:$A554))</f>
        <v/>
      </c>
      <c r="O554" s="120" t="str">
        <f>IF($A554="","",COUNTA($A$5:$A554))</f>
        <v/>
      </c>
      <c r="P554" s="118" t="str">
        <f>IF($K554="","",MAX($K$5:K554))</f>
        <v/>
      </c>
      <c r="Q554" s="117" t="str">
        <f>IF($K554="","",K554-P554)</f>
        <v/>
      </c>
      <c r="R554" s="2"/>
      <c r="S554" s="2" t="str">
        <f>IF(OR($A554="",$F554=""),"",IF($I554="Pendiente","",ROUND($G554*($F554*0.609-1),2)))</f>
        <v/>
      </c>
      <c r="T554" s="2" t="str">
        <f>IF($A554="","",IFERROR(SUM($S$5:S554),0))</f>
        <v/>
      </c>
    </row>
    <row r="555" spans="1:20" ht="15" customHeight="1">
      <c r="A555" s="110"/>
      <c r="B555" s="113"/>
      <c r="C555" s="177"/>
      <c r="D555" s="113"/>
      <c r="F555" s="115"/>
      <c r="G555" s="116"/>
      <c r="H555" s="120"/>
      <c r="I555" s="120"/>
      <c r="J555" s="117" t="str">
        <f>IF($A555="","",IF($I555="Ganada",ROUND($G555*($F555-1),2),IF($I555="Medio Ganada",ROUND($G555/2*($F555-1),2),IF($I555="Perdida",IF($H555="Free Bet",0,-$G555),IF($I555="Medio Perdida",IF($H555="Free Bet",0,-$G555/2),IF($I555="Reembolso",IF($R555="","",ROUND($R555-$G555,2)),IF($I555="Anulada",0,"")))))))</f>
        <v/>
      </c>
      <c r="K555" s="118" t="str">
        <f>IF(J555="","",2000+SUM(J$5:J555))</f>
        <v/>
      </c>
      <c r="L555" s="119" t="str">
        <f>IF(OR($I555="Ganada",$I555="Perdida",$I555="Medio Ganada",$I555="Medio Perdida"),IF($G555=0,"",J555/$G555),"")</f>
        <v/>
      </c>
      <c r="M555" s="120" t="str">
        <f>IF(OR($A555="",$B555=""),"",COUNTIFS($A$5:A555,A555,$B$5:B555,B555))</f>
        <v/>
      </c>
      <c r="N555" s="120" t="str">
        <f>IF($A555="","",COUNTA($A$5:$A555))</f>
        <v/>
      </c>
      <c r="O555" s="120" t="str">
        <f>IF($A555="","",COUNTA($A$5:$A555))</f>
        <v/>
      </c>
      <c r="P555" s="118" t="str">
        <f>IF($K555="","",MAX($K$5:K555))</f>
        <v/>
      </c>
      <c r="Q555" s="117" t="str">
        <f>IF($K555="","",K555-P555)</f>
        <v/>
      </c>
      <c r="R555" s="2"/>
      <c r="S555" s="2" t="str">
        <f>IF(OR($A555="",$F555=""),"",IF($I555="Pendiente","",ROUND($G555*($F555*0.609-1),2)))</f>
        <v/>
      </c>
      <c r="T555" s="2" t="str">
        <f>IF($A555="","",IFERROR(SUM($S$5:S555),0))</f>
        <v/>
      </c>
    </row>
    <row r="556" spans="1:20" ht="15" customHeight="1">
      <c r="A556" s="110"/>
      <c r="B556" s="113"/>
      <c r="C556" s="177"/>
      <c r="D556" s="113"/>
      <c r="F556" s="115"/>
      <c r="G556" s="116"/>
      <c r="H556" s="120"/>
      <c r="I556" s="120"/>
      <c r="J556" s="117" t="str">
        <f>IF($A556="","",IF($I556="Ganada",ROUND($G556*($F556-1),2),IF($I556="Medio Ganada",ROUND($G556/2*($F556-1),2),IF($I556="Perdida",IF($H556="Free Bet",0,-$G556),IF($I556="Medio Perdida",IF($H556="Free Bet",0,-$G556/2),IF($I556="Reembolso",IF($R556="","",ROUND($R556-$G556,2)),IF($I556="Anulada",0,"")))))))</f>
        <v/>
      </c>
      <c r="K556" s="118" t="str">
        <f>IF(J556="","",2000+SUM(J$5:J556))</f>
        <v/>
      </c>
      <c r="L556" s="119" t="str">
        <f>IF(OR($I556="Ganada",$I556="Perdida",$I556="Medio Ganada",$I556="Medio Perdida"),IF($G556=0,"",J556/$G556),"")</f>
        <v/>
      </c>
      <c r="M556" s="120" t="str">
        <f>IF(OR($A556="",$B556=""),"",COUNTIFS($A$5:A556,A556,$B$5:B556,B556))</f>
        <v/>
      </c>
      <c r="N556" s="120" t="str">
        <f>IF($A556="","",COUNTA($A$5:$A556))</f>
        <v/>
      </c>
      <c r="O556" s="120" t="str">
        <f>IF($A556="","",COUNTA($A$5:$A556))</f>
        <v/>
      </c>
      <c r="P556" s="118" t="str">
        <f>IF($K556="","",MAX($K$5:K556))</f>
        <v/>
      </c>
      <c r="Q556" s="117" t="str">
        <f>IF($K556="","",K556-P556)</f>
        <v/>
      </c>
      <c r="R556" s="2"/>
      <c r="S556" s="2" t="str">
        <f>IF(OR($A556="",$F556=""),"",IF($I556="Pendiente","",ROUND($G556*($F556*0.609-1),2)))</f>
        <v/>
      </c>
      <c r="T556" s="2" t="str">
        <f>IF($A556="","",IFERROR(SUM($S$5:S556),0))</f>
        <v/>
      </c>
    </row>
    <row r="557" spans="1:20" ht="15" customHeight="1">
      <c r="A557" s="110"/>
      <c r="B557" s="113"/>
      <c r="C557" s="177"/>
      <c r="D557" s="113"/>
      <c r="F557" s="115"/>
      <c r="G557" s="116"/>
      <c r="H557" s="120"/>
      <c r="I557" s="120"/>
      <c r="J557" s="117" t="str">
        <f>IF($A557="","",IF($I557="Ganada",ROUND($G557*($F557-1),2),IF($I557="Medio Ganada",ROUND($G557/2*($F557-1),2),IF($I557="Perdida",IF($H557="Free Bet",0,-$G557),IF($I557="Medio Perdida",IF($H557="Free Bet",0,-$G557/2),IF($I557="Reembolso",IF($R557="","",ROUND($R557-$G557,2)),IF($I557="Anulada",0,"")))))))</f>
        <v/>
      </c>
      <c r="K557" s="118" t="str">
        <f>IF(J557="","",2000+SUM(J$5:J557))</f>
        <v/>
      </c>
      <c r="L557" s="119" t="str">
        <f>IF(OR($I557="Ganada",$I557="Perdida",$I557="Medio Ganada",$I557="Medio Perdida"),IF($G557=0,"",J557/$G557),"")</f>
        <v/>
      </c>
      <c r="M557" s="120" t="str">
        <f>IF(OR($A557="",$B557=""),"",COUNTIFS($A$5:A557,A557,$B$5:B557,B557))</f>
        <v/>
      </c>
      <c r="N557" s="120" t="str">
        <f>IF($A557="","",COUNTA($A$5:$A557))</f>
        <v/>
      </c>
      <c r="O557" s="120" t="str">
        <f>IF($A557="","",COUNTA($A$5:$A557))</f>
        <v/>
      </c>
      <c r="P557" s="118" t="str">
        <f>IF($K557="","",MAX($K$5:K557))</f>
        <v/>
      </c>
      <c r="Q557" s="117" t="str">
        <f>IF($K557="","",K557-P557)</f>
        <v/>
      </c>
      <c r="R557" s="2"/>
      <c r="S557" s="2" t="str">
        <f>IF(OR($A557="",$F557=""),"",IF($I557="Pendiente","",ROUND($G557*($F557*0.609-1),2)))</f>
        <v/>
      </c>
      <c r="T557" s="2" t="str">
        <f>IF($A557="","",IFERROR(SUM($S$5:S557),0))</f>
        <v/>
      </c>
    </row>
    <row r="558" spans="1:20" ht="15" customHeight="1">
      <c r="A558" s="110"/>
      <c r="B558" s="113"/>
      <c r="C558" s="177"/>
      <c r="D558" s="113"/>
      <c r="F558" s="115"/>
      <c r="G558" s="116"/>
      <c r="H558" s="120"/>
      <c r="I558" s="120"/>
      <c r="J558" s="117" t="str">
        <f>IF($A558="","",IF($I558="Ganada",ROUND($G558*($F558-1),2),IF($I558="Medio Ganada",ROUND($G558/2*($F558-1),2),IF($I558="Perdida",IF($H558="Free Bet",0,-$G558),IF($I558="Medio Perdida",IF($H558="Free Bet",0,-$G558/2),IF($I558="Reembolso",IF($R558="","",ROUND($R558-$G558,2)),IF($I558="Anulada",0,"")))))))</f>
        <v/>
      </c>
      <c r="K558" s="118" t="str">
        <f>IF(J558="","",2000+SUM(J$5:J558))</f>
        <v/>
      </c>
      <c r="L558" s="119" t="str">
        <f>IF(OR($I558="Ganada",$I558="Perdida",$I558="Medio Ganada",$I558="Medio Perdida"),IF($G558=0,"",J558/$G558),"")</f>
        <v/>
      </c>
      <c r="M558" s="120" t="str">
        <f>IF(OR($A558="",$B558=""),"",COUNTIFS($A$5:A558,A558,$B$5:B558,B558))</f>
        <v/>
      </c>
      <c r="N558" s="120" t="str">
        <f>IF($A558="","",COUNTA($A$5:$A558))</f>
        <v/>
      </c>
      <c r="O558" s="120" t="str">
        <f>IF($A558="","",COUNTA($A$5:$A558))</f>
        <v/>
      </c>
      <c r="P558" s="118" t="str">
        <f>IF($K558="","",MAX($K$5:K558))</f>
        <v/>
      </c>
      <c r="Q558" s="117" t="str">
        <f>IF($K558="","",K558-P558)</f>
        <v/>
      </c>
      <c r="R558" s="2"/>
      <c r="S558" s="2" t="str">
        <f>IF(OR($A558="",$F558=""),"",IF($I558="Pendiente","",ROUND($G558*($F558*0.609-1),2)))</f>
        <v/>
      </c>
      <c r="T558" s="2" t="str">
        <f>IF($A558="","",IFERROR(SUM($S$5:S558),0))</f>
        <v/>
      </c>
    </row>
    <row r="559" spans="1:20" ht="15" customHeight="1">
      <c r="A559" s="110"/>
      <c r="B559" s="113"/>
      <c r="C559" s="177"/>
      <c r="D559" s="113"/>
      <c r="F559" s="115"/>
      <c r="G559" s="116"/>
      <c r="H559" s="120"/>
      <c r="I559" s="120"/>
      <c r="J559" s="117" t="str">
        <f>IF($A559="","",IF($I559="Ganada",ROUND($G559*($F559-1),2),IF($I559="Medio Ganada",ROUND($G559/2*($F559-1),2),IF($I559="Perdida",IF($H559="Free Bet",0,-$G559),IF($I559="Medio Perdida",IF($H559="Free Bet",0,-$G559/2),IF($I559="Reembolso",IF($R559="","",ROUND($R559-$G559,2)),IF($I559="Anulada",0,"")))))))</f>
        <v/>
      </c>
      <c r="K559" s="118" t="str">
        <f>IF(J559="","",2000+SUM(J$5:J559))</f>
        <v/>
      </c>
      <c r="L559" s="119" t="str">
        <f>IF(OR($I559="Ganada",$I559="Perdida",$I559="Medio Ganada",$I559="Medio Perdida"),IF($G559=0,"",J559/$G559),"")</f>
        <v/>
      </c>
      <c r="M559" s="120" t="str">
        <f>IF(OR($A559="",$B559=""),"",COUNTIFS($A$5:A559,A559,$B$5:B559,B559))</f>
        <v/>
      </c>
      <c r="N559" s="120" t="str">
        <f>IF($A559="","",COUNTA($A$5:$A559))</f>
        <v/>
      </c>
      <c r="O559" s="120" t="str">
        <f>IF($A559="","",COUNTA($A$5:$A559))</f>
        <v/>
      </c>
      <c r="P559" s="118" t="str">
        <f>IF($K559="","",MAX($K$5:K559))</f>
        <v/>
      </c>
      <c r="Q559" s="117" t="str">
        <f>IF($K559="","",K559-P559)</f>
        <v/>
      </c>
      <c r="R559" s="2"/>
      <c r="S559" s="2" t="str">
        <f>IF(OR($A559="",$F559=""),"",IF($I559="Pendiente","",ROUND($G559*($F559*0.609-1),2)))</f>
        <v/>
      </c>
      <c r="T559" s="2" t="str">
        <f>IF($A559="","",IFERROR(SUM($S$5:S559),0))</f>
        <v/>
      </c>
    </row>
    <row r="560" spans="1:20" ht="15" customHeight="1">
      <c r="A560" s="110"/>
      <c r="B560" s="113"/>
      <c r="C560" s="177"/>
      <c r="D560" s="113"/>
      <c r="F560" s="115"/>
      <c r="G560" s="116"/>
      <c r="H560" s="120"/>
      <c r="I560" s="120"/>
      <c r="J560" s="117" t="str">
        <f>IF($A560="","",IF($I560="Ganada",ROUND($G560*($F560-1),2),IF($I560="Medio Ganada",ROUND($G560/2*($F560-1),2),IF($I560="Perdida",IF($H560="Free Bet",0,-$G560),IF($I560="Medio Perdida",IF($H560="Free Bet",0,-$G560/2),IF($I560="Reembolso",IF($R560="","",ROUND($R560-$G560,2)),IF($I560="Anulada",0,"")))))))</f>
        <v/>
      </c>
      <c r="K560" s="118" t="str">
        <f>IF(J560="","",2000+SUM(J$5:J560))</f>
        <v/>
      </c>
      <c r="L560" s="119" t="str">
        <f>IF(OR($I560="Ganada",$I560="Perdida",$I560="Medio Ganada",$I560="Medio Perdida"),IF($G560=0,"",J560/$G560),"")</f>
        <v/>
      </c>
      <c r="M560" s="120" t="str">
        <f>IF(OR($A560="",$B560=""),"",COUNTIFS($A$5:A560,A560,$B$5:B560,B560))</f>
        <v/>
      </c>
      <c r="N560" s="120" t="str">
        <f>IF($A560="","",COUNTA($A$5:$A560))</f>
        <v/>
      </c>
      <c r="O560" s="120" t="str">
        <f>IF($A560="","",COUNTA($A$5:$A560))</f>
        <v/>
      </c>
      <c r="P560" s="118" t="str">
        <f>IF($K560="","",MAX($K$5:K560))</f>
        <v/>
      </c>
      <c r="Q560" s="117" t="str">
        <f>IF($K560="","",K560-P560)</f>
        <v/>
      </c>
      <c r="R560" s="2"/>
      <c r="S560" s="2" t="str">
        <f>IF(OR($A560="",$F560=""),"",IF($I560="Pendiente","",ROUND($G560*($F560*0.609-1),2)))</f>
        <v/>
      </c>
      <c r="T560" s="2" t="str">
        <f>IF($A560="","",IFERROR(SUM($S$5:S560),0))</f>
        <v/>
      </c>
    </row>
    <row r="561" spans="1:20" ht="15" customHeight="1">
      <c r="A561" s="110"/>
      <c r="B561" s="113"/>
      <c r="C561" s="177"/>
      <c r="D561" s="113"/>
      <c r="F561" s="115"/>
      <c r="G561" s="116"/>
      <c r="H561" s="120"/>
      <c r="I561" s="120"/>
      <c r="J561" s="117" t="str">
        <f>IF($A561="","",IF($I561="Ganada",ROUND($G561*($F561-1),2),IF($I561="Medio Ganada",ROUND($G561/2*($F561-1),2),IF($I561="Perdida",IF($H561="Free Bet",0,-$G561),IF($I561="Medio Perdida",IF($H561="Free Bet",0,-$G561/2),IF($I561="Reembolso",IF($R561="","",ROUND($R561-$G561,2)),IF($I561="Anulada",0,"")))))))</f>
        <v/>
      </c>
      <c r="K561" s="118" t="str">
        <f>IF(J561="","",2000+SUM(J$5:J561))</f>
        <v/>
      </c>
      <c r="L561" s="119" t="str">
        <f>IF(OR($I561="Ganada",$I561="Perdida",$I561="Medio Ganada",$I561="Medio Perdida"),IF($G561=0,"",J561/$G561),"")</f>
        <v/>
      </c>
      <c r="M561" s="120" t="str">
        <f>IF(OR($A561="",$B561=""),"",COUNTIFS($A$5:A561,A561,$B$5:B561,B561))</f>
        <v/>
      </c>
      <c r="N561" s="120" t="str">
        <f>IF($A561="","",COUNTA($A$5:$A561))</f>
        <v/>
      </c>
      <c r="O561" s="120" t="str">
        <f>IF($A561="","",COUNTA($A$5:$A561))</f>
        <v/>
      </c>
      <c r="P561" s="118" t="str">
        <f>IF($K561="","",MAX($K$5:K561))</f>
        <v/>
      </c>
      <c r="Q561" s="117" t="str">
        <f>IF($K561="","",K561-P561)</f>
        <v/>
      </c>
      <c r="R561" s="2"/>
      <c r="S561" s="2" t="str">
        <f>IF(OR($A561="",$F561=""),"",IF($I561="Pendiente","",ROUND($G561*($F561*0.609-1),2)))</f>
        <v/>
      </c>
      <c r="T561" s="2" t="str">
        <f>IF($A561="","",IFERROR(SUM($S$5:S561),0))</f>
        <v/>
      </c>
    </row>
    <row r="562" spans="1:20" ht="15" customHeight="1">
      <c r="A562" s="110"/>
      <c r="B562" s="113"/>
      <c r="C562" s="177"/>
      <c r="D562" s="113"/>
      <c r="F562" s="115"/>
      <c r="G562" s="116"/>
      <c r="H562" s="120"/>
      <c r="I562" s="120"/>
      <c r="J562" s="117" t="str">
        <f>IF($A562="","",IF($I562="Ganada",ROUND($G562*($F562-1),2),IF($I562="Medio Ganada",ROUND($G562/2*($F562-1),2),IF($I562="Perdida",IF($H562="Free Bet",0,-$G562),IF($I562="Medio Perdida",IF($H562="Free Bet",0,-$G562/2),IF($I562="Reembolso",IF($R562="","",ROUND($R562-$G562,2)),IF($I562="Anulada",0,"")))))))</f>
        <v/>
      </c>
      <c r="K562" s="118" t="str">
        <f>IF(J562="","",2000+SUM(J$5:J562))</f>
        <v/>
      </c>
      <c r="L562" s="119" t="str">
        <f>IF(OR($I562="Ganada",$I562="Perdida",$I562="Medio Ganada",$I562="Medio Perdida"),IF($G562=0,"",J562/$G562),"")</f>
        <v/>
      </c>
      <c r="M562" s="120" t="str">
        <f>IF(OR($A562="",$B562=""),"",COUNTIFS($A$5:A562,A562,$B$5:B562,B562))</f>
        <v/>
      </c>
      <c r="N562" s="120" t="str">
        <f>IF($A562="","",COUNTA($A$5:$A562))</f>
        <v/>
      </c>
      <c r="O562" s="120" t="str">
        <f>IF($A562="","",COUNTA($A$5:$A562))</f>
        <v/>
      </c>
      <c r="P562" s="118" t="str">
        <f>IF($K562="","",MAX($K$5:K562))</f>
        <v/>
      </c>
      <c r="Q562" s="117" t="str">
        <f>IF($K562="","",K562-P562)</f>
        <v/>
      </c>
      <c r="R562" s="2"/>
      <c r="S562" s="2" t="str">
        <f>IF(OR($A562="",$F562=""),"",IF($I562="Pendiente","",ROUND($G562*($F562*0.609-1),2)))</f>
        <v/>
      </c>
      <c r="T562" s="2" t="str">
        <f>IF($A562="","",IFERROR(SUM($S$5:S562),0))</f>
        <v/>
      </c>
    </row>
    <row r="563" spans="1:20" ht="15" customHeight="1">
      <c r="A563" s="110"/>
      <c r="B563" s="113"/>
      <c r="C563" s="177"/>
      <c r="D563" s="113"/>
      <c r="F563" s="115"/>
      <c r="G563" s="116"/>
      <c r="H563" s="120"/>
      <c r="I563" s="120"/>
      <c r="J563" s="117" t="str">
        <f>IF($A563="","",IF($I563="Ganada",ROUND($G563*($F563-1),2),IF($I563="Medio Ganada",ROUND($G563/2*($F563-1),2),IF($I563="Perdida",IF($H563="Free Bet",0,-$G563),IF($I563="Medio Perdida",IF($H563="Free Bet",0,-$G563/2),IF($I563="Reembolso",IF($R563="","",ROUND($R563-$G563,2)),IF($I563="Anulada",0,"")))))))</f>
        <v/>
      </c>
      <c r="K563" s="118" t="str">
        <f>IF(J563="","",2000+SUM(J$5:J563))</f>
        <v/>
      </c>
      <c r="L563" s="119" t="str">
        <f>IF(OR($I563="Ganada",$I563="Perdida",$I563="Medio Ganada",$I563="Medio Perdida"),IF($G563=0,"",J563/$G563),"")</f>
        <v/>
      </c>
      <c r="M563" s="120" t="str">
        <f>IF(OR($A563="",$B563=""),"",COUNTIFS($A$5:A563,A563,$B$5:B563,B563))</f>
        <v/>
      </c>
      <c r="N563" s="120" t="str">
        <f>IF($A563="","",COUNTA($A$5:$A563))</f>
        <v/>
      </c>
      <c r="O563" s="120" t="str">
        <f>IF($A563="","",COUNTA($A$5:$A563))</f>
        <v/>
      </c>
      <c r="P563" s="118" t="str">
        <f>IF($K563="","",MAX($K$5:K563))</f>
        <v/>
      </c>
      <c r="Q563" s="117" t="str">
        <f>IF($K563="","",K563-P563)</f>
        <v/>
      </c>
      <c r="R563" s="2"/>
      <c r="S563" s="2" t="str">
        <f>IF(OR($A563="",$F563=""),"",IF($I563="Pendiente","",ROUND($G563*($F563*0.609-1),2)))</f>
        <v/>
      </c>
      <c r="T563" s="2" t="str">
        <f>IF($A563="","",IFERROR(SUM($S$5:S563),0))</f>
        <v/>
      </c>
    </row>
    <row r="564" spans="1:20" ht="15" customHeight="1">
      <c r="A564" s="110"/>
      <c r="B564" s="113"/>
      <c r="C564" s="177"/>
      <c r="D564" s="113"/>
      <c r="F564" s="115"/>
      <c r="G564" s="116"/>
      <c r="H564" s="120"/>
      <c r="I564" s="120"/>
      <c r="J564" s="117" t="str">
        <f>IF($A564="","",IF($I564="Ganada",ROUND($G564*($F564-1),2),IF($I564="Medio Ganada",ROUND($G564/2*($F564-1),2),IF($I564="Perdida",IF($H564="Free Bet",0,-$G564),IF($I564="Medio Perdida",IF($H564="Free Bet",0,-$G564/2),IF($I564="Reembolso",IF($R564="","",ROUND($R564-$G564,2)),IF($I564="Anulada",0,"")))))))</f>
        <v/>
      </c>
      <c r="K564" s="118" t="str">
        <f>IF(J564="","",2000+SUM(J$5:J564))</f>
        <v/>
      </c>
      <c r="L564" s="119" t="str">
        <f>IF(OR($I564="Ganada",$I564="Perdida",$I564="Medio Ganada",$I564="Medio Perdida"),IF($G564=0,"",J564/$G564),"")</f>
        <v/>
      </c>
      <c r="M564" s="120" t="str">
        <f>IF(OR($A564="",$B564=""),"",COUNTIFS($A$5:A564,A564,$B$5:B564,B564))</f>
        <v/>
      </c>
      <c r="N564" s="120" t="str">
        <f>IF($A564="","",COUNTA($A$5:$A564))</f>
        <v/>
      </c>
      <c r="O564" s="120" t="str">
        <f>IF($A564="","",COUNTA($A$5:$A564))</f>
        <v/>
      </c>
      <c r="P564" s="118" t="str">
        <f>IF($K564="","",MAX($K$5:K564))</f>
        <v/>
      </c>
      <c r="Q564" s="117" t="str">
        <f>IF($K564="","",K564-P564)</f>
        <v/>
      </c>
      <c r="R564" s="2"/>
      <c r="S564" s="2" t="str">
        <f>IF(OR($A564="",$F564=""),"",IF($I564="Pendiente","",ROUND($G564*($F564*0.609-1),2)))</f>
        <v/>
      </c>
      <c r="T564" s="2" t="str">
        <f>IF($A564="","",IFERROR(SUM($S$5:S564),0))</f>
        <v/>
      </c>
    </row>
    <row r="565" spans="1:20" ht="15" customHeight="1">
      <c r="A565" s="110"/>
      <c r="B565" s="113"/>
      <c r="C565" s="177"/>
      <c r="D565" s="113"/>
      <c r="F565" s="115"/>
      <c r="G565" s="116"/>
      <c r="H565" s="120"/>
      <c r="I565" s="120"/>
      <c r="J565" s="117" t="str">
        <f>IF($A565="","",IF($I565="Ganada",ROUND($G565*($F565-1),2),IF($I565="Medio Ganada",ROUND($G565/2*($F565-1),2),IF($I565="Perdida",IF($H565="Free Bet",0,-$G565),IF($I565="Medio Perdida",IF($H565="Free Bet",0,-$G565/2),IF($I565="Reembolso",IF($R565="","",ROUND($R565-$G565,2)),IF($I565="Anulada",0,"")))))))</f>
        <v/>
      </c>
      <c r="K565" s="118" t="str">
        <f>IF(J565="","",2000+SUM(J$5:J565))</f>
        <v/>
      </c>
      <c r="L565" s="119" t="str">
        <f>IF(OR($I565="Ganada",$I565="Perdida",$I565="Medio Ganada",$I565="Medio Perdida"),IF($G565=0,"",J565/$G565),"")</f>
        <v/>
      </c>
      <c r="M565" s="120" t="str">
        <f>IF(OR($A565="",$B565=""),"",COUNTIFS($A$5:A565,A565,$B$5:B565,B565))</f>
        <v/>
      </c>
      <c r="N565" s="120" t="str">
        <f>IF($A565="","",COUNTA($A$5:$A565))</f>
        <v/>
      </c>
      <c r="O565" s="120" t="str">
        <f>IF($A565="","",COUNTA($A$5:$A565))</f>
        <v/>
      </c>
      <c r="P565" s="118" t="str">
        <f>IF($K565="","",MAX($K$5:K565))</f>
        <v/>
      </c>
      <c r="Q565" s="117" t="str">
        <f>IF($K565="","",K565-P565)</f>
        <v/>
      </c>
      <c r="R565" s="2"/>
      <c r="S565" s="2" t="str">
        <f>IF(OR($A565="",$F565=""),"",IF($I565="Pendiente","",ROUND($G565*($F565*0.609-1),2)))</f>
        <v/>
      </c>
      <c r="T565" s="2" t="str">
        <f>IF($A565="","",IFERROR(SUM($S$5:S565),0))</f>
        <v/>
      </c>
    </row>
    <row r="566" spans="1:20" ht="15" customHeight="1">
      <c r="A566" s="110"/>
      <c r="B566" s="113"/>
      <c r="C566" s="177"/>
      <c r="D566" s="113"/>
      <c r="F566" s="115"/>
      <c r="G566" s="116"/>
      <c r="H566" s="120"/>
      <c r="I566" s="120"/>
      <c r="J566" s="117" t="str">
        <f>IF($A566="","",IF($I566="Ganada",ROUND($G566*($F566-1),2),IF($I566="Medio Ganada",ROUND($G566/2*($F566-1),2),IF($I566="Perdida",IF($H566="Free Bet",0,-$G566),IF($I566="Medio Perdida",IF($H566="Free Bet",0,-$G566/2),IF($I566="Reembolso",IF($R566="","",ROUND($R566-$G566,2)),IF($I566="Anulada",0,"")))))))</f>
        <v/>
      </c>
      <c r="K566" s="118" t="str">
        <f>IF(J566="","",2000+SUM(J$5:J566))</f>
        <v/>
      </c>
      <c r="L566" s="119" t="str">
        <f>IF(OR($I566="Ganada",$I566="Perdida",$I566="Medio Ganada",$I566="Medio Perdida"),IF($G566=0,"",J566/$G566),"")</f>
        <v/>
      </c>
      <c r="M566" s="120" t="str">
        <f>IF(OR($A566="",$B566=""),"",COUNTIFS($A$5:A566,A566,$B$5:B566,B566))</f>
        <v/>
      </c>
      <c r="N566" s="120" t="str">
        <f>IF($A566="","",COUNTA($A$5:$A566))</f>
        <v/>
      </c>
      <c r="O566" s="120" t="str">
        <f>IF($A566="","",COUNTA($A$5:$A566))</f>
        <v/>
      </c>
      <c r="P566" s="118" t="str">
        <f>IF($K566="","",MAX($K$5:K566))</f>
        <v/>
      </c>
      <c r="Q566" s="117" t="str">
        <f>IF($K566="","",K566-P566)</f>
        <v/>
      </c>
      <c r="R566" s="2"/>
      <c r="S566" s="2" t="str">
        <f>IF(OR($A566="",$F566=""),"",IF($I566="Pendiente","",ROUND($G566*($F566*0.609-1),2)))</f>
        <v/>
      </c>
      <c r="T566" s="2" t="str">
        <f>IF($A566="","",IFERROR(SUM($S$5:S566),0))</f>
        <v/>
      </c>
    </row>
    <row r="567" spans="1:20" ht="15" customHeight="1">
      <c r="A567" s="110"/>
      <c r="B567" s="113"/>
      <c r="C567" s="177"/>
      <c r="D567" s="113"/>
      <c r="F567" s="115"/>
      <c r="G567" s="116"/>
      <c r="H567" s="120"/>
      <c r="I567" s="120"/>
      <c r="J567" s="117" t="str">
        <f>IF($A567="","",IF($I567="Ganada",ROUND($G567*($F567-1),2),IF($I567="Medio Ganada",ROUND($G567/2*($F567-1),2),IF($I567="Perdida",IF($H567="Free Bet",0,-$G567),IF($I567="Medio Perdida",IF($H567="Free Bet",0,-$G567/2),IF($I567="Reembolso",IF($R567="","",ROUND($R567-$G567,2)),IF($I567="Anulada",0,"")))))))</f>
        <v/>
      </c>
      <c r="K567" s="118" t="str">
        <f>IF(J567="","",2000+SUM(J$5:J567))</f>
        <v/>
      </c>
      <c r="L567" s="119" t="str">
        <f>IF(OR($I567="Ganada",$I567="Perdida",$I567="Medio Ganada",$I567="Medio Perdida"),IF($G567=0,"",J567/$G567),"")</f>
        <v/>
      </c>
      <c r="M567" s="120" t="str">
        <f>IF(OR($A567="",$B567=""),"",COUNTIFS($A$5:A567,A567,$B$5:B567,B567))</f>
        <v/>
      </c>
      <c r="N567" s="120" t="str">
        <f>IF($A567="","",COUNTA($A$5:$A567))</f>
        <v/>
      </c>
      <c r="O567" s="120" t="str">
        <f>IF($A567="","",COUNTA($A$5:$A567))</f>
        <v/>
      </c>
      <c r="P567" s="118" t="str">
        <f>IF($K567="","",MAX($K$5:K567))</f>
        <v/>
      </c>
      <c r="Q567" s="117" t="str">
        <f>IF($K567="","",K567-P567)</f>
        <v/>
      </c>
      <c r="R567" s="2"/>
      <c r="S567" s="2" t="str">
        <f>IF(OR($A567="",$F567=""),"",IF($I567="Pendiente","",ROUND($G567*($F567*0.609-1),2)))</f>
        <v/>
      </c>
      <c r="T567" s="2" t="str">
        <f>IF($A567="","",IFERROR(SUM($S$5:S567),0))</f>
        <v/>
      </c>
    </row>
    <row r="568" spans="1:20" ht="15" customHeight="1">
      <c r="A568" s="110"/>
      <c r="B568" s="113"/>
      <c r="C568" s="177"/>
      <c r="D568" s="113"/>
      <c r="F568" s="115"/>
      <c r="G568" s="116"/>
      <c r="H568" s="120"/>
      <c r="I568" s="120"/>
      <c r="J568" s="117" t="str">
        <f>IF($A568="","",IF($I568="Ganada",ROUND($G568*($F568-1),2),IF($I568="Medio Ganada",ROUND($G568/2*($F568-1),2),IF($I568="Perdida",IF($H568="Free Bet",0,-$G568),IF($I568="Medio Perdida",IF($H568="Free Bet",0,-$G568/2),IF($I568="Reembolso",IF($R568="","",ROUND($R568-$G568,2)),IF($I568="Anulada",0,"")))))))</f>
        <v/>
      </c>
      <c r="K568" s="118" t="str">
        <f>IF(J568="","",2000+SUM(J$5:J568))</f>
        <v/>
      </c>
      <c r="L568" s="119" t="str">
        <f>IF(OR($I568="Ganada",$I568="Perdida",$I568="Medio Ganada",$I568="Medio Perdida"),IF($G568=0,"",J568/$G568),"")</f>
        <v/>
      </c>
      <c r="M568" s="120" t="str">
        <f>IF(OR($A568="",$B568=""),"",COUNTIFS($A$5:A568,A568,$B$5:B568,B568))</f>
        <v/>
      </c>
      <c r="N568" s="120" t="str">
        <f>IF($A568="","",COUNTA($A$5:$A568))</f>
        <v/>
      </c>
      <c r="O568" s="120" t="str">
        <f>IF($A568="","",COUNTA($A$5:$A568))</f>
        <v/>
      </c>
      <c r="P568" s="118" t="str">
        <f>IF($K568="","",MAX($K$5:K568))</f>
        <v/>
      </c>
      <c r="Q568" s="117" t="str">
        <f>IF($K568="","",K568-P568)</f>
        <v/>
      </c>
      <c r="R568" s="2"/>
      <c r="S568" s="2" t="str">
        <f>IF(OR($A568="",$F568=""),"",IF($I568="Pendiente","",ROUND($G568*($F568*0.609-1),2)))</f>
        <v/>
      </c>
      <c r="T568" s="2" t="str">
        <f>IF($A568="","",IFERROR(SUM($S$5:S568),0))</f>
        <v/>
      </c>
    </row>
    <row r="569" spans="1:20" ht="15" customHeight="1">
      <c r="A569" s="110"/>
      <c r="B569" s="113"/>
      <c r="C569" s="177"/>
      <c r="D569" s="113"/>
      <c r="F569" s="115"/>
      <c r="G569" s="116"/>
      <c r="H569" s="120"/>
      <c r="I569" s="120"/>
      <c r="J569" s="117" t="str">
        <f>IF($A569="","",IF($I569="Ganada",ROUND($G569*($F569-1),2),IF($I569="Medio Ganada",ROUND($G569/2*($F569-1),2),IF($I569="Perdida",IF($H569="Free Bet",0,-$G569),IF($I569="Medio Perdida",IF($H569="Free Bet",0,-$G569/2),IF($I569="Reembolso",IF($R569="","",ROUND($R569-$G569,2)),IF($I569="Anulada",0,"")))))))</f>
        <v/>
      </c>
      <c r="K569" s="118" t="str">
        <f>IF(J569="","",2000+SUM(J$5:J569))</f>
        <v/>
      </c>
      <c r="L569" s="119" t="str">
        <f>IF(OR($I569="Ganada",$I569="Perdida",$I569="Medio Ganada",$I569="Medio Perdida"),IF($G569=0,"",J569/$G569),"")</f>
        <v/>
      </c>
      <c r="M569" s="120" t="str">
        <f>IF(OR($A569="",$B569=""),"",COUNTIFS($A$5:A569,A569,$B$5:B569,B569))</f>
        <v/>
      </c>
      <c r="N569" s="120" t="str">
        <f>IF($A569="","",COUNTA($A$5:$A569))</f>
        <v/>
      </c>
      <c r="O569" s="120" t="str">
        <f>IF($A569="","",COUNTA($A$5:$A569))</f>
        <v/>
      </c>
      <c r="P569" s="118" t="str">
        <f>IF($K569="","",MAX($K$5:K569))</f>
        <v/>
      </c>
      <c r="Q569" s="117" t="str">
        <f>IF($K569="","",K569-P569)</f>
        <v/>
      </c>
      <c r="R569" s="2"/>
      <c r="S569" s="2" t="str">
        <f>IF(OR($A569="",$F569=""),"",IF($I569="Pendiente","",ROUND($G569*($F569*0.609-1),2)))</f>
        <v/>
      </c>
      <c r="T569" s="2" t="str">
        <f>IF($A569="","",IFERROR(SUM($S$5:S569),0))</f>
        <v/>
      </c>
    </row>
    <row r="570" spans="1:20" ht="15" customHeight="1">
      <c r="A570" s="110"/>
      <c r="B570" s="113"/>
      <c r="C570" s="177"/>
      <c r="D570" s="113"/>
      <c r="F570" s="115"/>
      <c r="G570" s="116"/>
      <c r="H570" s="120"/>
      <c r="I570" s="120"/>
      <c r="J570" s="117" t="str">
        <f>IF($A570="","",IF($I570="Ganada",ROUND($G570*($F570-1),2),IF($I570="Medio Ganada",ROUND($G570/2*($F570-1),2),IF($I570="Perdida",IF($H570="Free Bet",0,-$G570),IF($I570="Medio Perdida",IF($H570="Free Bet",0,-$G570/2),IF($I570="Reembolso",IF($R570="","",ROUND($R570-$G570,2)),IF($I570="Anulada",0,"")))))))</f>
        <v/>
      </c>
      <c r="K570" s="118" t="str">
        <f>IF(J570="","",2000+SUM(J$5:J570))</f>
        <v/>
      </c>
      <c r="L570" s="119" t="str">
        <f>IF(OR($I570="Ganada",$I570="Perdida",$I570="Medio Ganada",$I570="Medio Perdida"),IF($G570=0,"",J570/$G570),"")</f>
        <v/>
      </c>
      <c r="M570" s="120" t="str">
        <f>IF(OR($A570="",$B570=""),"",COUNTIFS($A$5:A570,A570,$B$5:B570,B570))</f>
        <v/>
      </c>
      <c r="N570" s="120" t="str">
        <f>IF($A570="","",COUNTA($A$5:$A570))</f>
        <v/>
      </c>
      <c r="O570" s="120" t="str">
        <f>IF($A570="","",COUNTA($A$5:$A570))</f>
        <v/>
      </c>
      <c r="P570" s="118" t="str">
        <f>IF($K570="","",MAX($K$5:K570))</f>
        <v/>
      </c>
      <c r="Q570" s="117" t="str">
        <f>IF($K570="","",K570-P570)</f>
        <v/>
      </c>
      <c r="R570" s="2"/>
      <c r="S570" s="2" t="str">
        <f>IF(OR($A570="",$F570=""),"",IF($I570="Pendiente","",ROUND($G570*($F570*0.609-1),2)))</f>
        <v/>
      </c>
      <c r="T570" s="2" t="str">
        <f>IF($A570="","",IFERROR(SUM($S$5:S570),0))</f>
        <v/>
      </c>
    </row>
    <row r="571" spans="1:20" ht="15" customHeight="1">
      <c r="A571" s="110"/>
      <c r="B571" s="113"/>
      <c r="C571" s="177"/>
      <c r="D571" s="113"/>
      <c r="F571" s="115"/>
      <c r="G571" s="116"/>
      <c r="H571" s="120"/>
      <c r="I571" s="120"/>
      <c r="J571" s="117" t="str">
        <f>IF($A571="","",IF($I571="Ganada",ROUND($G571*($F571-1),2),IF($I571="Medio Ganada",ROUND($G571/2*($F571-1),2),IF($I571="Perdida",IF($H571="Free Bet",0,-$G571),IF($I571="Medio Perdida",IF($H571="Free Bet",0,-$G571/2),IF($I571="Reembolso",IF($R571="","",ROUND($R571-$G571,2)),IF($I571="Anulada",0,"")))))))</f>
        <v/>
      </c>
      <c r="K571" s="118" t="str">
        <f>IF(J571="","",2000+SUM(J$5:J571))</f>
        <v/>
      </c>
      <c r="L571" s="119" t="str">
        <f>IF(OR($I571="Ganada",$I571="Perdida",$I571="Medio Ganada",$I571="Medio Perdida"),IF($G571=0,"",J571/$G571),"")</f>
        <v/>
      </c>
      <c r="M571" s="120" t="str">
        <f>IF(OR($A571="",$B571=""),"",COUNTIFS($A$5:A571,A571,$B$5:B571,B571))</f>
        <v/>
      </c>
      <c r="N571" s="120" t="str">
        <f>IF($A571="","",COUNTA($A$5:$A571))</f>
        <v/>
      </c>
      <c r="O571" s="120" t="str">
        <f>IF($A571="","",COUNTA($A$5:$A571))</f>
        <v/>
      </c>
      <c r="P571" s="118" t="str">
        <f>IF($K571="","",MAX($K$5:K571))</f>
        <v/>
      </c>
      <c r="Q571" s="117" t="str">
        <f>IF($K571="","",K571-P571)</f>
        <v/>
      </c>
      <c r="R571" s="2"/>
      <c r="S571" s="2" t="str">
        <f>IF(OR($A571="",$F571=""),"",IF($I571="Pendiente","",ROUND($G571*($F571*0.609-1),2)))</f>
        <v/>
      </c>
      <c r="T571" s="2" t="str">
        <f>IF($A571="","",IFERROR(SUM($S$5:S571),0))</f>
        <v/>
      </c>
    </row>
    <row r="572" spans="1:20" ht="15" customHeight="1">
      <c r="A572" s="110"/>
      <c r="B572" s="113"/>
      <c r="C572" s="177"/>
      <c r="D572" s="113"/>
      <c r="F572" s="115"/>
      <c r="G572" s="116"/>
      <c r="H572" s="120"/>
      <c r="I572" s="120"/>
      <c r="J572" s="117" t="str">
        <f>IF($A572="","",IF($I572="Ganada",ROUND($G572*($F572-1),2),IF($I572="Medio Ganada",ROUND($G572/2*($F572-1),2),IF($I572="Perdida",IF($H572="Free Bet",0,-$G572),IF($I572="Medio Perdida",IF($H572="Free Bet",0,-$G572/2),IF($I572="Reembolso",IF($R572="","",ROUND($R572-$G572,2)),IF($I572="Anulada",0,"")))))))</f>
        <v/>
      </c>
      <c r="K572" s="118" t="str">
        <f>IF(J572="","",2000+SUM(J$5:J572))</f>
        <v/>
      </c>
      <c r="L572" s="119" t="str">
        <f>IF(OR($I572="Ganada",$I572="Perdida",$I572="Medio Ganada",$I572="Medio Perdida"),IF($G572=0,"",J572/$G572),"")</f>
        <v/>
      </c>
      <c r="M572" s="120" t="str">
        <f>IF(OR($A572="",$B572=""),"",COUNTIFS($A$5:A572,A572,$B$5:B572,B572))</f>
        <v/>
      </c>
      <c r="N572" s="120" t="str">
        <f>IF($A572="","",COUNTA($A$5:$A572))</f>
        <v/>
      </c>
      <c r="O572" s="120" t="str">
        <f>IF($A572="","",COUNTA($A$5:$A572))</f>
        <v/>
      </c>
      <c r="P572" s="118" t="str">
        <f>IF($K572="","",MAX($K$5:K572))</f>
        <v/>
      </c>
      <c r="Q572" s="117" t="str">
        <f>IF($K572="","",K572-P572)</f>
        <v/>
      </c>
      <c r="R572" s="2"/>
      <c r="S572" s="2" t="str">
        <f>IF(OR($A572="",$F572=""),"",IF($I572="Pendiente","",ROUND($G572*($F572*0.609-1),2)))</f>
        <v/>
      </c>
      <c r="T572" s="2" t="str">
        <f>IF($A572="","",IFERROR(SUM($S$5:S572),0))</f>
        <v/>
      </c>
    </row>
    <row r="573" spans="1:20" ht="15" customHeight="1">
      <c r="A573" s="110"/>
      <c r="B573" s="113"/>
      <c r="C573" s="177"/>
      <c r="D573" s="113"/>
      <c r="F573" s="115"/>
      <c r="G573" s="116"/>
      <c r="H573" s="120"/>
      <c r="I573" s="120"/>
      <c r="J573" s="117" t="str">
        <f>IF($A573="","",IF($I573="Ganada",ROUND($G573*($F573-1),2),IF($I573="Medio Ganada",ROUND($G573/2*($F573-1),2),IF($I573="Perdida",IF($H573="Free Bet",0,-$G573),IF($I573="Medio Perdida",IF($H573="Free Bet",0,-$G573/2),IF($I573="Reembolso",IF($R573="","",ROUND($R573-$G573,2)),IF($I573="Anulada",0,"")))))))</f>
        <v/>
      </c>
      <c r="K573" s="118" t="str">
        <f>IF(J573="","",2000+SUM(J$5:J573))</f>
        <v/>
      </c>
      <c r="L573" s="119" t="str">
        <f>IF(OR($I573="Ganada",$I573="Perdida",$I573="Medio Ganada",$I573="Medio Perdida"),IF($G573=0,"",J573/$G573),"")</f>
        <v/>
      </c>
      <c r="M573" s="120" t="str">
        <f>IF(OR($A573="",$B573=""),"",COUNTIFS($A$5:A573,A573,$B$5:B573,B573))</f>
        <v/>
      </c>
      <c r="N573" s="120" t="str">
        <f>IF($A573="","",COUNTA($A$5:$A573))</f>
        <v/>
      </c>
      <c r="O573" s="120" t="str">
        <f>IF($A573="","",COUNTA($A$5:$A573))</f>
        <v/>
      </c>
      <c r="P573" s="118" t="str">
        <f>IF($K573="","",MAX($K$5:K573))</f>
        <v/>
      </c>
      <c r="Q573" s="117" t="str">
        <f>IF($K573="","",K573-P573)</f>
        <v/>
      </c>
      <c r="R573" s="2"/>
      <c r="S573" s="2" t="str">
        <f>IF(OR($A573="",$F573=""),"",IF($I573="Pendiente","",ROUND($G573*($F573*0.609-1),2)))</f>
        <v/>
      </c>
      <c r="T573" s="2" t="str">
        <f>IF($A573="","",IFERROR(SUM($S$5:S573),0))</f>
        <v/>
      </c>
    </row>
    <row r="574" spans="1:20" ht="15" customHeight="1">
      <c r="A574" s="110"/>
      <c r="B574" s="113"/>
      <c r="C574" s="177"/>
      <c r="D574" s="113"/>
      <c r="F574" s="115"/>
      <c r="G574" s="116"/>
      <c r="H574" s="120"/>
      <c r="I574" s="120"/>
      <c r="J574" s="117" t="str">
        <f>IF($A574="","",IF($I574="Ganada",ROUND($G574*($F574-1),2),IF($I574="Medio Ganada",ROUND($G574/2*($F574-1),2),IF($I574="Perdida",IF($H574="Free Bet",0,-$G574),IF($I574="Medio Perdida",IF($H574="Free Bet",0,-$G574/2),IF($I574="Reembolso",IF($R574="","",ROUND($R574-$G574,2)),IF($I574="Anulada",0,"")))))))</f>
        <v/>
      </c>
      <c r="K574" s="118" t="str">
        <f>IF(J574="","",2000+SUM(J$5:J574))</f>
        <v/>
      </c>
      <c r="L574" s="119" t="str">
        <f>IF(OR($I574="Ganada",$I574="Perdida",$I574="Medio Ganada",$I574="Medio Perdida"),IF($G574=0,"",J574/$G574),"")</f>
        <v/>
      </c>
      <c r="M574" s="120" t="str">
        <f>IF(OR($A574="",$B574=""),"",COUNTIFS($A$5:A574,A574,$B$5:B574,B574))</f>
        <v/>
      </c>
      <c r="N574" s="120" t="str">
        <f>IF($A574="","",COUNTA($A$5:$A574))</f>
        <v/>
      </c>
      <c r="O574" s="120" t="str">
        <f>IF($A574="","",COUNTA($A$5:$A574))</f>
        <v/>
      </c>
      <c r="P574" s="118" t="str">
        <f>IF($K574="","",MAX($K$5:K574))</f>
        <v/>
      </c>
      <c r="Q574" s="117" t="str">
        <f>IF($K574="","",K574-P574)</f>
        <v/>
      </c>
      <c r="R574" s="2"/>
      <c r="S574" s="2" t="str">
        <f>IF(OR($A574="",$F574=""),"",IF($I574="Pendiente","",ROUND($G574*($F574*0.609-1),2)))</f>
        <v/>
      </c>
      <c r="T574" s="2" t="str">
        <f>IF($A574="","",IFERROR(SUM($S$5:S574),0))</f>
        <v/>
      </c>
    </row>
    <row r="575" spans="1:20" ht="15" customHeight="1">
      <c r="A575" s="110"/>
      <c r="B575" s="113"/>
      <c r="C575" s="177"/>
      <c r="D575" s="113"/>
      <c r="F575" s="115"/>
      <c r="G575" s="116"/>
      <c r="H575" s="120"/>
      <c r="I575" s="120"/>
      <c r="J575" s="117" t="str">
        <f>IF($A575="","",IF($I575="Ganada",ROUND($G575*($F575-1),2),IF($I575="Medio Ganada",ROUND($G575/2*($F575-1),2),IF($I575="Perdida",IF($H575="Free Bet",0,-$G575),IF($I575="Medio Perdida",IF($H575="Free Bet",0,-$G575/2),IF($I575="Reembolso",IF($R575="","",ROUND($R575-$G575,2)),IF($I575="Anulada",0,"")))))))</f>
        <v/>
      </c>
      <c r="K575" s="118" t="str">
        <f>IF(J575="","",2000+SUM(J$5:J575))</f>
        <v/>
      </c>
      <c r="L575" s="119" t="str">
        <f>IF(OR($I575="Ganada",$I575="Perdida",$I575="Medio Ganada",$I575="Medio Perdida"),IF($G575=0,"",J575/$G575),"")</f>
        <v/>
      </c>
      <c r="M575" s="120" t="str">
        <f>IF(OR($A575="",$B575=""),"",COUNTIFS($A$5:A575,A575,$B$5:B575,B575))</f>
        <v/>
      </c>
      <c r="N575" s="120" t="str">
        <f>IF($A575="","",COUNTA($A$5:$A575))</f>
        <v/>
      </c>
      <c r="O575" s="120" t="str">
        <f>IF($A575="","",COUNTA($A$5:$A575))</f>
        <v/>
      </c>
      <c r="P575" s="118" t="str">
        <f>IF($K575="","",MAX($K$5:K575))</f>
        <v/>
      </c>
      <c r="Q575" s="117" t="str">
        <f>IF($K575="","",K575-P575)</f>
        <v/>
      </c>
      <c r="R575" s="2"/>
      <c r="S575" s="2" t="str">
        <f>IF(OR($A575="",$F575=""),"",IF($I575="Pendiente","",ROUND($G575*($F575*0.609-1),2)))</f>
        <v/>
      </c>
      <c r="T575" s="2" t="str">
        <f>IF($A575="","",IFERROR(SUM($S$5:S575),0))</f>
        <v/>
      </c>
    </row>
    <row r="576" spans="1:20" ht="15" customHeight="1">
      <c r="A576" s="110"/>
      <c r="B576" s="113"/>
      <c r="C576" s="177"/>
      <c r="D576" s="113"/>
      <c r="F576" s="115"/>
      <c r="G576" s="116"/>
      <c r="H576" s="120"/>
      <c r="I576" s="120"/>
      <c r="J576" s="117" t="str">
        <f>IF($A576="","",IF($I576="Ganada",ROUND($G576*($F576-1),2),IF($I576="Medio Ganada",ROUND($G576/2*($F576-1),2),IF($I576="Perdida",IF($H576="Free Bet",0,-$G576),IF($I576="Medio Perdida",IF($H576="Free Bet",0,-$G576/2),IF($I576="Reembolso",IF($R576="","",ROUND($R576-$G576,2)),IF($I576="Anulada",0,"")))))))</f>
        <v/>
      </c>
      <c r="K576" s="118" t="str">
        <f>IF(J576="","",2000+SUM(J$5:J576))</f>
        <v/>
      </c>
      <c r="L576" s="119" t="str">
        <f>IF(OR($I576="Ganada",$I576="Perdida",$I576="Medio Ganada",$I576="Medio Perdida"),IF($G576=0,"",J576/$G576),"")</f>
        <v/>
      </c>
      <c r="M576" s="120" t="str">
        <f>IF(OR($A576="",$B576=""),"",COUNTIFS($A$5:A576,A576,$B$5:B576,B576))</f>
        <v/>
      </c>
      <c r="N576" s="120" t="str">
        <f>IF($A576="","",COUNTA($A$5:$A576))</f>
        <v/>
      </c>
      <c r="O576" s="120" t="str">
        <f>IF($A576="","",COUNTA($A$5:$A576))</f>
        <v/>
      </c>
      <c r="P576" s="118" t="str">
        <f>IF($K576="","",MAX($K$5:K576))</f>
        <v/>
      </c>
      <c r="Q576" s="117" t="str">
        <f>IF($K576="","",K576-P576)</f>
        <v/>
      </c>
      <c r="R576" s="2"/>
      <c r="S576" s="2" t="str">
        <f>IF(OR($A576="",$F576=""),"",IF($I576="Pendiente","",ROUND($G576*($F576*0.609-1),2)))</f>
        <v/>
      </c>
      <c r="T576" s="2" t="str">
        <f>IF($A576="","",IFERROR(SUM($S$5:S576),0))</f>
        <v/>
      </c>
    </row>
    <row r="577" spans="1:20" ht="15" customHeight="1">
      <c r="A577" s="110"/>
      <c r="B577" s="113"/>
      <c r="C577" s="177"/>
      <c r="D577" s="113"/>
      <c r="F577" s="115"/>
      <c r="G577" s="116"/>
      <c r="H577" s="120"/>
      <c r="I577" s="120"/>
      <c r="J577" s="117" t="str">
        <f>IF($A577="","",IF($I577="Ganada",ROUND($G577*($F577-1),2),IF($I577="Medio Ganada",ROUND($G577/2*($F577-1),2),IF($I577="Perdida",IF($H577="Free Bet",0,-$G577),IF($I577="Medio Perdida",IF($H577="Free Bet",0,-$G577/2),IF($I577="Reembolso",IF($R577="","",ROUND($R577-$G577,2)),IF($I577="Anulada",0,"")))))))</f>
        <v/>
      </c>
      <c r="K577" s="118" t="str">
        <f>IF(J577="","",2000+SUM(J$5:J577))</f>
        <v/>
      </c>
      <c r="L577" s="119" t="str">
        <f>IF(OR($I577="Ganada",$I577="Perdida",$I577="Medio Ganada",$I577="Medio Perdida"),IF($G577=0,"",J577/$G577),"")</f>
        <v/>
      </c>
      <c r="M577" s="120" t="str">
        <f>IF(OR($A577="",$B577=""),"",COUNTIFS($A$5:A577,A577,$B$5:B577,B577))</f>
        <v/>
      </c>
      <c r="N577" s="120" t="str">
        <f>IF($A577="","",COUNTA($A$5:$A577))</f>
        <v/>
      </c>
      <c r="O577" s="120" t="str">
        <f>IF($A577="","",COUNTA($A$5:$A577))</f>
        <v/>
      </c>
      <c r="P577" s="118" t="str">
        <f>IF($K577="","",MAX($K$5:K577))</f>
        <v/>
      </c>
      <c r="Q577" s="117" t="str">
        <f>IF($K577="","",K577-P577)</f>
        <v/>
      </c>
      <c r="R577" s="2"/>
      <c r="S577" s="2" t="str">
        <f>IF(OR($A577="",$F577=""),"",IF($I577="Pendiente","",ROUND($G577*($F577*0.609-1),2)))</f>
        <v/>
      </c>
      <c r="T577" s="2" t="str">
        <f>IF($A577="","",IFERROR(SUM($S$5:S577),0))</f>
        <v/>
      </c>
    </row>
    <row r="578" spans="1:20" ht="15" customHeight="1">
      <c r="A578" s="110"/>
      <c r="B578" s="113"/>
      <c r="C578" s="177"/>
      <c r="D578" s="113"/>
      <c r="F578" s="115"/>
      <c r="G578" s="116"/>
      <c r="H578" s="120"/>
      <c r="I578" s="120"/>
      <c r="J578" s="117" t="str">
        <f>IF($A578="","",IF($I578="Ganada",ROUND($G578*($F578-1),2),IF($I578="Medio Ganada",ROUND($G578/2*($F578-1),2),IF($I578="Perdida",IF($H578="Free Bet",0,-$G578),IF($I578="Medio Perdida",IF($H578="Free Bet",0,-$G578/2),IF($I578="Reembolso",IF($R578="","",ROUND($R578-$G578,2)),IF($I578="Anulada",0,"")))))))</f>
        <v/>
      </c>
      <c r="K578" s="118" t="str">
        <f>IF(J578="","",2000+SUM(J$5:J578))</f>
        <v/>
      </c>
      <c r="L578" s="119" t="str">
        <f>IF(OR($I578="Ganada",$I578="Perdida",$I578="Medio Ganada",$I578="Medio Perdida"),IF($G578=0,"",J578/$G578),"")</f>
        <v/>
      </c>
      <c r="M578" s="120" t="str">
        <f>IF(OR($A578="",$B578=""),"",COUNTIFS($A$5:A578,A578,$B$5:B578,B578))</f>
        <v/>
      </c>
      <c r="N578" s="120" t="str">
        <f>IF($A578="","",COUNTA($A$5:$A578))</f>
        <v/>
      </c>
      <c r="O578" s="120" t="str">
        <f>IF($A578="","",COUNTA($A$5:$A578))</f>
        <v/>
      </c>
      <c r="P578" s="118" t="str">
        <f>IF($K578="","",MAX($K$5:K578))</f>
        <v/>
      </c>
      <c r="Q578" s="117" t="str">
        <f>IF($K578="","",K578-P578)</f>
        <v/>
      </c>
      <c r="R578" s="2"/>
      <c r="S578" s="2" t="str">
        <f>IF(OR($A578="",$F578=""),"",IF($I578="Pendiente","",ROUND($G578*($F578*0.609-1),2)))</f>
        <v/>
      </c>
      <c r="T578" s="2" t="str">
        <f>IF($A578="","",IFERROR(SUM($S$5:S578),0))</f>
        <v/>
      </c>
    </row>
    <row r="579" spans="1:20" ht="15" customHeight="1">
      <c r="A579" s="110"/>
      <c r="B579" s="113"/>
      <c r="C579" s="177"/>
      <c r="D579" s="113"/>
      <c r="F579" s="115"/>
      <c r="G579" s="116"/>
      <c r="H579" s="120"/>
      <c r="I579" s="120"/>
      <c r="J579" s="117" t="str">
        <f>IF($A579="","",IF($I579="Ganada",ROUND($G579*($F579-1),2),IF($I579="Medio Ganada",ROUND($G579/2*($F579-1),2),IF($I579="Perdida",IF($H579="Free Bet",0,-$G579),IF($I579="Medio Perdida",IF($H579="Free Bet",0,-$G579/2),IF($I579="Reembolso",IF($R579="","",ROUND($R579-$G579,2)),IF($I579="Anulada",0,"")))))))</f>
        <v/>
      </c>
      <c r="K579" s="118" t="str">
        <f>IF(J579="","",2000+SUM(J$5:J579))</f>
        <v/>
      </c>
      <c r="L579" s="119" t="str">
        <f>IF(OR($I579="Ganada",$I579="Perdida",$I579="Medio Ganada",$I579="Medio Perdida"),IF($G579=0,"",J579/$G579),"")</f>
        <v/>
      </c>
      <c r="M579" s="120" t="str">
        <f>IF(OR($A579="",$B579=""),"",COUNTIFS($A$5:A579,A579,$B$5:B579,B579))</f>
        <v/>
      </c>
      <c r="N579" s="120" t="str">
        <f>IF($A579="","",COUNTA($A$5:$A579))</f>
        <v/>
      </c>
      <c r="O579" s="120" t="str">
        <f>IF($A579="","",COUNTA($A$5:$A579))</f>
        <v/>
      </c>
      <c r="P579" s="118" t="str">
        <f>IF($K579="","",MAX($K$5:K579))</f>
        <v/>
      </c>
      <c r="Q579" s="117" t="str">
        <f>IF($K579="","",K579-P579)</f>
        <v/>
      </c>
      <c r="R579" s="2"/>
      <c r="S579" s="2" t="str">
        <f>IF(OR($A579="",$F579=""),"",IF($I579="Pendiente","",ROUND($G579*($F579*0.609-1),2)))</f>
        <v/>
      </c>
      <c r="T579" s="2" t="str">
        <f>IF($A579="","",IFERROR(SUM($S$5:S579),0))</f>
        <v/>
      </c>
    </row>
    <row r="580" spans="1:20" ht="15" customHeight="1">
      <c r="A580" s="110"/>
      <c r="B580" s="113"/>
      <c r="C580" s="177"/>
      <c r="D580" s="113"/>
      <c r="F580" s="115"/>
      <c r="G580" s="116"/>
      <c r="H580" s="120"/>
      <c r="I580" s="120"/>
      <c r="J580" s="117" t="str">
        <f>IF($A580="","",IF($I580="Ganada",ROUND($G580*($F580-1),2),IF($I580="Medio Ganada",ROUND($G580/2*($F580-1),2),IF($I580="Perdida",IF($H580="Free Bet",0,-$G580),IF($I580="Medio Perdida",IF($H580="Free Bet",0,-$G580/2),IF($I580="Reembolso",IF($R580="","",ROUND($R580-$G580,2)),IF($I580="Anulada",0,"")))))))</f>
        <v/>
      </c>
      <c r="K580" s="118" t="str">
        <f>IF(J580="","",2000+SUM(J$5:J580))</f>
        <v/>
      </c>
      <c r="L580" s="119" t="str">
        <f>IF(OR($I580="Ganada",$I580="Perdida",$I580="Medio Ganada",$I580="Medio Perdida"),IF($G580=0,"",J580/$G580),"")</f>
        <v/>
      </c>
      <c r="M580" s="120" t="str">
        <f>IF(OR($A580="",$B580=""),"",COUNTIFS($A$5:A580,A580,$B$5:B580,B580))</f>
        <v/>
      </c>
      <c r="N580" s="120" t="str">
        <f>IF($A580="","",COUNTA($A$5:$A580))</f>
        <v/>
      </c>
      <c r="O580" s="120" t="str">
        <f>IF($A580="","",COUNTA($A$5:$A580))</f>
        <v/>
      </c>
      <c r="P580" s="118" t="str">
        <f>IF($K580="","",MAX($K$5:K580))</f>
        <v/>
      </c>
      <c r="Q580" s="117" t="str">
        <f>IF($K580="","",K580-P580)</f>
        <v/>
      </c>
      <c r="R580" s="2"/>
      <c r="S580" s="2" t="str">
        <f>IF(OR($A580="",$F580=""),"",IF($I580="Pendiente","",ROUND($G580*($F580*0.609-1),2)))</f>
        <v/>
      </c>
      <c r="T580" s="2" t="str">
        <f>IF($A580="","",IFERROR(SUM($S$5:S580),0))</f>
        <v/>
      </c>
    </row>
    <row r="581" spans="1:20" ht="15" customHeight="1">
      <c r="A581" s="110"/>
      <c r="B581" s="113"/>
      <c r="C581" s="177"/>
      <c r="D581" s="113"/>
      <c r="F581" s="115"/>
      <c r="G581" s="116"/>
      <c r="H581" s="120"/>
      <c r="I581" s="120"/>
      <c r="J581" s="117" t="str">
        <f>IF($A581="","",IF($I581="Ganada",ROUND($G581*($F581-1),2),IF($I581="Medio Ganada",ROUND($G581/2*($F581-1),2),IF($I581="Perdida",IF($H581="Free Bet",0,-$G581),IF($I581="Medio Perdida",IF($H581="Free Bet",0,-$G581/2),IF($I581="Reembolso",IF($R581="","",ROUND($R581-$G581,2)),IF($I581="Anulada",0,"")))))))</f>
        <v/>
      </c>
      <c r="K581" s="118" t="str">
        <f>IF(J581="","",2000+SUM(J$5:J581))</f>
        <v/>
      </c>
      <c r="L581" s="119" t="str">
        <f>IF(OR($I581="Ganada",$I581="Perdida",$I581="Medio Ganada",$I581="Medio Perdida"),IF($G581=0,"",J581/$G581),"")</f>
        <v/>
      </c>
      <c r="M581" s="120" t="str">
        <f>IF(OR($A581="",$B581=""),"",COUNTIFS($A$5:A581,A581,$B$5:B581,B581))</f>
        <v/>
      </c>
      <c r="N581" s="120" t="str">
        <f>IF($A581="","",COUNTA($A$5:$A581))</f>
        <v/>
      </c>
      <c r="O581" s="120" t="str">
        <f>IF($A581="","",COUNTA($A$5:$A581))</f>
        <v/>
      </c>
      <c r="P581" s="118" t="str">
        <f>IF($K581="","",MAX($K$5:K581))</f>
        <v/>
      </c>
      <c r="Q581" s="117" t="str">
        <f>IF($K581="","",K581-P581)</f>
        <v/>
      </c>
      <c r="R581" s="2"/>
      <c r="S581" s="2" t="str">
        <f>IF(OR($A581="",$F581=""),"",IF($I581="Pendiente","",ROUND($G581*($F581*0.609-1),2)))</f>
        <v/>
      </c>
      <c r="T581" s="2" t="str">
        <f>IF($A581="","",IFERROR(SUM($S$5:S581),0))</f>
        <v/>
      </c>
    </row>
    <row r="582" spans="1:20" ht="15" customHeight="1">
      <c r="A582" s="110"/>
      <c r="B582" s="113"/>
      <c r="C582" s="177"/>
      <c r="D582" s="113"/>
      <c r="F582" s="115"/>
      <c r="G582" s="116"/>
      <c r="H582" s="120"/>
      <c r="I582" s="120"/>
      <c r="J582" s="117" t="str">
        <f>IF($A582="","",IF($I582="Ganada",ROUND($G582*($F582-1),2),IF($I582="Medio Ganada",ROUND($G582/2*($F582-1),2),IF($I582="Perdida",IF($H582="Free Bet",0,-$G582),IF($I582="Medio Perdida",IF($H582="Free Bet",0,-$G582/2),IF($I582="Reembolso",IF($R582="","",ROUND($R582-$G582,2)),IF($I582="Anulada",0,"")))))))</f>
        <v/>
      </c>
      <c r="K582" s="118" t="str">
        <f>IF(J582="","",2000+SUM(J$5:J582))</f>
        <v/>
      </c>
      <c r="L582" s="119" t="str">
        <f>IF(OR($I582="Ganada",$I582="Perdida",$I582="Medio Ganada",$I582="Medio Perdida"),IF($G582=0,"",J582/$G582),"")</f>
        <v/>
      </c>
      <c r="M582" s="120" t="str">
        <f>IF(OR($A582="",$B582=""),"",COUNTIFS($A$5:A582,A582,$B$5:B582,B582))</f>
        <v/>
      </c>
      <c r="N582" s="120" t="str">
        <f>IF($A582="","",COUNTA($A$5:$A582))</f>
        <v/>
      </c>
      <c r="O582" s="120" t="str">
        <f>IF($A582="","",COUNTA($A$5:$A582))</f>
        <v/>
      </c>
      <c r="P582" s="118" t="str">
        <f>IF($K582="","",MAX($K$5:K582))</f>
        <v/>
      </c>
      <c r="Q582" s="117" t="str">
        <f>IF($K582="","",K582-P582)</f>
        <v/>
      </c>
      <c r="R582" s="2"/>
      <c r="S582" s="2" t="str">
        <f>IF(OR($A582="",$F582=""),"",IF($I582="Pendiente","",ROUND($G582*($F582*0.609-1),2)))</f>
        <v/>
      </c>
      <c r="T582" s="2" t="str">
        <f>IF($A582="","",IFERROR(SUM($S$5:S582),0))</f>
        <v/>
      </c>
    </row>
    <row r="583" spans="1:20" ht="15" customHeight="1">
      <c r="A583" s="110"/>
      <c r="B583" s="113"/>
      <c r="C583" s="177"/>
      <c r="D583" s="113"/>
      <c r="F583" s="115"/>
      <c r="G583" s="116"/>
      <c r="H583" s="120"/>
      <c r="I583" s="120"/>
      <c r="J583" s="117" t="str">
        <f>IF($A583="","",IF($I583="Ganada",ROUND($G583*($F583-1),2),IF($I583="Medio Ganada",ROUND($G583/2*($F583-1),2),IF($I583="Perdida",IF($H583="Free Bet",0,-$G583),IF($I583="Medio Perdida",IF($H583="Free Bet",0,-$G583/2),IF($I583="Reembolso",IF($R583="","",ROUND($R583-$G583,2)),IF($I583="Anulada",0,"")))))))</f>
        <v/>
      </c>
      <c r="K583" s="118" t="str">
        <f>IF(J583="","",2000+SUM(J$5:J583))</f>
        <v/>
      </c>
      <c r="L583" s="119" t="str">
        <f>IF(OR($I583="Ganada",$I583="Perdida",$I583="Medio Ganada",$I583="Medio Perdida"),IF($G583=0,"",J583/$G583),"")</f>
        <v/>
      </c>
      <c r="M583" s="120" t="str">
        <f>IF(OR($A583="",$B583=""),"",COUNTIFS($A$5:A583,A583,$B$5:B583,B583))</f>
        <v/>
      </c>
      <c r="N583" s="120" t="str">
        <f>IF($A583="","",COUNTA($A$5:$A583))</f>
        <v/>
      </c>
      <c r="O583" s="120" t="str">
        <f>IF($A583="","",COUNTA($A$5:$A583))</f>
        <v/>
      </c>
      <c r="P583" s="118" t="str">
        <f>IF($K583="","",MAX($K$5:K583))</f>
        <v/>
      </c>
      <c r="Q583" s="117" t="str">
        <f>IF($K583="","",K583-P583)</f>
        <v/>
      </c>
      <c r="R583" s="2"/>
      <c r="S583" s="2" t="str">
        <f>IF(OR($A583="",$F583=""),"",IF($I583="Pendiente","",ROUND($G583*($F583*0.609-1),2)))</f>
        <v/>
      </c>
      <c r="T583" s="2" t="str">
        <f>IF($A583="","",IFERROR(SUM($S$5:S583),0))</f>
        <v/>
      </c>
    </row>
    <row r="584" spans="1:20" ht="15" customHeight="1">
      <c r="A584" s="110"/>
      <c r="B584" s="113"/>
      <c r="C584" s="177"/>
      <c r="D584" s="113"/>
      <c r="F584" s="115"/>
      <c r="G584" s="116"/>
      <c r="H584" s="120"/>
      <c r="I584" s="120"/>
      <c r="J584" s="117" t="str">
        <f>IF($A584="","",IF($I584="Ganada",ROUND($G584*($F584-1),2),IF($I584="Medio Ganada",ROUND($G584/2*($F584-1),2),IF($I584="Perdida",IF($H584="Free Bet",0,-$G584),IF($I584="Medio Perdida",IF($H584="Free Bet",0,-$G584/2),IF($I584="Reembolso",IF($R584="","",ROUND($R584-$G584,2)),IF($I584="Anulada",0,"")))))))</f>
        <v/>
      </c>
      <c r="K584" s="118" t="str">
        <f>IF(J584="","",2000+SUM(J$5:J584))</f>
        <v/>
      </c>
      <c r="L584" s="119" t="str">
        <f>IF(OR($I584="Ganada",$I584="Perdida",$I584="Medio Ganada",$I584="Medio Perdida"),IF($G584=0,"",J584/$G584),"")</f>
        <v/>
      </c>
      <c r="M584" s="120" t="str">
        <f>IF(OR($A584="",$B584=""),"",COUNTIFS($A$5:A584,A584,$B$5:B584,B584))</f>
        <v/>
      </c>
      <c r="N584" s="120" t="str">
        <f>IF($A584="","",COUNTA($A$5:$A584))</f>
        <v/>
      </c>
      <c r="O584" s="120" t="str">
        <f>IF($A584="","",COUNTA($A$5:$A584))</f>
        <v/>
      </c>
      <c r="P584" s="118" t="str">
        <f>IF($K584="","",MAX($K$5:K584))</f>
        <v/>
      </c>
      <c r="Q584" s="117" t="str">
        <f>IF($K584="","",K584-P584)</f>
        <v/>
      </c>
      <c r="R584" s="2"/>
      <c r="S584" s="2" t="str">
        <f>IF(OR($A584="",$F584=""),"",IF($I584="Pendiente","",ROUND($G584*($F584*0.609-1),2)))</f>
        <v/>
      </c>
      <c r="T584" s="2" t="str">
        <f>IF($A584="","",IFERROR(SUM($S$5:S584),0))</f>
        <v/>
      </c>
    </row>
    <row r="585" spans="1:20" ht="15" customHeight="1">
      <c r="A585" s="110"/>
      <c r="B585" s="113"/>
      <c r="C585" s="177"/>
      <c r="D585" s="113"/>
      <c r="F585" s="115"/>
      <c r="G585" s="116"/>
      <c r="H585" s="120"/>
      <c r="I585" s="120"/>
      <c r="J585" s="117" t="str">
        <f>IF($A585="","",IF($I585="Ganada",ROUND($G585*($F585-1),2),IF($I585="Medio Ganada",ROUND($G585/2*($F585-1),2),IF($I585="Perdida",IF($H585="Free Bet",0,-$G585),IF($I585="Medio Perdida",IF($H585="Free Bet",0,-$G585/2),IF($I585="Reembolso",IF($R585="","",ROUND($R585-$G585,2)),IF($I585="Anulada",0,"")))))))</f>
        <v/>
      </c>
      <c r="K585" s="118" t="str">
        <f>IF(J585="","",2000+SUM(J$5:J585))</f>
        <v/>
      </c>
      <c r="L585" s="119" t="str">
        <f>IF(OR($I585="Ganada",$I585="Perdida",$I585="Medio Ganada",$I585="Medio Perdida"),IF($G585=0,"",J585/$G585),"")</f>
        <v/>
      </c>
      <c r="M585" s="120" t="str">
        <f>IF(OR($A585="",$B585=""),"",COUNTIFS($A$5:A585,A585,$B$5:B585,B585))</f>
        <v/>
      </c>
      <c r="N585" s="120" t="str">
        <f>IF($A585="","",COUNTA($A$5:$A585))</f>
        <v/>
      </c>
      <c r="O585" s="120" t="str">
        <f>IF($A585="","",COUNTA($A$5:$A585))</f>
        <v/>
      </c>
      <c r="P585" s="118" t="str">
        <f>IF($K585="","",MAX($K$5:K585))</f>
        <v/>
      </c>
      <c r="Q585" s="117" t="str">
        <f>IF($K585="","",K585-P585)</f>
        <v/>
      </c>
      <c r="R585" s="2"/>
      <c r="S585" s="2" t="str">
        <f>IF(OR($A585="",$F585=""),"",IF($I585="Pendiente","",ROUND($G585*($F585*0.609-1),2)))</f>
        <v/>
      </c>
      <c r="T585" s="2" t="str">
        <f>IF($A585="","",IFERROR(SUM($S$5:S585),0))</f>
        <v/>
      </c>
    </row>
    <row r="586" spans="1:20" ht="15" customHeight="1">
      <c r="A586" s="110"/>
      <c r="B586" s="113"/>
      <c r="C586" s="177"/>
      <c r="D586" s="113"/>
      <c r="F586" s="115"/>
      <c r="G586" s="116"/>
      <c r="H586" s="120"/>
      <c r="I586" s="120"/>
      <c r="J586" s="117" t="str">
        <f>IF($A586="","",IF($I586="Ganada",ROUND($G586*($F586-1),2),IF($I586="Medio Ganada",ROUND($G586/2*($F586-1),2),IF($I586="Perdida",IF($H586="Free Bet",0,-$G586),IF($I586="Medio Perdida",IF($H586="Free Bet",0,-$G586/2),IF($I586="Reembolso",IF($R586="","",ROUND($R586-$G586,2)),IF($I586="Anulada",0,"")))))))</f>
        <v/>
      </c>
      <c r="K586" s="118" t="str">
        <f>IF(J586="","",2000+SUM(J$5:J586))</f>
        <v/>
      </c>
      <c r="L586" s="119" t="str">
        <f>IF(OR($I586="Ganada",$I586="Perdida",$I586="Medio Ganada",$I586="Medio Perdida"),IF($G586=0,"",J586/$G586),"")</f>
        <v/>
      </c>
      <c r="M586" s="120" t="str">
        <f>IF(OR($A586="",$B586=""),"",COUNTIFS($A$5:A586,A586,$B$5:B586,B586))</f>
        <v/>
      </c>
      <c r="N586" s="120" t="str">
        <f>IF($A586="","",COUNTA($A$5:$A586))</f>
        <v/>
      </c>
      <c r="O586" s="120" t="str">
        <f>IF($A586="","",COUNTA($A$5:$A586))</f>
        <v/>
      </c>
      <c r="P586" s="118" t="str">
        <f>IF($K586="","",MAX($K$5:K586))</f>
        <v/>
      </c>
      <c r="Q586" s="117" t="str">
        <f>IF($K586="","",K586-P586)</f>
        <v/>
      </c>
      <c r="R586" s="2"/>
      <c r="S586" s="2" t="str">
        <f>IF(OR($A586="",$F586=""),"",IF($I586="Pendiente","",ROUND($G586*($F586*0.609-1),2)))</f>
        <v/>
      </c>
      <c r="T586" s="2" t="str">
        <f>IF($A586="","",IFERROR(SUM($S$5:S586),0))</f>
        <v/>
      </c>
    </row>
    <row r="587" spans="1:20" ht="15" customHeight="1">
      <c r="A587" s="110"/>
      <c r="B587" s="113"/>
      <c r="C587" s="177"/>
      <c r="D587" s="113"/>
      <c r="F587" s="115"/>
      <c r="G587" s="116"/>
      <c r="H587" s="120"/>
      <c r="I587" s="120"/>
      <c r="J587" s="117" t="str">
        <f>IF($A587="","",IF($I587="Ganada",ROUND($G587*($F587-1),2),IF($I587="Medio Ganada",ROUND($G587/2*($F587-1),2),IF($I587="Perdida",IF($H587="Free Bet",0,-$G587),IF($I587="Medio Perdida",IF($H587="Free Bet",0,-$G587/2),IF($I587="Reembolso",IF($R587="","",ROUND($R587-$G587,2)),IF($I587="Anulada",0,"")))))))</f>
        <v/>
      </c>
      <c r="K587" s="118" t="str">
        <f>IF(J587="","",2000+SUM(J$5:J587))</f>
        <v/>
      </c>
      <c r="L587" s="119" t="str">
        <f>IF(OR($I587="Ganada",$I587="Perdida",$I587="Medio Ganada",$I587="Medio Perdida"),IF($G587=0,"",J587/$G587),"")</f>
        <v/>
      </c>
      <c r="M587" s="120" t="str">
        <f>IF(OR($A587="",$B587=""),"",COUNTIFS($A$5:A587,A587,$B$5:B587,B587))</f>
        <v/>
      </c>
      <c r="N587" s="120" t="str">
        <f>IF($A587="","",COUNTA($A$5:$A587))</f>
        <v/>
      </c>
      <c r="O587" s="120" t="str">
        <f>IF($A587="","",COUNTA($A$5:$A587))</f>
        <v/>
      </c>
      <c r="P587" s="118" t="str">
        <f>IF($K587="","",MAX($K$5:K587))</f>
        <v/>
      </c>
      <c r="Q587" s="117" t="str">
        <f>IF($K587="","",K587-P587)</f>
        <v/>
      </c>
      <c r="R587" s="2"/>
      <c r="S587" s="2" t="str">
        <f>IF(OR($A587="",$F587=""),"",IF($I587="Pendiente","",ROUND($G587*($F587*0.609-1),2)))</f>
        <v/>
      </c>
      <c r="T587" s="2" t="str">
        <f>IF($A587="","",IFERROR(SUM($S$5:S587),0))</f>
        <v/>
      </c>
    </row>
    <row r="588" spans="1:20" ht="15" customHeight="1">
      <c r="A588" s="110"/>
      <c r="B588" s="113"/>
      <c r="C588" s="177"/>
      <c r="D588" s="113"/>
      <c r="F588" s="115"/>
      <c r="G588" s="116"/>
      <c r="H588" s="120"/>
      <c r="I588" s="120"/>
      <c r="J588" s="117" t="str">
        <f>IF($A588="","",IF($I588="Ganada",ROUND($G588*($F588-1),2),IF($I588="Medio Ganada",ROUND($G588/2*($F588-1),2),IF($I588="Perdida",IF($H588="Free Bet",0,-$G588),IF($I588="Medio Perdida",IF($H588="Free Bet",0,-$G588/2),IF($I588="Reembolso",IF($R588="","",ROUND($R588-$G588,2)),IF($I588="Anulada",0,"")))))))</f>
        <v/>
      </c>
      <c r="K588" s="118" t="str">
        <f>IF(J588="","",2000+SUM(J$5:J588))</f>
        <v/>
      </c>
      <c r="L588" s="119" t="str">
        <f>IF(OR($I588="Ganada",$I588="Perdida",$I588="Medio Ganada",$I588="Medio Perdida"),IF($G588=0,"",J588/$G588),"")</f>
        <v/>
      </c>
      <c r="M588" s="120" t="str">
        <f>IF(OR($A588="",$B588=""),"",COUNTIFS($A$5:A588,A588,$B$5:B588,B588))</f>
        <v/>
      </c>
      <c r="N588" s="120" t="str">
        <f>IF($A588="","",COUNTA($A$5:$A588))</f>
        <v/>
      </c>
      <c r="O588" s="120" t="str">
        <f>IF($A588="","",COUNTA($A$5:$A588))</f>
        <v/>
      </c>
      <c r="P588" s="118" t="str">
        <f>IF($K588="","",MAX($K$5:K588))</f>
        <v/>
      </c>
      <c r="Q588" s="117" t="str">
        <f>IF($K588="","",K588-P588)</f>
        <v/>
      </c>
      <c r="R588" s="2"/>
      <c r="S588" s="2" t="str">
        <f>IF(OR($A588="",$F588=""),"",IF($I588="Pendiente","",ROUND($G588*($F588*0.609-1),2)))</f>
        <v/>
      </c>
      <c r="T588" s="2" t="str">
        <f>IF($A588="","",IFERROR(SUM($S$5:S588),0))</f>
        <v/>
      </c>
    </row>
    <row r="589" spans="1:20" ht="15" customHeight="1">
      <c r="A589" s="110"/>
      <c r="B589" s="113"/>
      <c r="C589" s="177"/>
      <c r="D589" s="113"/>
      <c r="F589" s="115"/>
      <c r="G589" s="116"/>
      <c r="H589" s="120"/>
      <c r="I589" s="120"/>
      <c r="J589" s="117" t="str">
        <f>IF($A589="","",IF($I589="Ganada",ROUND($G589*($F589-1),2),IF($I589="Medio Ganada",ROUND($G589/2*($F589-1),2),IF($I589="Perdida",IF($H589="Free Bet",0,-$G589),IF($I589="Medio Perdida",IF($H589="Free Bet",0,-$G589/2),IF($I589="Reembolso",IF($R589="","",ROUND($R589-$G589,2)),IF($I589="Anulada",0,"")))))))</f>
        <v/>
      </c>
      <c r="K589" s="118" t="str">
        <f>IF(J589="","",2000+SUM(J$5:J589))</f>
        <v/>
      </c>
      <c r="L589" s="119" t="str">
        <f>IF(OR($I589="Ganada",$I589="Perdida",$I589="Medio Ganada",$I589="Medio Perdida"),IF($G589=0,"",J589/$G589),"")</f>
        <v/>
      </c>
      <c r="M589" s="120" t="str">
        <f>IF(OR($A589="",$B589=""),"",COUNTIFS($A$5:A589,A589,$B$5:B589,B589))</f>
        <v/>
      </c>
      <c r="N589" s="120" t="str">
        <f>IF($A589="","",COUNTA($A$5:$A589))</f>
        <v/>
      </c>
      <c r="O589" s="120" t="str">
        <f>IF($A589="","",COUNTA($A$5:$A589))</f>
        <v/>
      </c>
      <c r="P589" s="118" t="str">
        <f>IF($K589="","",MAX($K$5:K589))</f>
        <v/>
      </c>
      <c r="Q589" s="117" t="str">
        <f>IF($K589="","",K589-P589)</f>
        <v/>
      </c>
      <c r="R589" s="2"/>
      <c r="S589" s="2" t="str">
        <f>IF(OR($A589="",$F589=""),"",IF($I589="Pendiente","",ROUND($G589*($F589*0.609-1),2)))</f>
        <v/>
      </c>
      <c r="T589" s="2" t="str">
        <f>IF($A589="","",IFERROR(SUM($S$5:S589),0))</f>
        <v/>
      </c>
    </row>
    <row r="590" spans="1:20" ht="15" customHeight="1">
      <c r="A590" s="110"/>
      <c r="B590" s="113"/>
      <c r="C590" s="177"/>
      <c r="D590" s="113"/>
      <c r="F590" s="115"/>
      <c r="G590" s="116"/>
      <c r="H590" s="120"/>
      <c r="I590" s="120"/>
      <c r="J590" s="117" t="str">
        <f>IF($A590="","",IF($I590="Ganada",ROUND($G590*($F590-1),2),IF($I590="Medio Ganada",ROUND($G590/2*($F590-1),2),IF($I590="Perdida",IF($H590="Free Bet",0,-$G590),IF($I590="Medio Perdida",IF($H590="Free Bet",0,-$G590/2),IF($I590="Reembolso",IF($R590="","",ROUND($R590-$G590,2)),IF($I590="Anulada",0,"")))))))</f>
        <v/>
      </c>
      <c r="K590" s="118" t="str">
        <f>IF(J590="","",2000+SUM(J$5:J590))</f>
        <v/>
      </c>
      <c r="L590" s="119" t="str">
        <f>IF(OR($I590="Ganada",$I590="Perdida",$I590="Medio Ganada",$I590="Medio Perdida"),IF($G590=0,"",J590/$G590),"")</f>
        <v/>
      </c>
      <c r="M590" s="120" t="str">
        <f>IF(OR($A590="",$B590=""),"",COUNTIFS($A$5:A590,A590,$B$5:B590,B590))</f>
        <v/>
      </c>
      <c r="N590" s="120" t="str">
        <f>IF($A590="","",COUNTA($A$5:$A590))</f>
        <v/>
      </c>
      <c r="O590" s="120" t="str">
        <f>IF($A590="","",COUNTA($A$5:$A590))</f>
        <v/>
      </c>
      <c r="P590" s="118" t="str">
        <f>IF($K590="","",MAX($K$5:K590))</f>
        <v/>
      </c>
      <c r="Q590" s="117" t="str">
        <f>IF($K590="","",K590-P590)</f>
        <v/>
      </c>
      <c r="R590" s="2"/>
      <c r="S590" s="2" t="str">
        <f>IF(OR($A590="",$F590=""),"",IF($I590="Pendiente","",ROUND($G590*($F590*0.609-1),2)))</f>
        <v/>
      </c>
      <c r="T590" s="2" t="str">
        <f>IF($A590="","",IFERROR(SUM($S$5:S590),0))</f>
        <v/>
      </c>
    </row>
    <row r="591" spans="1:20" ht="15" customHeight="1">
      <c r="A591" s="110"/>
      <c r="B591" s="113"/>
      <c r="C591" s="177"/>
      <c r="D591" s="113"/>
      <c r="F591" s="115"/>
      <c r="G591" s="116"/>
      <c r="H591" s="120"/>
      <c r="I591" s="120"/>
      <c r="J591" s="117" t="str">
        <f>IF($A591="","",IF($I591="Ganada",ROUND($G591*($F591-1),2),IF($I591="Medio Ganada",ROUND($G591/2*($F591-1),2),IF($I591="Perdida",IF($H591="Free Bet",0,-$G591),IF($I591="Medio Perdida",IF($H591="Free Bet",0,-$G591/2),IF($I591="Reembolso",IF($R591="","",ROUND($R591-$G591,2)),IF($I591="Anulada",0,"")))))))</f>
        <v/>
      </c>
      <c r="K591" s="118" t="str">
        <f>IF(J591="","",2000+SUM(J$5:J591))</f>
        <v/>
      </c>
      <c r="L591" s="119" t="str">
        <f>IF(OR($I591="Ganada",$I591="Perdida",$I591="Medio Ganada",$I591="Medio Perdida"),IF($G591=0,"",J591/$G591),"")</f>
        <v/>
      </c>
      <c r="M591" s="120" t="str">
        <f>IF(OR($A591="",$B591=""),"",COUNTIFS($A$5:A591,A591,$B$5:B591,B591))</f>
        <v/>
      </c>
      <c r="N591" s="120" t="str">
        <f>IF($A591="","",COUNTA($A$5:$A591))</f>
        <v/>
      </c>
      <c r="O591" s="120" t="str">
        <f>IF($A591="","",COUNTA($A$5:$A591))</f>
        <v/>
      </c>
      <c r="P591" s="118" t="str">
        <f>IF($K591="","",MAX($K$5:K591))</f>
        <v/>
      </c>
      <c r="Q591" s="117" t="str">
        <f>IF($K591="","",K591-P591)</f>
        <v/>
      </c>
      <c r="R591" s="2"/>
      <c r="S591" s="2" t="str">
        <f>IF(OR($A591="",$F591=""),"",IF($I591="Pendiente","",ROUND($G591*($F591*0.609-1),2)))</f>
        <v/>
      </c>
      <c r="T591" s="2" t="str">
        <f>IF($A591="","",IFERROR(SUM($S$5:S591),0))</f>
        <v/>
      </c>
    </row>
    <row r="592" spans="1:20" ht="15" customHeight="1">
      <c r="A592" s="110"/>
      <c r="B592" s="113"/>
      <c r="C592" s="177"/>
      <c r="D592" s="113"/>
      <c r="F592" s="115"/>
      <c r="G592" s="116"/>
      <c r="H592" s="120"/>
      <c r="I592" s="120"/>
      <c r="J592" s="117" t="str">
        <f>IF($A592="","",IF($I592="Ganada",ROUND($G592*($F592-1),2),IF($I592="Medio Ganada",ROUND($G592/2*($F592-1),2),IF($I592="Perdida",IF($H592="Free Bet",0,-$G592),IF($I592="Medio Perdida",IF($H592="Free Bet",0,-$G592/2),IF($I592="Reembolso",IF($R592="","",ROUND($R592-$G592,2)),IF($I592="Anulada",0,"")))))))</f>
        <v/>
      </c>
      <c r="K592" s="118" t="str">
        <f>IF(J592="","",2000+SUM(J$5:J592))</f>
        <v/>
      </c>
      <c r="L592" s="119" t="str">
        <f>IF(OR($I592="Ganada",$I592="Perdida",$I592="Medio Ganada",$I592="Medio Perdida"),IF($G592=0,"",J592/$G592),"")</f>
        <v/>
      </c>
      <c r="M592" s="120" t="str">
        <f>IF(OR($A592="",$B592=""),"",COUNTIFS($A$5:A592,A592,$B$5:B592,B592))</f>
        <v/>
      </c>
      <c r="N592" s="120" t="str">
        <f>IF($A592="","",COUNTA($A$5:$A592))</f>
        <v/>
      </c>
      <c r="O592" s="120" t="str">
        <f>IF($A592="","",COUNTA($A$5:$A592))</f>
        <v/>
      </c>
      <c r="P592" s="118" t="str">
        <f>IF($K592="","",MAX($K$5:K592))</f>
        <v/>
      </c>
      <c r="Q592" s="117" t="str">
        <f>IF($K592="","",K592-P592)</f>
        <v/>
      </c>
      <c r="R592" s="2"/>
      <c r="S592" s="2" t="str">
        <f>IF(OR($A592="",$F592=""),"",IF($I592="Pendiente","",ROUND($G592*($F592*0.609-1),2)))</f>
        <v/>
      </c>
      <c r="T592" s="2" t="str">
        <f>IF($A592="","",IFERROR(SUM($S$5:S592),0))</f>
        <v/>
      </c>
    </row>
    <row r="593" spans="1:20" ht="15" customHeight="1">
      <c r="A593" s="110"/>
      <c r="B593" s="113"/>
      <c r="C593" s="177"/>
      <c r="D593" s="113"/>
      <c r="F593" s="115"/>
      <c r="G593" s="116"/>
      <c r="H593" s="120"/>
      <c r="I593" s="120"/>
      <c r="J593" s="117" t="str">
        <f>IF($A593="","",IF($I593="Ganada",ROUND($G593*($F593-1),2),IF($I593="Medio Ganada",ROUND($G593/2*($F593-1),2),IF($I593="Perdida",IF($H593="Free Bet",0,-$G593),IF($I593="Medio Perdida",IF($H593="Free Bet",0,-$G593/2),IF($I593="Reembolso",IF($R593="","",ROUND($R593-$G593,2)),IF($I593="Anulada",0,"")))))))</f>
        <v/>
      </c>
      <c r="K593" s="118" t="str">
        <f>IF(J593="","",2000+SUM(J$5:J593))</f>
        <v/>
      </c>
      <c r="L593" s="119" t="str">
        <f>IF(OR($I593="Ganada",$I593="Perdida",$I593="Medio Ganada",$I593="Medio Perdida"),IF($G593=0,"",J593/$G593),"")</f>
        <v/>
      </c>
      <c r="M593" s="120" t="str">
        <f>IF(OR($A593="",$B593=""),"",COUNTIFS($A$5:A593,A593,$B$5:B593,B593))</f>
        <v/>
      </c>
      <c r="N593" s="120" t="str">
        <f>IF($A593="","",COUNTA($A$5:$A593))</f>
        <v/>
      </c>
      <c r="O593" s="120" t="str">
        <f>IF($A593="","",COUNTA($A$5:$A593))</f>
        <v/>
      </c>
      <c r="P593" s="118" t="str">
        <f>IF($K593="","",MAX($K$5:K593))</f>
        <v/>
      </c>
      <c r="Q593" s="117" t="str">
        <f>IF($K593="","",K593-P593)</f>
        <v/>
      </c>
      <c r="R593" s="2"/>
      <c r="S593" s="2" t="str">
        <f>IF(OR($A593="",$F593=""),"",IF($I593="Pendiente","",ROUND($G593*($F593*0.609-1),2)))</f>
        <v/>
      </c>
      <c r="T593" s="2" t="str">
        <f>IF($A593="","",IFERROR(SUM($S$5:S593),0))</f>
        <v/>
      </c>
    </row>
    <row r="594" spans="1:20" ht="15" customHeight="1">
      <c r="A594" s="110"/>
      <c r="B594" s="113"/>
      <c r="C594" s="177"/>
      <c r="D594" s="113"/>
      <c r="F594" s="115"/>
      <c r="G594" s="116"/>
      <c r="H594" s="120"/>
      <c r="I594" s="120"/>
      <c r="J594" s="117" t="str">
        <f>IF($A594="","",IF($I594="Ganada",ROUND($G594*($F594-1),2),IF($I594="Medio Ganada",ROUND($G594/2*($F594-1),2),IF($I594="Perdida",IF($H594="Free Bet",0,-$G594),IF($I594="Medio Perdida",IF($H594="Free Bet",0,-$G594/2),IF($I594="Reembolso",IF($R594="","",ROUND($R594-$G594,2)),IF($I594="Anulada",0,"")))))))</f>
        <v/>
      </c>
      <c r="K594" s="118" t="str">
        <f>IF(J594="","",2000+SUM(J$5:J594))</f>
        <v/>
      </c>
      <c r="L594" s="119" t="str">
        <f>IF(OR($I594="Ganada",$I594="Perdida",$I594="Medio Ganada",$I594="Medio Perdida"),IF($G594=0,"",J594/$G594),"")</f>
        <v/>
      </c>
      <c r="M594" s="120" t="str">
        <f>IF(OR($A594="",$B594=""),"",COUNTIFS($A$5:A594,A594,$B$5:B594,B594))</f>
        <v/>
      </c>
      <c r="N594" s="120" t="str">
        <f>IF($A594="","",COUNTA($A$5:$A594))</f>
        <v/>
      </c>
      <c r="O594" s="120" t="str">
        <f>IF($A594="","",COUNTA($A$5:$A594))</f>
        <v/>
      </c>
      <c r="P594" s="118" t="str">
        <f>IF($K594="","",MAX($K$5:K594))</f>
        <v/>
      </c>
      <c r="Q594" s="117" t="str">
        <f>IF($K594="","",K594-P594)</f>
        <v/>
      </c>
      <c r="R594" s="2"/>
      <c r="S594" s="2" t="str">
        <f>IF(OR($A594="",$F594=""),"",IF($I594="Pendiente","",ROUND($G594*($F594*0.609-1),2)))</f>
        <v/>
      </c>
      <c r="T594" s="2" t="str">
        <f>IF($A594="","",IFERROR(SUM($S$5:S594),0))</f>
        <v/>
      </c>
    </row>
    <row r="595" spans="1:20" ht="15" customHeight="1">
      <c r="A595" s="110"/>
      <c r="B595" s="113"/>
      <c r="C595" s="177"/>
      <c r="D595" s="113"/>
      <c r="F595" s="115"/>
      <c r="G595" s="116"/>
      <c r="H595" s="120"/>
      <c r="I595" s="120"/>
      <c r="J595" s="117" t="str">
        <f>IF($A595="","",IF($I595="Ganada",ROUND($G595*($F595-1),2),IF($I595="Medio Ganada",ROUND($G595/2*($F595-1),2),IF($I595="Perdida",IF($H595="Free Bet",0,-$G595),IF($I595="Medio Perdida",IF($H595="Free Bet",0,-$G595/2),IF($I595="Reembolso",IF($R595="","",ROUND($R595-$G595,2)),IF($I595="Anulada",0,"")))))))</f>
        <v/>
      </c>
      <c r="K595" s="118" t="str">
        <f>IF(J595="","",2000+SUM(J$5:J595))</f>
        <v/>
      </c>
      <c r="L595" s="119" t="str">
        <f>IF(OR($I595="Ganada",$I595="Perdida",$I595="Medio Ganada",$I595="Medio Perdida"),IF($G595=0,"",J595/$G595),"")</f>
        <v/>
      </c>
      <c r="M595" s="120" t="str">
        <f>IF(OR($A595="",$B595=""),"",COUNTIFS($A$5:A595,A595,$B$5:B595,B595))</f>
        <v/>
      </c>
      <c r="N595" s="120" t="str">
        <f>IF($A595="","",COUNTA($A$5:$A595))</f>
        <v/>
      </c>
      <c r="O595" s="120" t="str">
        <f>IF($A595="","",COUNTA($A$5:$A595))</f>
        <v/>
      </c>
      <c r="P595" s="118" t="str">
        <f>IF($K595="","",MAX($K$5:K595))</f>
        <v/>
      </c>
      <c r="Q595" s="117" t="str">
        <f>IF($K595="","",K595-P595)</f>
        <v/>
      </c>
      <c r="R595" s="2"/>
      <c r="S595" s="2" t="str">
        <f>IF(OR($A595="",$F595=""),"",IF($I595="Pendiente","",ROUND($G595*($F595*0.609-1),2)))</f>
        <v/>
      </c>
      <c r="T595" s="2" t="str">
        <f>IF($A595="","",IFERROR(SUM($S$5:S595),0))</f>
        <v/>
      </c>
    </row>
    <row r="596" spans="1:20" ht="15" customHeight="1">
      <c r="A596" s="110"/>
      <c r="B596" s="113"/>
      <c r="C596" s="177"/>
      <c r="D596" s="113"/>
      <c r="F596" s="115"/>
      <c r="G596" s="116"/>
      <c r="H596" s="120"/>
      <c r="I596" s="120"/>
      <c r="J596" s="117" t="str">
        <f>IF($A596="","",IF($I596="Ganada",ROUND($G596*($F596-1),2),IF($I596="Medio Ganada",ROUND($G596/2*($F596-1),2),IF($I596="Perdida",IF($H596="Free Bet",0,-$G596),IF($I596="Medio Perdida",IF($H596="Free Bet",0,-$G596/2),IF($I596="Reembolso",IF($R596="","",ROUND($R596-$G596,2)),IF($I596="Anulada",0,"")))))))</f>
        <v/>
      </c>
      <c r="K596" s="118" t="str">
        <f>IF(J596="","",2000+SUM(J$5:J596))</f>
        <v/>
      </c>
      <c r="L596" s="119" t="str">
        <f>IF(OR($I596="Ganada",$I596="Perdida",$I596="Medio Ganada",$I596="Medio Perdida"),IF($G596=0,"",J596/$G596),"")</f>
        <v/>
      </c>
      <c r="M596" s="120" t="str">
        <f>IF(OR($A596="",$B596=""),"",COUNTIFS($A$5:A596,A596,$B$5:B596,B596))</f>
        <v/>
      </c>
      <c r="N596" s="120" t="str">
        <f>IF($A596="","",COUNTA($A$5:$A596))</f>
        <v/>
      </c>
      <c r="O596" s="120" t="str">
        <f>IF($A596="","",COUNTA($A$5:$A596))</f>
        <v/>
      </c>
      <c r="P596" s="118" t="str">
        <f>IF($K596="","",MAX($K$5:K596))</f>
        <v/>
      </c>
      <c r="Q596" s="117" t="str">
        <f>IF($K596="","",K596-P596)</f>
        <v/>
      </c>
      <c r="R596" s="2"/>
      <c r="S596" s="2" t="str">
        <f>IF(OR($A596="",$F596=""),"",IF($I596="Pendiente","",ROUND($G596*($F596*0.609-1),2)))</f>
        <v/>
      </c>
      <c r="T596" s="2" t="str">
        <f>IF($A596="","",IFERROR(SUM($S$5:S596),0))</f>
        <v/>
      </c>
    </row>
    <row r="597" spans="1:20" ht="15" customHeight="1">
      <c r="A597" s="110"/>
      <c r="B597" s="113"/>
      <c r="C597" s="177"/>
      <c r="D597" s="113"/>
      <c r="F597" s="115"/>
      <c r="G597" s="116"/>
      <c r="H597" s="120"/>
      <c r="I597" s="120"/>
      <c r="J597" s="117" t="str">
        <f>IF($A597="","",IF($I597="Ganada",ROUND($G597*($F597-1),2),IF($I597="Medio Ganada",ROUND($G597/2*($F597-1),2),IF($I597="Perdida",IF($H597="Free Bet",0,-$G597),IF($I597="Medio Perdida",IF($H597="Free Bet",0,-$G597/2),IF($I597="Reembolso",IF($R597="","",ROUND($R597-$G597,2)),IF($I597="Anulada",0,"")))))))</f>
        <v/>
      </c>
      <c r="K597" s="118" t="str">
        <f>IF(J597="","",2000+SUM(J$5:J597))</f>
        <v/>
      </c>
      <c r="L597" s="119" t="str">
        <f>IF(OR($I597="Ganada",$I597="Perdida",$I597="Medio Ganada",$I597="Medio Perdida"),IF($G597=0,"",J597/$G597),"")</f>
        <v/>
      </c>
      <c r="M597" s="120" t="str">
        <f>IF(OR($A597="",$B597=""),"",COUNTIFS($A$5:A597,A597,$B$5:B597,B597))</f>
        <v/>
      </c>
      <c r="N597" s="120" t="str">
        <f>IF($A597="","",COUNTA($A$5:$A597))</f>
        <v/>
      </c>
      <c r="O597" s="120" t="str">
        <f>IF($A597="","",COUNTA($A$5:$A597))</f>
        <v/>
      </c>
      <c r="P597" s="118" t="str">
        <f>IF($K597="","",MAX($K$5:K597))</f>
        <v/>
      </c>
      <c r="Q597" s="117" t="str">
        <f>IF($K597="","",K597-P597)</f>
        <v/>
      </c>
      <c r="R597" s="2"/>
      <c r="S597" s="2" t="str">
        <f>IF(OR($A597="",$F597=""),"",IF($I597="Pendiente","",ROUND($G597*($F597*0.609-1),2)))</f>
        <v/>
      </c>
      <c r="T597" s="2" t="str">
        <f>IF($A597="","",IFERROR(SUM($S$5:S597),0))</f>
        <v/>
      </c>
    </row>
    <row r="598" spans="1:20" ht="15" customHeight="1">
      <c r="A598" s="110"/>
      <c r="B598" s="113"/>
      <c r="C598" s="177"/>
      <c r="D598" s="113"/>
      <c r="F598" s="115"/>
      <c r="G598" s="116"/>
      <c r="H598" s="120"/>
      <c r="I598" s="120"/>
      <c r="J598" s="117" t="str">
        <f>IF($A598="","",IF($I598="Ganada",ROUND($G598*($F598-1),2),IF($I598="Medio Ganada",ROUND($G598/2*($F598-1),2),IF($I598="Perdida",IF($H598="Free Bet",0,-$G598),IF($I598="Medio Perdida",IF($H598="Free Bet",0,-$G598/2),IF($I598="Reembolso",IF($R598="","",ROUND($R598-$G598,2)),IF($I598="Anulada",0,"")))))))</f>
        <v/>
      </c>
      <c r="K598" s="118" t="str">
        <f>IF(J598="","",2000+SUM(J$5:J598))</f>
        <v/>
      </c>
      <c r="L598" s="119" t="str">
        <f>IF(OR($I598="Ganada",$I598="Perdida",$I598="Medio Ganada",$I598="Medio Perdida"),IF($G598=0,"",J598/$G598),"")</f>
        <v/>
      </c>
      <c r="M598" s="120" t="str">
        <f>IF(OR($A598="",$B598=""),"",COUNTIFS($A$5:A598,A598,$B$5:B598,B598))</f>
        <v/>
      </c>
      <c r="N598" s="120" t="str">
        <f>IF($A598="","",COUNTA($A$5:$A598))</f>
        <v/>
      </c>
      <c r="O598" s="120" t="str">
        <f>IF($A598="","",COUNTA($A$5:$A598))</f>
        <v/>
      </c>
      <c r="P598" s="118" t="str">
        <f>IF($K598="","",MAX($K$5:K598))</f>
        <v/>
      </c>
      <c r="Q598" s="117" t="str">
        <f>IF($K598="","",K598-P598)</f>
        <v/>
      </c>
      <c r="R598" s="2"/>
      <c r="S598" s="2" t="str">
        <f>IF(OR($A598="",$F598=""),"",IF($I598="Pendiente","",ROUND($G598*($F598*0.609-1),2)))</f>
        <v/>
      </c>
      <c r="T598" s="2" t="str">
        <f>IF($A598="","",IFERROR(SUM($S$5:S598),0))</f>
        <v/>
      </c>
    </row>
    <row r="599" spans="1:20" ht="15" customHeight="1">
      <c r="A599" s="110"/>
      <c r="B599" s="113"/>
      <c r="C599" s="177"/>
      <c r="D599" s="113"/>
      <c r="F599" s="115"/>
      <c r="G599" s="116"/>
      <c r="H599" s="120"/>
      <c r="I599" s="120"/>
      <c r="J599" s="117" t="str">
        <f>IF($A599="","",IF($I599="Ganada",ROUND($G599*($F599-1),2),IF($I599="Medio Ganada",ROUND($G599/2*($F599-1),2),IF($I599="Perdida",IF($H599="Free Bet",0,-$G599),IF($I599="Medio Perdida",IF($H599="Free Bet",0,-$G599/2),IF($I599="Reembolso",IF($R599="","",ROUND($R599-$G599,2)),IF($I599="Anulada",0,"")))))))</f>
        <v/>
      </c>
      <c r="K599" s="118" t="str">
        <f>IF(J599="","",2000+SUM(J$5:J599))</f>
        <v/>
      </c>
      <c r="L599" s="119" t="str">
        <f>IF(OR($I599="Ganada",$I599="Perdida",$I599="Medio Ganada",$I599="Medio Perdida"),IF($G599=0,"",J599/$G599),"")</f>
        <v/>
      </c>
      <c r="M599" s="120" t="str">
        <f>IF(OR($A599="",$B599=""),"",COUNTIFS($A$5:A599,A599,$B$5:B599,B599))</f>
        <v/>
      </c>
      <c r="N599" s="120" t="str">
        <f>IF($A599="","",COUNTA($A$5:$A599))</f>
        <v/>
      </c>
      <c r="O599" s="120" t="str">
        <f>IF($A599="","",COUNTA($A$5:$A599))</f>
        <v/>
      </c>
      <c r="P599" s="118" t="str">
        <f>IF($K599="","",MAX($K$5:K599))</f>
        <v/>
      </c>
      <c r="Q599" s="117" t="str">
        <f>IF($K599="","",K599-P599)</f>
        <v/>
      </c>
      <c r="R599" s="2"/>
      <c r="S599" s="2" t="str">
        <f>IF(OR($A599="",$F599=""),"",IF($I599="Pendiente","",ROUND($G599*($F599*0.609-1),2)))</f>
        <v/>
      </c>
      <c r="T599" s="2" t="str">
        <f>IF($A599="","",IFERROR(SUM($S$5:S599),0))</f>
        <v/>
      </c>
    </row>
    <row r="600" spans="1:20" ht="15" customHeight="1">
      <c r="A600" s="110"/>
      <c r="B600" s="113"/>
      <c r="C600" s="177"/>
      <c r="D600" s="113"/>
      <c r="F600" s="115"/>
      <c r="G600" s="116"/>
      <c r="H600" s="120"/>
      <c r="I600" s="120"/>
      <c r="J600" s="117" t="str">
        <f>IF($A600="","",IF($I600="Ganada",ROUND($G600*($F600-1),2),IF($I600="Medio Ganada",ROUND($G600/2*($F600-1),2),IF($I600="Perdida",IF($H600="Free Bet",0,-$G600),IF($I600="Medio Perdida",IF($H600="Free Bet",0,-$G600/2),IF($I600="Reembolso",IF($R600="","",ROUND($R600-$G600,2)),IF($I600="Anulada",0,"")))))))</f>
        <v/>
      </c>
      <c r="K600" s="118" t="str">
        <f>IF(J600="","",2000+SUM(J$5:J600))</f>
        <v/>
      </c>
      <c r="L600" s="119" t="str">
        <f>IF(OR($I600="Ganada",$I600="Perdida",$I600="Medio Ganada",$I600="Medio Perdida"),IF($G600=0,"",J600/$G600),"")</f>
        <v/>
      </c>
      <c r="M600" s="120" t="str">
        <f>IF(OR($A600="",$B600=""),"",COUNTIFS($A$5:A600,A600,$B$5:B600,B600))</f>
        <v/>
      </c>
      <c r="N600" s="120" t="str">
        <f>IF($A600="","",COUNTA($A$5:$A600))</f>
        <v/>
      </c>
      <c r="O600" s="120" t="str">
        <f>IF($A600="","",COUNTA($A$5:$A600))</f>
        <v/>
      </c>
      <c r="P600" s="118" t="str">
        <f>IF($K600="","",MAX($K$5:K600))</f>
        <v/>
      </c>
      <c r="Q600" s="117" t="str">
        <f>IF($K600="","",K600-P600)</f>
        <v/>
      </c>
      <c r="R600" s="2"/>
      <c r="S600" s="2" t="str">
        <f>IF(OR($A600="",$F600=""),"",IF($I600="Pendiente","",ROUND($G600*($F600*0.609-1),2)))</f>
        <v/>
      </c>
      <c r="T600" s="2" t="str">
        <f>IF($A600="","",IFERROR(SUM($S$5:S600),0))</f>
        <v/>
      </c>
    </row>
    <row r="601" spans="1:20" ht="15" customHeight="1">
      <c r="A601" s="110"/>
      <c r="B601" s="113"/>
      <c r="C601" s="177"/>
      <c r="D601" s="113"/>
      <c r="F601" s="115"/>
      <c r="G601" s="116"/>
      <c r="H601" s="120"/>
      <c r="I601" s="120"/>
      <c r="J601" s="117" t="str">
        <f>IF($A601="","",IF($I601="Ganada",ROUND($G601*($F601-1),2),IF($I601="Medio Ganada",ROUND($G601/2*($F601-1),2),IF($I601="Perdida",IF($H601="Free Bet",0,-$G601),IF($I601="Medio Perdida",IF($H601="Free Bet",0,-$G601/2),IF($I601="Reembolso",IF($R601="","",ROUND($R601-$G601,2)),IF($I601="Anulada",0,"")))))))</f>
        <v/>
      </c>
      <c r="K601" s="118" t="str">
        <f>IF(J601="","",2000+SUM(J$5:J601))</f>
        <v/>
      </c>
      <c r="L601" s="119" t="str">
        <f>IF(OR($I601="Ganada",$I601="Perdida",$I601="Medio Ganada",$I601="Medio Perdida"),IF($G601=0,"",J601/$G601),"")</f>
        <v/>
      </c>
      <c r="M601" s="120" t="str">
        <f>IF(OR($A601="",$B601=""),"",COUNTIFS($A$5:A601,A601,$B$5:B601,B601))</f>
        <v/>
      </c>
      <c r="N601" s="120" t="str">
        <f>IF($A601="","",COUNTA($A$5:$A601))</f>
        <v/>
      </c>
      <c r="O601" s="120" t="str">
        <f>IF($A601="","",COUNTA($A$5:$A601))</f>
        <v/>
      </c>
      <c r="P601" s="118" t="str">
        <f>IF($K601="","",MAX($K$5:K601))</f>
        <v/>
      </c>
      <c r="Q601" s="117" t="str">
        <f>IF($K601="","",K601-P601)</f>
        <v/>
      </c>
      <c r="R601" s="2"/>
      <c r="S601" s="2" t="str">
        <f>IF(OR($A601="",$F601=""),"",IF($I601="Pendiente","",ROUND($G601*($F601*0.609-1),2)))</f>
        <v/>
      </c>
      <c r="T601" s="2" t="str">
        <f>IF($A601="","",IFERROR(SUM($S$5:S601),0))</f>
        <v/>
      </c>
    </row>
    <row r="602" spans="1:20" ht="15" customHeight="1">
      <c r="A602" s="110"/>
      <c r="B602" s="113"/>
      <c r="C602" s="177"/>
      <c r="D602" s="113"/>
      <c r="F602" s="115"/>
      <c r="G602" s="116"/>
      <c r="H602" s="120"/>
      <c r="I602" s="120"/>
      <c r="J602" s="117" t="str">
        <f>IF($A602="","",IF($I602="Ganada",ROUND($G602*($F602-1),2),IF($I602="Medio Ganada",ROUND($G602/2*($F602-1),2),IF($I602="Perdida",IF($H602="Free Bet",0,-$G602),IF($I602="Medio Perdida",IF($H602="Free Bet",0,-$G602/2),IF($I602="Reembolso",IF($R602="","",ROUND($R602-$G602,2)),IF($I602="Anulada",0,"")))))))</f>
        <v/>
      </c>
      <c r="K602" s="118" t="str">
        <f>IF(J602="","",2000+SUM(J$5:J602))</f>
        <v/>
      </c>
      <c r="L602" s="119" t="str">
        <f>IF(OR($I602="Ganada",$I602="Perdida",$I602="Medio Ganada",$I602="Medio Perdida"),IF($G602=0,"",J602/$G602),"")</f>
        <v/>
      </c>
      <c r="M602" s="120" t="str">
        <f>IF(OR($A602="",$B602=""),"",COUNTIFS($A$5:A602,A602,$B$5:B602,B602))</f>
        <v/>
      </c>
      <c r="N602" s="120" t="str">
        <f>IF($A602="","",COUNTA($A$5:$A602))</f>
        <v/>
      </c>
      <c r="O602" s="120" t="str">
        <f>IF($A602="","",COUNTA($A$5:$A602))</f>
        <v/>
      </c>
      <c r="P602" s="118" t="str">
        <f>IF($K602="","",MAX($K$5:K602))</f>
        <v/>
      </c>
      <c r="Q602" s="117" t="str">
        <f>IF($K602="","",K602-P602)</f>
        <v/>
      </c>
      <c r="R602" s="2"/>
      <c r="S602" s="2" t="str">
        <f>IF(OR($A602="",$F602=""),"",IF($I602="Pendiente","",ROUND($G602*($F602*0.609-1),2)))</f>
        <v/>
      </c>
      <c r="T602" s="2" t="str">
        <f>IF($A602="","",IFERROR(SUM($S$5:S602),0))</f>
        <v/>
      </c>
    </row>
    <row r="603" spans="1:20" ht="15" customHeight="1">
      <c r="A603" s="110"/>
      <c r="B603" s="113"/>
      <c r="C603" s="177"/>
      <c r="D603" s="113"/>
      <c r="F603" s="115"/>
      <c r="G603" s="116"/>
      <c r="H603" s="120"/>
      <c r="I603" s="120"/>
      <c r="J603" s="117" t="str">
        <f>IF($A603="","",IF($I603="Ganada",ROUND($G603*($F603-1),2),IF($I603="Medio Ganada",ROUND($G603/2*($F603-1),2),IF($I603="Perdida",IF($H603="Free Bet",0,-$G603),IF($I603="Medio Perdida",IF($H603="Free Bet",0,-$G603/2),IF($I603="Reembolso",IF($R603="","",ROUND($R603-$G603,2)),IF($I603="Anulada",0,"")))))))</f>
        <v/>
      </c>
      <c r="K603" s="118" t="str">
        <f>IF(J603="","",2000+SUM(J$5:J603))</f>
        <v/>
      </c>
      <c r="L603" s="119" t="str">
        <f>IF(OR($I603="Ganada",$I603="Perdida",$I603="Medio Ganada",$I603="Medio Perdida"),IF($G603=0,"",J603/$G603),"")</f>
        <v/>
      </c>
      <c r="M603" s="120" t="str">
        <f>IF(OR($A603="",$B603=""),"",COUNTIFS($A$5:A603,A603,$B$5:B603,B603))</f>
        <v/>
      </c>
      <c r="N603" s="120" t="str">
        <f>IF($A603="","",COUNTA($A$5:$A603))</f>
        <v/>
      </c>
      <c r="O603" s="120" t="str">
        <f>IF($A603="","",COUNTA($A$5:$A603))</f>
        <v/>
      </c>
      <c r="P603" s="118" t="str">
        <f>IF($K603="","",MAX($K$5:K603))</f>
        <v/>
      </c>
      <c r="Q603" s="117" t="str">
        <f>IF($K603="","",K603-P603)</f>
        <v/>
      </c>
      <c r="R603" s="2"/>
      <c r="S603" s="2" t="str">
        <f>IF(OR($A603="",$F603=""),"",IF($I603="Pendiente","",ROUND($G603*($F603*0.609-1),2)))</f>
        <v/>
      </c>
      <c r="T603" s="2" t="str">
        <f>IF($A603="","",IFERROR(SUM($S$5:S603),0))</f>
        <v/>
      </c>
    </row>
    <row r="604" spans="1:20" ht="15" customHeight="1">
      <c r="A604" s="110"/>
      <c r="B604" s="113"/>
      <c r="C604" s="177"/>
      <c r="D604" s="113"/>
      <c r="F604" s="115"/>
      <c r="G604" s="116"/>
      <c r="H604" s="120"/>
      <c r="I604" s="120"/>
      <c r="J604" s="117" t="str">
        <f>IF($A604="","",IF($I604="Ganada",ROUND($G604*($F604-1),2),IF($I604="Medio Ganada",ROUND($G604/2*($F604-1),2),IF($I604="Perdida",IF($H604="Free Bet",0,-$G604),IF($I604="Medio Perdida",IF($H604="Free Bet",0,-$G604/2),IF($I604="Reembolso",IF($R604="","",ROUND($R604-$G604,2)),IF($I604="Anulada",0,"")))))))</f>
        <v/>
      </c>
      <c r="K604" s="118" t="str">
        <f>IF(J604="","",2000+SUM(J$5:J604))</f>
        <v/>
      </c>
      <c r="L604" s="119" t="str">
        <f>IF(OR($I604="Ganada",$I604="Perdida",$I604="Medio Ganada",$I604="Medio Perdida"),IF($G604=0,"",J604/$G604),"")</f>
        <v/>
      </c>
      <c r="M604" s="120" t="str">
        <f>IF(OR($A604="",$B604=""),"",COUNTIFS($A$5:A604,A604,$B$5:B604,B604))</f>
        <v/>
      </c>
      <c r="N604" s="120" t="str">
        <f>IF($A604="","",COUNTA($A$5:$A604))</f>
        <v/>
      </c>
      <c r="O604" s="120" t="str">
        <f>IF($A604="","",COUNTA($A$5:$A604))</f>
        <v/>
      </c>
      <c r="P604" s="118" t="str">
        <f>IF($K604="","",MAX($K$5:K604))</f>
        <v/>
      </c>
      <c r="Q604" s="117" t="str">
        <f>IF($K604="","",K604-P604)</f>
        <v/>
      </c>
      <c r="R604" s="2"/>
      <c r="S604" s="2" t="str">
        <f>IF(OR($A604="",$F604=""),"",IF($I604="Pendiente","",ROUND($G604*($F604*0.609-1),2)))</f>
        <v/>
      </c>
      <c r="T604" s="2" t="str">
        <f>IF($A604="","",IFERROR(SUM($S$5:S604),0))</f>
        <v/>
      </c>
    </row>
    <row r="605" spans="1:20" ht="15" customHeight="1">
      <c r="A605" s="163"/>
      <c r="B605" s="113"/>
      <c r="C605" s="177"/>
      <c r="D605" s="113"/>
      <c r="F605" s="115"/>
      <c r="G605" s="116"/>
      <c r="H605" s="120"/>
      <c r="I605" s="120"/>
      <c r="J605" s="117"/>
      <c r="K605" s="118"/>
      <c r="L605" s="119"/>
      <c r="M605" s="120"/>
      <c r="N605" s="120"/>
      <c r="O605" s="120"/>
      <c r="P605" s="118"/>
      <c r="Q605" s="117"/>
      <c r="S605" s="2"/>
      <c r="T605" s="2"/>
    </row>
    <row r="606" spans="1:20" ht="15" customHeight="1">
      <c r="A606" s="163"/>
      <c r="B606" s="113"/>
      <c r="C606" s="177"/>
      <c r="D606" s="113"/>
      <c r="F606" s="115"/>
      <c r="G606" s="116"/>
      <c r="H606" s="120"/>
      <c r="I606" s="120"/>
      <c r="J606" s="117"/>
      <c r="K606" s="118"/>
      <c r="L606" s="119"/>
      <c r="M606" s="120"/>
      <c r="N606" s="120"/>
      <c r="O606" s="120"/>
      <c r="P606" s="118"/>
      <c r="Q606" s="117"/>
      <c r="S606" s="2"/>
      <c r="T606" s="2"/>
    </row>
    <row r="607" spans="1:20" ht="15" customHeight="1">
      <c r="A607" s="163"/>
      <c r="B607" s="113"/>
      <c r="C607" s="177"/>
      <c r="D607" s="113"/>
      <c r="F607" s="115"/>
      <c r="G607" s="116"/>
      <c r="H607" s="120"/>
      <c r="I607" s="120"/>
      <c r="J607" s="117"/>
      <c r="K607" s="118"/>
      <c r="L607" s="119"/>
      <c r="M607" s="120"/>
      <c r="N607" s="120"/>
      <c r="O607" s="120"/>
      <c r="P607" s="118"/>
      <c r="Q607" s="117"/>
      <c r="S607" s="2"/>
      <c r="T607" s="2"/>
    </row>
    <row r="608" spans="1:20" ht="15" customHeight="1">
      <c r="A608" s="163"/>
      <c r="B608" s="113"/>
      <c r="C608" s="177"/>
      <c r="D608" s="113"/>
      <c r="F608" s="115"/>
      <c r="G608" s="116"/>
      <c r="H608" s="120"/>
      <c r="I608" s="120"/>
      <c r="J608" s="117"/>
      <c r="K608" s="118"/>
      <c r="L608" s="119"/>
      <c r="M608" s="120"/>
      <c r="N608" s="120"/>
      <c r="O608" s="120"/>
      <c r="P608" s="118"/>
      <c r="Q608" s="117"/>
      <c r="S608" s="2"/>
      <c r="T608" s="2"/>
    </row>
    <row r="609" spans="1:20" ht="15" customHeight="1">
      <c r="A609" s="163"/>
      <c r="B609" s="113"/>
      <c r="C609" s="177"/>
      <c r="D609" s="113"/>
      <c r="F609" s="115"/>
      <c r="G609" s="116"/>
      <c r="H609" s="120"/>
      <c r="I609" s="120"/>
      <c r="J609" s="117"/>
      <c r="K609" s="118"/>
      <c r="L609" s="119"/>
      <c r="M609" s="120"/>
      <c r="N609" s="120"/>
      <c r="O609" s="120"/>
      <c r="P609" s="118"/>
      <c r="Q609" s="117"/>
      <c r="S609" s="2"/>
      <c r="T609" s="2"/>
    </row>
    <row r="610" spans="1:20" ht="15" customHeight="1">
      <c r="A610" s="163"/>
      <c r="B610" s="113"/>
      <c r="C610" s="177"/>
      <c r="D610" s="113"/>
      <c r="F610" s="115"/>
      <c r="G610" s="116"/>
      <c r="H610" s="120"/>
      <c r="I610" s="120"/>
      <c r="J610" s="117"/>
      <c r="K610" s="118"/>
      <c r="L610" s="119"/>
      <c r="M610" s="120"/>
      <c r="N610" s="120"/>
      <c r="O610" s="120"/>
      <c r="P610" s="118"/>
      <c r="Q610" s="117"/>
      <c r="S610" s="2"/>
      <c r="T610" s="2"/>
    </row>
    <row r="611" spans="1:20" ht="15" customHeight="1">
      <c r="A611" s="163"/>
      <c r="B611" s="113"/>
      <c r="C611" s="177"/>
      <c r="D611" s="113"/>
      <c r="F611" s="115"/>
      <c r="G611" s="116"/>
      <c r="H611" s="120"/>
      <c r="I611" s="120"/>
      <c r="J611" s="117"/>
      <c r="K611" s="118"/>
      <c r="L611" s="119"/>
      <c r="M611" s="120"/>
      <c r="N611" s="120"/>
      <c r="O611" s="120"/>
      <c r="P611" s="118"/>
      <c r="Q611" s="117"/>
      <c r="S611" s="2"/>
      <c r="T611" s="2"/>
    </row>
    <row r="612" spans="1:20" ht="15" customHeight="1">
      <c r="A612" s="163"/>
      <c r="B612" s="113"/>
      <c r="C612" s="177"/>
      <c r="D612" s="113"/>
      <c r="F612" s="115"/>
      <c r="G612" s="116"/>
      <c r="H612" s="120"/>
      <c r="I612" s="120"/>
      <c r="J612" s="117"/>
      <c r="K612" s="118"/>
      <c r="L612" s="119"/>
      <c r="M612" s="120"/>
      <c r="N612" s="120"/>
      <c r="O612" s="120"/>
      <c r="P612" s="118"/>
      <c r="Q612" s="117"/>
      <c r="S612" s="2"/>
      <c r="T612" s="2"/>
    </row>
    <row r="613" spans="1:20" ht="15" customHeight="1">
      <c r="A613" s="163"/>
      <c r="B613" s="113"/>
      <c r="C613" s="177"/>
      <c r="D613" s="113"/>
      <c r="F613" s="115"/>
      <c r="G613" s="116"/>
      <c r="H613" s="120"/>
      <c r="I613" s="120"/>
      <c r="J613" s="117"/>
      <c r="K613" s="118"/>
      <c r="L613" s="119"/>
      <c r="M613" s="120"/>
      <c r="N613" s="120"/>
      <c r="O613" s="120"/>
      <c r="P613" s="118"/>
      <c r="Q613" s="117"/>
      <c r="S613" s="2"/>
      <c r="T613" s="2"/>
    </row>
    <row r="614" spans="1:20" ht="15" customHeight="1">
      <c r="A614" s="163"/>
      <c r="B614" s="113"/>
      <c r="C614" s="166"/>
      <c r="D614" s="113"/>
      <c r="F614" s="115"/>
      <c r="G614" s="116"/>
      <c r="H614" s="120"/>
      <c r="I614" s="120"/>
      <c r="J614" s="117"/>
      <c r="K614" s="118"/>
      <c r="L614" s="119"/>
      <c r="M614" s="120"/>
      <c r="N614" s="120"/>
      <c r="O614" s="120"/>
      <c r="P614" s="118"/>
      <c r="Q614" s="117"/>
      <c r="S614" s="2"/>
      <c r="T614" s="2"/>
    </row>
    <row r="615" spans="1:20" ht="15" customHeight="1">
      <c r="A615" s="163"/>
      <c r="B615" s="113"/>
      <c r="C615" s="166"/>
      <c r="D615" s="113"/>
      <c r="F615" s="115"/>
      <c r="G615" s="116"/>
      <c r="H615" s="120"/>
      <c r="I615" s="120"/>
      <c r="J615" s="117"/>
      <c r="K615" s="118"/>
      <c r="L615" s="119"/>
      <c r="M615" s="120"/>
      <c r="N615" s="120"/>
      <c r="O615" s="120"/>
      <c r="P615" s="118"/>
      <c r="Q615" s="117"/>
      <c r="S615" s="2"/>
      <c r="T615" s="2"/>
    </row>
    <row r="616" spans="1:20" ht="15" customHeight="1">
      <c r="A616" s="163"/>
      <c r="B616" s="113"/>
      <c r="D616" s="113"/>
      <c r="F616" s="115"/>
      <c r="G616" s="116"/>
      <c r="H616" s="120"/>
      <c r="I616" s="120"/>
      <c r="J616" s="117"/>
      <c r="K616" s="118"/>
      <c r="L616" s="119"/>
      <c r="M616" s="120"/>
      <c r="N616" s="120"/>
      <c r="O616" s="120"/>
      <c r="P616" s="118"/>
      <c r="Q616" s="117"/>
      <c r="S616" s="2"/>
      <c r="T616" s="2"/>
    </row>
    <row r="617" spans="1:20" ht="15" customHeight="1">
      <c r="A617" s="163"/>
      <c r="B617" s="113"/>
      <c r="D617" s="113"/>
      <c r="F617" s="115"/>
      <c r="G617" s="116"/>
      <c r="H617" s="120"/>
      <c r="I617" s="120"/>
      <c r="J617" s="117"/>
      <c r="K617" s="118"/>
      <c r="L617" s="119"/>
      <c r="M617" s="120"/>
      <c r="N617" s="120"/>
      <c r="O617" s="120"/>
      <c r="P617" s="118"/>
      <c r="Q617" s="117"/>
      <c r="S617" s="2"/>
      <c r="T617" s="2"/>
    </row>
    <row r="618" spans="1:20" ht="15" customHeight="1">
      <c r="A618" s="163"/>
      <c r="B618" s="113"/>
      <c r="D618" s="113"/>
      <c r="F618" s="115"/>
      <c r="G618" s="116"/>
      <c r="H618" s="120"/>
      <c r="I618" s="120"/>
      <c r="J618" s="117"/>
      <c r="K618" s="118"/>
      <c r="L618" s="119"/>
      <c r="M618" s="120"/>
      <c r="N618" s="120"/>
      <c r="O618" s="120"/>
      <c r="P618" s="118"/>
      <c r="Q618" s="117"/>
      <c r="S618" s="2"/>
      <c r="T618" s="2"/>
    </row>
    <row r="619" spans="1:20" ht="15" customHeight="1">
      <c r="A619" s="163"/>
      <c r="B619" s="113"/>
      <c r="D619" s="113"/>
      <c r="F619" s="115"/>
      <c r="G619" s="116"/>
      <c r="H619" s="120"/>
      <c r="I619" s="120"/>
      <c r="J619" s="117"/>
      <c r="K619" s="118"/>
      <c r="L619" s="119"/>
      <c r="M619" s="120"/>
      <c r="N619" s="120"/>
      <c r="O619" s="120"/>
      <c r="P619" s="118"/>
      <c r="Q619" s="117"/>
      <c r="S619" s="2"/>
      <c r="T619" s="2"/>
    </row>
    <row r="620" spans="1:20" ht="15" customHeight="1">
      <c r="A620" s="163"/>
      <c r="B620" s="113"/>
      <c r="D620" s="113"/>
      <c r="F620" s="115"/>
      <c r="G620" s="116"/>
      <c r="H620" s="120"/>
      <c r="I620" s="120"/>
      <c r="J620" s="117"/>
      <c r="K620" s="118"/>
      <c r="L620" s="119"/>
      <c r="M620" s="120"/>
      <c r="N620" s="120"/>
      <c r="O620" s="120"/>
      <c r="P620" s="118"/>
      <c r="Q620" s="117"/>
      <c r="S620" s="2"/>
      <c r="T620" s="2"/>
    </row>
    <row r="621" spans="1:20" ht="15" customHeight="1">
      <c r="A621" s="163"/>
      <c r="B621" s="113"/>
      <c r="D621" s="113"/>
      <c r="F621" s="115"/>
      <c r="G621" s="116"/>
      <c r="H621" s="120"/>
      <c r="I621" s="120"/>
      <c r="J621" s="117"/>
      <c r="K621" s="118"/>
      <c r="L621" s="119"/>
      <c r="M621" s="120"/>
      <c r="N621" s="120"/>
      <c r="O621" s="120"/>
      <c r="P621" s="118"/>
      <c r="Q621" s="117"/>
      <c r="S621" s="2"/>
      <c r="T621" s="2"/>
    </row>
    <row r="622" spans="1:20" ht="15" customHeight="1">
      <c r="A622" s="163"/>
      <c r="B622" s="113"/>
      <c r="D622" s="113"/>
      <c r="F622" s="115"/>
      <c r="G622" s="116"/>
      <c r="H622" s="120"/>
      <c r="I622" s="120"/>
      <c r="J622" s="117"/>
      <c r="K622" s="118"/>
      <c r="L622" s="119"/>
      <c r="M622" s="120"/>
      <c r="N622" s="120"/>
      <c r="O622" s="120"/>
      <c r="P622" s="118"/>
      <c r="Q622" s="117"/>
      <c r="S622" s="2"/>
      <c r="T622" s="2"/>
    </row>
    <row r="623" spans="1:20" ht="15" customHeight="1">
      <c r="A623" s="163"/>
      <c r="B623" s="113"/>
      <c r="D623" s="113"/>
      <c r="F623" s="115"/>
      <c r="G623" s="116"/>
      <c r="H623" s="120"/>
      <c r="I623" s="120"/>
      <c r="J623" s="117"/>
      <c r="K623" s="118"/>
      <c r="L623" s="119"/>
      <c r="M623" s="120"/>
      <c r="N623" s="120"/>
      <c r="O623" s="120"/>
      <c r="P623" s="118"/>
      <c r="Q623" s="117"/>
      <c r="S623" s="2"/>
      <c r="T623" s="2"/>
    </row>
    <row r="624" spans="1:20" ht="15" customHeight="1">
      <c r="A624" s="163"/>
      <c r="B624" s="113"/>
      <c r="D624" s="113"/>
      <c r="F624" s="115"/>
      <c r="G624" s="116"/>
      <c r="H624" s="120"/>
      <c r="I624" s="120"/>
      <c r="J624" s="117"/>
      <c r="K624" s="118"/>
      <c r="L624" s="119"/>
      <c r="M624" s="120"/>
      <c r="N624" s="120"/>
      <c r="O624" s="120"/>
      <c r="P624" s="118"/>
      <c r="Q624" s="117"/>
      <c r="S624" s="2"/>
      <c r="T624" s="2"/>
    </row>
    <row r="625" spans="1:20" ht="15" customHeight="1">
      <c r="A625" s="163"/>
      <c r="B625" s="113"/>
      <c r="D625" s="113"/>
      <c r="F625" s="115"/>
      <c r="G625" s="116"/>
      <c r="H625" s="120"/>
      <c r="I625" s="120"/>
      <c r="J625" s="117"/>
      <c r="K625" s="118"/>
      <c r="L625" s="119"/>
      <c r="M625" s="120"/>
      <c r="N625" s="120"/>
      <c r="O625" s="120"/>
      <c r="P625" s="118"/>
      <c r="Q625" s="117"/>
      <c r="S625" s="2"/>
      <c r="T625" s="2"/>
    </row>
    <row r="626" spans="1:20" ht="15" customHeight="1">
      <c r="A626" s="163"/>
      <c r="B626" s="113"/>
      <c r="D626" s="113"/>
      <c r="F626" s="115"/>
      <c r="G626" s="116"/>
      <c r="H626" s="120"/>
      <c r="I626" s="120"/>
      <c r="J626" s="117"/>
      <c r="K626" s="118"/>
      <c r="L626" s="119"/>
      <c r="M626" s="120"/>
      <c r="N626" s="120"/>
      <c r="O626" s="120"/>
      <c r="P626" s="118"/>
      <c r="Q626" s="117"/>
      <c r="S626" s="2"/>
      <c r="T626" s="2"/>
    </row>
    <row r="627" spans="1:20" ht="15" customHeight="1">
      <c r="A627" s="163"/>
      <c r="B627" s="113"/>
      <c r="D627" s="113"/>
      <c r="F627" s="115"/>
      <c r="G627" s="116"/>
      <c r="H627" s="120"/>
      <c r="I627" s="120"/>
      <c r="J627" s="117"/>
      <c r="K627" s="118"/>
      <c r="L627" s="119"/>
      <c r="M627" s="120"/>
      <c r="N627" s="120"/>
      <c r="O627" s="120"/>
      <c r="P627" s="118"/>
      <c r="Q627" s="117"/>
      <c r="S627" s="2"/>
      <c r="T627" s="2"/>
    </row>
    <row r="628" spans="1:20" ht="15" customHeight="1">
      <c r="A628" s="163"/>
      <c r="B628" s="113"/>
      <c r="D628" s="113"/>
      <c r="F628" s="115"/>
      <c r="G628" s="116"/>
      <c r="H628" s="120"/>
      <c r="I628" s="120"/>
      <c r="J628" s="117"/>
      <c r="K628" s="118"/>
      <c r="L628" s="119"/>
      <c r="M628" s="120"/>
      <c r="N628" s="120"/>
      <c r="O628" s="120"/>
      <c r="P628" s="118"/>
      <c r="Q628" s="117"/>
      <c r="S628" s="2"/>
      <c r="T628" s="2"/>
    </row>
    <row r="629" spans="1:20" ht="15" customHeight="1">
      <c r="A629" s="163"/>
      <c r="B629" s="113"/>
      <c r="D629" s="113"/>
      <c r="F629" s="115"/>
      <c r="G629" s="116"/>
      <c r="H629" s="120"/>
      <c r="I629" s="120"/>
      <c r="J629" s="117"/>
      <c r="K629" s="118"/>
      <c r="L629" s="119"/>
      <c r="M629" s="120"/>
      <c r="N629" s="120"/>
      <c r="O629" s="120"/>
      <c r="P629" s="118"/>
      <c r="Q629" s="117"/>
      <c r="S629" s="2"/>
      <c r="T629" s="2"/>
    </row>
    <row r="630" spans="1:20" ht="15" customHeight="1">
      <c r="A630" s="163"/>
      <c r="B630" s="113"/>
      <c r="D630" s="113"/>
      <c r="F630" s="115"/>
      <c r="G630" s="116"/>
      <c r="H630" s="120"/>
      <c r="I630" s="120"/>
      <c r="J630" s="117"/>
      <c r="K630" s="118"/>
      <c r="L630" s="119"/>
      <c r="M630" s="120"/>
      <c r="N630" s="120"/>
      <c r="O630" s="120"/>
      <c r="P630" s="118"/>
      <c r="Q630" s="117"/>
      <c r="S630" s="2"/>
      <c r="T630" s="2"/>
    </row>
    <row r="631" spans="1:20" ht="15" customHeight="1">
      <c r="A631" s="163"/>
      <c r="B631" s="113"/>
      <c r="D631" s="113"/>
      <c r="F631" s="115"/>
      <c r="G631" s="116"/>
      <c r="H631" s="120"/>
      <c r="I631" s="120"/>
      <c r="J631" s="117"/>
      <c r="K631" s="118"/>
      <c r="L631" s="119"/>
      <c r="M631" s="120"/>
      <c r="N631" s="120"/>
      <c r="O631" s="120"/>
      <c r="P631" s="118"/>
      <c r="Q631" s="117"/>
      <c r="S631" s="2"/>
      <c r="T631" s="2"/>
    </row>
    <row r="632" spans="1:20" ht="15" customHeight="1">
      <c r="A632" s="163"/>
      <c r="B632" s="113"/>
      <c r="D632" s="113"/>
      <c r="F632" s="115"/>
      <c r="G632" s="116"/>
      <c r="H632" s="120"/>
      <c r="I632" s="120"/>
      <c r="J632" s="117"/>
      <c r="K632" s="118"/>
      <c r="L632" s="119"/>
      <c r="M632" s="120"/>
      <c r="N632" s="120"/>
      <c r="O632" s="120"/>
      <c r="P632" s="118"/>
      <c r="Q632" s="117"/>
      <c r="S632" s="2"/>
      <c r="T632" s="2"/>
    </row>
    <row r="633" spans="1:20" ht="15" customHeight="1">
      <c r="A633" s="163"/>
      <c r="B633" s="113"/>
      <c r="D633" s="113"/>
      <c r="F633" s="115"/>
      <c r="G633" s="116"/>
      <c r="H633" s="120"/>
      <c r="I633" s="120"/>
      <c r="J633" s="117"/>
      <c r="K633" s="118"/>
      <c r="L633" s="119"/>
      <c r="M633" s="120"/>
      <c r="N633" s="120"/>
      <c r="O633" s="120"/>
      <c r="P633" s="118"/>
      <c r="Q633" s="117"/>
      <c r="S633" s="2"/>
      <c r="T633" s="2"/>
    </row>
    <row r="634" spans="1:20" ht="15" customHeight="1">
      <c r="A634" s="163"/>
      <c r="B634" s="113"/>
      <c r="D634" s="113"/>
      <c r="F634" s="115"/>
      <c r="G634" s="116"/>
      <c r="H634" s="120"/>
      <c r="I634" s="120"/>
      <c r="J634" s="117"/>
      <c r="K634" s="118"/>
      <c r="L634" s="119"/>
      <c r="M634" s="120"/>
      <c r="N634" s="120"/>
      <c r="O634" s="120"/>
      <c r="P634" s="118"/>
      <c r="Q634" s="117"/>
      <c r="S634" s="2"/>
      <c r="T634" s="2"/>
    </row>
    <row r="635" spans="1:20" ht="15" customHeight="1">
      <c r="A635" s="163"/>
      <c r="B635" s="113"/>
      <c r="D635" s="113"/>
      <c r="F635" s="115"/>
      <c r="G635" s="116"/>
      <c r="H635" s="120"/>
      <c r="I635" s="120"/>
      <c r="J635" s="117"/>
      <c r="K635" s="118"/>
      <c r="L635" s="119"/>
      <c r="M635" s="120"/>
      <c r="N635" s="120"/>
      <c r="O635" s="120"/>
      <c r="P635" s="118"/>
      <c r="Q635" s="117"/>
      <c r="S635" s="2"/>
      <c r="T635" s="2"/>
    </row>
    <row r="636" spans="1:20" ht="15" customHeight="1">
      <c r="A636" s="163"/>
      <c r="B636" s="113"/>
      <c r="D636" s="113"/>
      <c r="F636" s="115"/>
      <c r="G636" s="116"/>
      <c r="H636" s="120"/>
      <c r="I636" s="120"/>
      <c r="J636" s="117"/>
      <c r="K636" s="118"/>
      <c r="L636" s="119"/>
      <c r="M636" s="120"/>
      <c r="N636" s="120"/>
      <c r="O636" s="120"/>
      <c r="P636" s="118"/>
      <c r="Q636" s="117"/>
      <c r="S636" s="2"/>
      <c r="T636" s="2"/>
    </row>
    <row r="637" spans="1:20" ht="15" customHeight="1">
      <c r="A637" s="163"/>
      <c r="B637" s="113"/>
      <c r="D637" s="113"/>
      <c r="F637" s="115"/>
      <c r="G637" s="116"/>
      <c r="H637" s="120"/>
      <c r="I637" s="120"/>
      <c r="J637" s="117"/>
      <c r="K637" s="118"/>
      <c r="L637" s="119"/>
      <c r="M637" s="120"/>
      <c r="N637" s="120"/>
      <c r="O637" s="120"/>
      <c r="P637" s="118"/>
      <c r="Q637" s="117"/>
      <c r="S637" s="2"/>
      <c r="T637" s="2"/>
    </row>
    <row r="638" spans="1:20" ht="15" customHeight="1">
      <c r="A638" s="163"/>
      <c r="B638" s="113"/>
      <c r="D638" s="113"/>
      <c r="F638" s="115"/>
      <c r="G638" s="116"/>
      <c r="H638" s="120"/>
      <c r="I638" s="120"/>
      <c r="J638" s="117"/>
      <c r="K638" s="118"/>
      <c r="L638" s="119"/>
      <c r="M638" s="120"/>
      <c r="N638" s="120"/>
      <c r="O638" s="120"/>
      <c r="P638" s="118"/>
      <c r="Q638" s="117"/>
      <c r="S638" s="2"/>
      <c r="T638" s="2"/>
    </row>
    <row r="639" spans="1:20" ht="15" customHeight="1">
      <c r="A639" s="163"/>
      <c r="B639" s="113"/>
      <c r="D639" s="113"/>
      <c r="F639" s="115"/>
      <c r="G639" s="116"/>
      <c r="H639" s="120"/>
      <c r="I639" s="120"/>
      <c r="J639" s="117"/>
      <c r="K639" s="118"/>
      <c r="L639" s="119"/>
      <c r="M639" s="120"/>
      <c r="N639" s="120"/>
      <c r="O639" s="120"/>
      <c r="P639" s="118"/>
      <c r="Q639" s="117"/>
      <c r="S639" s="2"/>
      <c r="T639" s="2"/>
    </row>
    <row r="640" spans="1:20" ht="15" customHeight="1">
      <c r="A640" s="163"/>
      <c r="B640" s="113"/>
      <c r="D640" s="113"/>
      <c r="F640" s="115"/>
      <c r="G640" s="116"/>
      <c r="H640" s="120"/>
      <c r="I640" s="120"/>
      <c r="J640" s="117"/>
      <c r="K640" s="118"/>
      <c r="L640" s="119"/>
      <c r="M640" s="120"/>
      <c r="N640" s="120"/>
      <c r="O640" s="120"/>
      <c r="P640" s="118"/>
      <c r="Q640" s="117"/>
      <c r="S640" s="2"/>
      <c r="T640" s="2"/>
    </row>
    <row r="641" spans="1:20" ht="15" customHeight="1">
      <c r="A641" s="163"/>
      <c r="B641" s="113"/>
      <c r="D641" s="113"/>
      <c r="F641" s="115"/>
      <c r="G641" s="116"/>
      <c r="H641" s="120"/>
      <c r="I641" s="120"/>
      <c r="J641" s="117"/>
      <c r="K641" s="118"/>
      <c r="L641" s="119"/>
      <c r="M641" s="120"/>
      <c r="N641" s="120"/>
      <c r="O641" s="120"/>
      <c r="P641" s="118"/>
      <c r="Q641" s="117"/>
      <c r="S641" s="2"/>
      <c r="T641" s="2"/>
    </row>
    <row r="642" spans="1:20" ht="15" customHeight="1">
      <c r="A642" s="163"/>
      <c r="B642" s="113"/>
      <c r="D642" s="113"/>
      <c r="F642" s="115"/>
      <c r="G642" s="116"/>
      <c r="H642" s="120"/>
      <c r="I642" s="120"/>
      <c r="J642" s="117"/>
      <c r="K642" s="118"/>
      <c r="L642" s="119"/>
      <c r="M642" s="120"/>
      <c r="N642" s="120"/>
      <c r="O642" s="120"/>
      <c r="P642" s="118"/>
      <c r="Q642" s="117"/>
      <c r="S642" s="2"/>
      <c r="T642" s="2"/>
    </row>
    <row r="643" spans="1:20" ht="15" customHeight="1">
      <c r="A643" s="163"/>
      <c r="B643" s="113"/>
      <c r="D643" s="113"/>
      <c r="F643" s="115"/>
      <c r="G643" s="116"/>
      <c r="H643" s="120"/>
      <c r="I643" s="120"/>
      <c r="J643" s="117"/>
      <c r="K643" s="118"/>
      <c r="L643" s="119"/>
      <c r="M643" s="120"/>
      <c r="N643" s="120"/>
      <c r="O643" s="120"/>
      <c r="P643" s="118"/>
      <c r="Q643" s="117"/>
      <c r="S643" s="2"/>
      <c r="T643" s="2"/>
    </row>
    <row r="644" spans="1:20" ht="15" customHeight="1">
      <c r="A644" s="163"/>
      <c r="B644" s="113"/>
      <c r="D644" s="113"/>
      <c r="F644" s="115"/>
      <c r="G644" s="116"/>
      <c r="H644" s="120"/>
      <c r="I644" s="120"/>
      <c r="J644" s="117"/>
      <c r="K644" s="118"/>
      <c r="L644" s="119"/>
      <c r="M644" s="120"/>
      <c r="N644" s="120"/>
      <c r="O644" s="120"/>
      <c r="P644" s="118"/>
      <c r="Q644" s="117"/>
      <c r="S644" s="2"/>
      <c r="T644" s="2"/>
    </row>
    <row r="645" spans="1:20" ht="15" customHeight="1">
      <c r="A645" s="163"/>
      <c r="B645" s="113"/>
      <c r="D645" s="113"/>
      <c r="F645" s="115"/>
      <c r="G645" s="116"/>
      <c r="H645" s="120"/>
      <c r="I645" s="120"/>
      <c r="J645" s="117"/>
      <c r="K645" s="118"/>
      <c r="L645" s="119"/>
      <c r="M645" s="120"/>
      <c r="N645" s="120"/>
      <c r="O645" s="120"/>
      <c r="P645" s="118"/>
      <c r="Q645" s="117"/>
      <c r="S645" s="2"/>
      <c r="T645" s="2"/>
    </row>
    <row r="646" spans="1:20" ht="15" customHeight="1">
      <c r="A646" s="163"/>
      <c r="B646" s="113"/>
      <c r="D646" s="113"/>
      <c r="F646" s="115"/>
      <c r="G646" s="116"/>
      <c r="H646" s="120"/>
      <c r="I646" s="120"/>
      <c r="J646" s="117"/>
      <c r="K646" s="118"/>
      <c r="L646" s="119"/>
      <c r="M646" s="120"/>
      <c r="N646" s="120"/>
      <c r="O646" s="120"/>
      <c r="P646" s="118"/>
      <c r="Q646" s="117"/>
      <c r="S646" s="2"/>
      <c r="T646" s="2"/>
    </row>
    <row r="647" spans="1:20" ht="15" customHeight="1">
      <c r="A647" s="163"/>
      <c r="B647" s="113"/>
      <c r="D647" s="113"/>
      <c r="F647" s="115"/>
      <c r="G647" s="116"/>
      <c r="H647" s="120"/>
      <c r="I647" s="120"/>
      <c r="J647" s="117"/>
      <c r="K647" s="118"/>
      <c r="L647" s="119"/>
      <c r="M647" s="120"/>
      <c r="N647" s="120"/>
      <c r="O647" s="120"/>
      <c r="P647" s="118"/>
      <c r="Q647" s="117"/>
      <c r="S647" s="2"/>
      <c r="T647" s="2"/>
    </row>
    <row r="648" spans="1:20" ht="15" customHeight="1">
      <c r="A648" s="163"/>
      <c r="B648" s="113"/>
      <c r="D648" s="113"/>
      <c r="F648" s="115"/>
      <c r="G648" s="116"/>
      <c r="H648" s="120"/>
      <c r="I648" s="120"/>
      <c r="J648" s="117"/>
      <c r="K648" s="118"/>
      <c r="L648" s="119"/>
      <c r="M648" s="120"/>
      <c r="N648" s="120"/>
      <c r="O648" s="120"/>
      <c r="P648" s="118"/>
      <c r="Q648" s="117"/>
      <c r="S648" s="2"/>
      <c r="T648" s="2"/>
    </row>
    <row r="649" spans="1:20" ht="15" customHeight="1">
      <c r="A649" s="163"/>
      <c r="B649" s="113"/>
      <c r="D649" s="113"/>
      <c r="F649" s="115"/>
      <c r="G649" s="116"/>
      <c r="H649" s="120"/>
      <c r="I649" s="120"/>
      <c r="J649" s="117"/>
      <c r="K649" s="118"/>
      <c r="L649" s="119"/>
      <c r="M649" s="120"/>
      <c r="N649" s="120"/>
      <c r="O649" s="120"/>
      <c r="P649" s="118"/>
      <c r="Q649" s="117"/>
      <c r="S649" s="2"/>
      <c r="T649" s="2"/>
    </row>
    <row r="650" spans="1:20" ht="15" customHeight="1">
      <c r="A650" s="163"/>
      <c r="B650" s="113"/>
      <c r="D650" s="113"/>
      <c r="F650" s="115"/>
      <c r="G650" s="116"/>
      <c r="H650" s="120"/>
      <c r="I650" s="120"/>
      <c r="J650" s="117"/>
      <c r="K650" s="118"/>
      <c r="L650" s="119"/>
      <c r="M650" s="120"/>
      <c r="N650" s="120"/>
      <c r="O650" s="120"/>
      <c r="P650" s="118"/>
      <c r="Q650" s="117"/>
      <c r="S650" s="2"/>
      <c r="T650" s="2"/>
    </row>
    <row r="651" spans="1:20" ht="15" customHeight="1">
      <c r="A651" s="163"/>
      <c r="B651" s="113"/>
      <c r="D651" s="113"/>
      <c r="F651" s="115"/>
      <c r="G651" s="116"/>
      <c r="H651" s="120"/>
      <c r="I651" s="120"/>
      <c r="J651" s="117"/>
      <c r="K651" s="118"/>
      <c r="L651" s="119"/>
      <c r="M651" s="120"/>
      <c r="N651" s="120"/>
      <c r="O651" s="120"/>
      <c r="P651" s="118"/>
      <c r="Q651" s="117"/>
      <c r="S651" s="2"/>
      <c r="T651" s="2"/>
    </row>
    <row r="652" spans="1:20" ht="15" customHeight="1">
      <c r="A652" s="163"/>
      <c r="B652" s="113"/>
      <c r="D652" s="113"/>
      <c r="F652" s="115"/>
      <c r="G652" s="116"/>
      <c r="H652" s="120"/>
      <c r="I652" s="120"/>
      <c r="J652" s="117"/>
      <c r="K652" s="118"/>
      <c r="L652" s="119"/>
      <c r="M652" s="120"/>
      <c r="N652" s="120"/>
      <c r="O652" s="120"/>
      <c r="P652" s="118"/>
      <c r="Q652" s="117"/>
      <c r="S652" s="2"/>
      <c r="T652" s="2"/>
    </row>
    <row r="653" spans="1:20" ht="15" customHeight="1">
      <c r="A653" s="163"/>
      <c r="B653" s="113"/>
      <c r="D653" s="113"/>
      <c r="F653" s="115"/>
      <c r="G653" s="116"/>
      <c r="H653" s="120"/>
      <c r="I653" s="120"/>
      <c r="J653" s="117"/>
      <c r="K653" s="118"/>
      <c r="L653" s="119"/>
      <c r="M653" s="120"/>
      <c r="N653" s="120"/>
      <c r="O653" s="120"/>
      <c r="P653" s="118"/>
      <c r="Q653" s="117"/>
      <c r="S653" s="2"/>
      <c r="T653" s="2"/>
    </row>
    <row r="654" spans="1:20" ht="15" customHeight="1">
      <c r="A654" s="163"/>
      <c r="B654" s="113"/>
      <c r="D654" s="113"/>
      <c r="F654" s="115"/>
      <c r="G654" s="116"/>
      <c r="H654" s="120"/>
      <c r="I654" s="120"/>
      <c r="J654" s="117"/>
      <c r="K654" s="118"/>
      <c r="L654" s="119"/>
      <c r="M654" s="120"/>
      <c r="N654" s="120"/>
      <c r="O654" s="120"/>
      <c r="P654" s="118"/>
      <c r="Q654" s="117"/>
      <c r="S654" s="2"/>
      <c r="T654" s="2"/>
    </row>
    <row r="655" spans="1:20" ht="15" customHeight="1">
      <c r="A655" s="163"/>
      <c r="B655" s="113"/>
      <c r="D655" s="113"/>
      <c r="F655" s="115"/>
      <c r="G655" s="116"/>
      <c r="H655" s="120"/>
      <c r="I655" s="120"/>
      <c r="J655" s="117"/>
      <c r="K655" s="118"/>
      <c r="L655" s="119"/>
      <c r="M655" s="120"/>
      <c r="N655" s="120"/>
      <c r="O655" s="120"/>
      <c r="P655" s="118"/>
      <c r="Q655" s="117"/>
      <c r="S655" s="2"/>
      <c r="T655" s="2"/>
    </row>
    <row r="656" spans="1:20" ht="15" customHeight="1">
      <c r="A656" s="163"/>
      <c r="B656" s="113"/>
      <c r="D656" s="113"/>
      <c r="F656" s="115"/>
      <c r="G656" s="116"/>
      <c r="H656" s="120"/>
      <c r="I656" s="120"/>
      <c r="J656" s="117"/>
      <c r="K656" s="118"/>
      <c r="L656" s="119"/>
      <c r="M656" s="120"/>
      <c r="N656" s="120"/>
      <c r="O656" s="120"/>
      <c r="P656" s="118"/>
      <c r="Q656" s="117"/>
      <c r="S656" s="2"/>
      <c r="T656" s="2"/>
    </row>
    <row r="657" spans="1:20" ht="15" customHeight="1">
      <c r="A657" s="163"/>
      <c r="B657" s="113"/>
      <c r="D657" s="113"/>
      <c r="F657" s="115"/>
      <c r="G657" s="116"/>
      <c r="H657" s="120"/>
      <c r="I657" s="120"/>
      <c r="J657" s="117"/>
      <c r="K657" s="118"/>
      <c r="L657" s="119"/>
      <c r="M657" s="120"/>
      <c r="N657" s="120"/>
      <c r="O657" s="120"/>
      <c r="P657" s="118"/>
      <c r="Q657" s="117"/>
      <c r="S657" s="2"/>
      <c r="T657" s="2"/>
    </row>
    <row r="658" spans="1:20" ht="15" customHeight="1">
      <c r="A658" s="163"/>
      <c r="B658" s="113"/>
      <c r="D658" s="113"/>
      <c r="F658" s="115"/>
      <c r="G658" s="116"/>
      <c r="H658" s="120"/>
      <c r="I658" s="120"/>
      <c r="J658" s="117"/>
      <c r="K658" s="118"/>
      <c r="L658" s="119"/>
      <c r="M658" s="120"/>
      <c r="N658" s="120"/>
      <c r="O658" s="120"/>
      <c r="P658" s="118"/>
      <c r="Q658" s="117"/>
      <c r="S658" s="2"/>
      <c r="T658" s="2"/>
    </row>
    <row r="659" spans="1:20" ht="15" customHeight="1">
      <c r="A659" s="163"/>
      <c r="B659" s="113"/>
      <c r="D659" s="113"/>
      <c r="F659" s="115"/>
      <c r="G659" s="116"/>
      <c r="H659" s="120"/>
      <c r="I659" s="120"/>
      <c r="J659" s="117"/>
      <c r="K659" s="118"/>
      <c r="L659" s="119"/>
      <c r="M659" s="120"/>
      <c r="N659" s="120"/>
      <c r="O659" s="120"/>
      <c r="P659" s="118"/>
      <c r="Q659" s="117"/>
      <c r="S659" s="2"/>
      <c r="T659" s="2"/>
    </row>
    <row r="660" spans="1:20" ht="15" customHeight="1">
      <c r="A660" s="163"/>
      <c r="B660" s="113"/>
      <c r="D660" s="113"/>
      <c r="F660" s="115"/>
      <c r="G660" s="116"/>
      <c r="H660" s="120"/>
      <c r="I660" s="120"/>
      <c r="J660" s="117"/>
      <c r="K660" s="118"/>
      <c r="L660" s="119"/>
      <c r="M660" s="120"/>
      <c r="N660" s="120"/>
      <c r="O660" s="120"/>
      <c r="P660" s="118"/>
      <c r="Q660" s="117"/>
      <c r="S660" s="2"/>
      <c r="T660" s="2"/>
    </row>
    <row r="661" spans="1:20" ht="15" customHeight="1">
      <c r="A661" s="163"/>
      <c r="B661" s="113"/>
      <c r="D661" s="113"/>
      <c r="F661" s="115"/>
      <c r="G661" s="116"/>
      <c r="H661" s="120"/>
      <c r="I661" s="120"/>
      <c r="J661" s="117"/>
      <c r="K661" s="118"/>
      <c r="L661" s="119"/>
      <c r="M661" s="120"/>
      <c r="N661" s="120"/>
      <c r="O661" s="120"/>
      <c r="P661" s="118"/>
      <c r="Q661" s="117"/>
      <c r="S661" s="2"/>
      <c r="T661" s="2"/>
    </row>
    <row r="662" spans="1:20" ht="15" customHeight="1">
      <c r="A662" s="163"/>
      <c r="B662" s="113"/>
      <c r="D662" s="113"/>
      <c r="F662" s="115"/>
      <c r="G662" s="116"/>
      <c r="H662" s="120"/>
      <c r="I662" s="120"/>
      <c r="J662" s="117"/>
      <c r="K662" s="118"/>
      <c r="L662" s="119"/>
      <c r="M662" s="120"/>
      <c r="N662" s="120"/>
      <c r="O662" s="120"/>
      <c r="P662" s="118"/>
      <c r="Q662" s="117"/>
      <c r="S662" s="2"/>
      <c r="T662" s="2"/>
    </row>
    <row r="663" spans="1:20" ht="15" customHeight="1">
      <c r="A663" s="163"/>
      <c r="B663" s="113"/>
      <c r="D663" s="113"/>
      <c r="F663" s="115"/>
      <c r="G663" s="116"/>
      <c r="H663" s="120"/>
      <c r="I663" s="120"/>
      <c r="J663" s="117"/>
      <c r="K663" s="118"/>
      <c r="L663" s="119"/>
      <c r="M663" s="120"/>
      <c r="N663" s="120"/>
      <c r="O663" s="120"/>
      <c r="P663" s="118"/>
      <c r="Q663" s="117"/>
      <c r="S663" s="2"/>
      <c r="T663" s="2"/>
    </row>
    <row r="664" spans="1:20" ht="15" customHeight="1">
      <c r="A664" s="163"/>
      <c r="B664" s="113"/>
      <c r="D664" s="113"/>
      <c r="F664" s="115"/>
      <c r="G664" s="116"/>
      <c r="H664" s="120"/>
      <c r="I664" s="120"/>
      <c r="J664" s="117"/>
      <c r="K664" s="118"/>
      <c r="L664" s="119"/>
      <c r="M664" s="120"/>
      <c r="N664" s="120"/>
      <c r="O664" s="120"/>
      <c r="P664" s="118"/>
      <c r="Q664" s="117"/>
      <c r="S664" s="2"/>
      <c r="T664" s="2"/>
    </row>
    <row r="665" spans="1:20" ht="15" customHeight="1">
      <c r="A665" s="163"/>
      <c r="B665" s="113"/>
      <c r="D665" s="113"/>
      <c r="F665" s="115"/>
      <c r="G665" s="116"/>
      <c r="H665" s="120"/>
      <c r="I665" s="120"/>
      <c r="J665" s="117"/>
      <c r="K665" s="118"/>
      <c r="L665" s="119"/>
      <c r="M665" s="120"/>
      <c r="N665" s="120"/>
      <c r="O665" s="120"/>
      <c r="P665" s="118"/>
      <c r="Q665" s="117"/>
      <c r="S665" s="2"/>
      <c r="T665" s="2"/>
    </row>
    <row r="666" spans="1:20" ht="15" customHeight="1">
      <c r="A666" s="163"/>
      <c r="B666" s="113"/>
      <c r="D666" s="113"/>
      <c r="F666" s="115"/>
      <c r="G666" s="116"/>
      <c r="H666" s="120"/>
      <c r="I666" s="120"/>
      <c r="J666" s="117"/>
      <c r="K666" s="118"/>
      <c r="L666" s="119"/>
      <c r="M666" s="120"/>
      <c r="N666" s="120"/>
      <c r="O666" s="120"/>
      <c r="P666" s="118"/>
      <c r="Q666" s="117"/>
      <c r="S666" s="2"/>
      <c r="T666" s="2"/>
    </row>
    <row r="667" spans="1:20" ht="15" customHeight="1">
      <c r="A667" s="163"/>
      <c r="B667" s="113"/>
      <c r="D667" s="113"/>
      <c r="F667" s="115"/>
      <c r="G667" s="116"/>
      <c r="H667" s="120"/>
      <c r="I667" s="120"/>
      <c r="J667" s="117"/>
      <c r="K667" s="118"/>
      <c r="L667" s="119"/>
      <c r="M667" s="120"/>
      <c r="N667" s="120"/>
      <c r="O667" s="120"/>
      <c r="P667" s="118"/>
      <c r="Q667" s="117"/>
      <c r="S667" s="2"/>
      <c r="T667" s="2"/>
    </row>
    <row r="668" spans="1:20" ht="15" customHeight="1">
      <c r="A668" s="163"/>
      <c r="B668" s="113"/>
      <c r="D668" s="113"/>
      <c r="F668" s="115"/>
      <c r="G668" s="116"/>
      <c r="H668" s="120"/>
      <c r="I668" s="120"/>
      <c r="J668" s="117"/>
      <c r="K668" s="118"/>
      <c r="L668" s="119"/>
      <c r="M668" s="120"/>
      <c r="N668" s="120"/>
      <c r="O668" s="120"/>
      <c r="P668" s="118"/>
      <c r="Q668" s="117"/>
      <c r="S668" s="2"/>
      <c r="T668" s="2"/>
    </row>
    <row r="669" spans="1:20" ht="15" customHeight="1">
      <c r="A669" s="163"/>
      <c r="B669" s="113"/>
      <c r="D669" s="113"/>
      <c r="F669" s="115"/>
      <c r="G669" s="116"/>
      <c r="H669" s="120"/>
      <c r="I669" s="120"/>
      <c r="J669" s="117"/>
      <c r="K669" s="118"/>
      <c r="L669" s="119"/>
      <c r="M669" s="120"/>
      <c r="N669" s="120"/>
      <c r="O669" s="120"/>
      <c r="P669" s="118"/>
      <c r="Q669" s="117"/>
      <c r="S669" s="2"/>
      <c r="T669" s="2"/>
    </row>
    <row r="670" spans="1:20" ht="15" customHeight="1">
      <c r="A670" s="163"/>
      <c r="B670" s="113"/>
      <c r="D670" s="113"/>
      <c r="F670" s="115"/>
      <c r="G670" s="116"/>
      <c r="H670" s="120"/>
      <c r="I670" s="120"/>
      <c r="J670" s="117"/>
      <c r="K670" s="118"/>
      <c r="L670" s="119"/>
      <c r="M670" s="120"/>
      <c r="N670" s="120"/>
      <c r="O670" s="120"/>
      <c r="P670" s="118"/>
      <c r="Q670" s="117"/>
      <c r="S670" s="2"/>
      <c r="T670" s="2"/>
    </row>
    <row r="671" spans="1:20" ht="15" customHeight="1">
      <c r="A671" s="163"/>
      <c r="B671" s="113"/>
      <c r="D671" s="113"/>
      <c r="F671" s="115"/>
      <c r="G671" s="116"/>
      <c r="H671" s="120"/>
      <c r="I671" s="120"/>
      <c r="J671" s="117"/>
      <c r="K671" s="118"/>
      <c r="L671" s="119"/>
      <c r="M671" s="120"/>
      <c r="N671" s="120"/>
      <c r="O671" s="120"/>
      <c r="P671" s="118"/>
      <c r="Q671" s="117"/>
      <c r="S671" s="2"/>
      <c r="T671" s="2"/>
    </row>
    <row r="672" spans="1:20" ht="15" customHeight="1">
      <c r="A672" s="163"/>
      <c r="B672" s="113"/>
      <c r="D672" s="113"/>
      <c r="F672" s="115"/>
      <c r="G672" s="116"/>
      <c r="H672" s="120"/>
      <c r="I672" s="120"/>
      <c r="J672" s="117"/>
      <c r="K672" s="118"/>
      <c r="L672" s="119"/>
      <c r="M672" s="120"/>
      <c r="N672" s="120"/>
      <c r="O672" s="120"/>
      <c r="P672" s="118"/>
      <c r="Q672" s="117"/>
      <c r="S672" s="2"/>
      <c r="T672" s="2"/>
    </row>
    <row r="673" spans="1:20" ht="15" customHeight="1">
      <c r="A673" s="163"/>
      <c r="B673" s="113"/>
      <c r="D673" s="113"/>
      <c r="F673" s="115"/>
      <c r="G673" s="116"/>
      <c r="H673" s="120"/>
      <c r="I673" s="120"/>
      <c r="J673" s="117"/>
      <c r="K673" s="118"/>
      <c r="L673" s="119"/>
      <c r="M673" s="120"/>
      <c r="N673" s="120"/>
      <c r="O673" s="120"/>
      <c r="P673" s="118"/>
      <c r="Q673" s="117"/>
      <c r="S673" s="2"/>
      <c r="T673" s="2"/>
    </row>
    <row r="674" spans="1:20" ht="15" customHeight="1">
      <c r="A674" s="163"/>
      <c r="B674" s="113"/>
      <c r="D674" s="113"/>
      <c r="F674" s="115"/>
      <c r="G674" s="116"/>
      <c r="H674" s="120"/>
      <c r="I674" s="120"/>
      <c r="J674" s="117"/>
      <c r="K674" s="118"/>
      <c r="L674" s="119"/>
      <c r="M674" s="120"/>
      <c r="N674" s="120"/>
      <c r="O674" s="120"/>
      <c r="P674" s="118"/>
      <c r="Q674" s="117"/>
      <c r="S674" s="2"/>
      <c r="T674" s="2"/>
    </row>
    <row r="675" spans="1:20" ht="15" customHeight="1">
      <c r="A675" s="163"/>
      <c r="B675" s="113"/>
      <c r="D675" s="113"/>
      <c r="F675" s="115"/>
      <c r="G675" s="116"/>
      <c r="H675" s="120"/>
      <c r="I675" s="120"/>
      <c r="J675" s="117"/>
      <c r="K675" s="118"/>
      <c r="L675" s="119"/>
      <c r="M675" s="120"/>
      <c r="N675" s="120"/>
      <c r="O675" s="120"/>
      <c r="P675" s="118"/>
      <c r="Q675" s="117"/>
      <c r="S675" s="2"/>
      <c r="T675" s="2"/>
    </row>
    <row r="676" spans="1:20" ht="15" customHeight="1">
      <c r="A676" s="163"/>
      <c r="B676" s="113"/>
      <c r="D676" s="113"/>
      <c r="F676" s="115"/>
      <c r="G676" s="116"/>
      <c r="H676" s="120"/>
      <c r="I676" s="120"/>
      <c r="J676" s="117"/>
      <c r="K676" s="118"/>
      <c r="L676" s="119"/>
      <c r="M676" s="120"/>
      <c r="N676" s="120"/>
      <c r="O676" s="120"/>
      <c r="P676" s="118"/>
      <c r="Q676" s="117"/>
      <c r="S676" s="2"/>
      <c r="T676" s="2"/>
    </row>
    <row r="677" spans="1:20" ht="15" customHeight="1">
      <c r="A677" s="163"/>
      <c r="B677" s="113"/>
      <c r="D677" s="113"/>
      <c r="F677" s="115"/>
      <c r="G677" s="116"/>
      <c r="H677" s="120"/>
      <c r="I677" s="120"/>
      <c r="J677" s="117"/>
      <c r="K677" s="118"/>
      <c r="L677" s="119"/>
      <c r="M677" s="120"/>
      <c r="N677" s="120"/>
      <c r="O677" s="120"/>
      <c r="P677" s="118"/>
      <c r="Q677" s="117"/>
      <c r="S677" s="2"/>
      <c r="T677" s="2"/>
    </row>
    <row r="678" spans="1:20" ht="15" customHeight="1">
      <c r="A678" s="163"/>
      <c r="B678" s="113"/>
      <c r="D678" s="113"/>
      <c r="F678" s="115"/>
      <c r="G678" s="116"/>
      <c r="H678" s="120"/>
      <c r="I678" s="120"/>
      <c r="J678" s="117"/>
      <c r="K678" s="118"/>
      <c r="L678" s="119"/>
      <c r="M678" s="120"/>
      <c r="N678" s="120"/>
      <c r="O678" s="120"/>
      <c r="P678" s="118"/>
      <c r="Q678" s="117"/>
      <c r="S678" s="2"/>
      <c r="T678" s="2"/>
    </row>
    <row r="679" spans="1:20" ht="15" customHeight="1">
      <c r="A679" s="163"/>
      <c r="B679" s="113"/>
      <c r="D679" s="113"/>
      <c r="F679" s="115"/>
      <c r="G679" s="116"/>
      <c r="H679" s="120"/>
      <c r="I679" s="120"/>
      <c r="J679" s="117"/>
      <c r="K679" s="118"/>
      <c r="L679" s="119"/>
      <c r="M679" s="120"/>
      <c r="N679" s="120"/>
      <c r="O679" s="120"/>
      <c r="P679" s="118"/>
      <c r="Q679" s="117"/>
      <c r="S679" s="2"/>
      <c r="T679" s="2"/>
    </row>
    <row r="680" spans="1:20" ht="15" customHeight="1">
      <c r="A680" s="163"/>
      <c r="B680" s="113"/>
      <c r="D680" s="113"/>
      <c r="F680" s="115"/>
      <c r="G680" s="116"/>
      <c r="H680" s="120"/>
      <c r="I680" s="120"/>
      <c r="J680" s="117"/>
      <c r="K680" s="118"/>
      <c r="L680" s="119"/>
      <c r="M680" s="120"/>
      <c r="N680" s="120"/>
      <c r="O680" s="120"/>
      <c r="P680" s="118"/>
      <c r="Q680" s="117"/>
      <c r="S680" s="2"/>
      <c r="T680" s="2"/>
    </row>
    <row r="681" spans="1:20" ht="15" customHeight="1">
      <c r="A681" s="163"/>
      <c r="B681" s="113"/>
      <c r="D681" s="113"/>
      <c r="F681" s="115"/>
      <c r="G681" s="116"/>
      <c r="H681" s="120"/>
      <c r="I681" s="120"/>
      <c r="J681" s="117"/>
      <c r="K681" s="118"/>
      <c r="L681" s="119"/>
      <c r="M681" s="120"/>
      <c r="N681" s="120"/>
      <c r="O681" s="120"/>
      <c r="P681" s="118"/>
      <c r="Q681" s="117"/>
      <c r="S681" s="2"/>
      <c r="T681" s="2"/>
    </row>
    <row r="682" spans="1:20" ht="15" customHeight="1">
      <c r="A682" s="163"/>
      <c r="B682" s="113"/>
      <c r="D682" s="113"/>
      <c r="F682" s="115"/>
      <c r="G682" s="116"/>
      <c r="H682" s="120"/>
      <c r="I682" s="120"/>
      <c r="J682" s="117"/>
      <c r="K682" s="118"/>
      <c r="L682" s="119"/>
      <c r="M682" s="120"/>
      <c r="N682" s="120"/>
      <c r="O682" s="120"/>
      <c r="P682" s="118"/>
      <c r="Q682" s="117"/>
      <c r="S682" s="2"/>
      <c r="T682" s="2"/>
    </row>
    <row r="683" spans="1:20" ht="15" customHeight="1">
      <c r="A683" s="163"/>
      <c r="B683" s="113"/>
      <c r="D683" s="113"/>
      <c r="F683" s="115"/>
      <c r="G683" s="116"/>
      <c r="H683" s="120"/>
      <c r="I683" s="120"/>
      <c r="J683" s="117"/>
      <c r="K683" s="118"/>
      <c r="L683" s="119"/>
      <c r="M683" s="120"/>
      <c r="N683" s="120"/>
      <c r="O683" s="120"/>
      <c r="P683" s="118"/>
      <c r="Q683" s="117"/>
      <c r="S683" s="2"/>
      <c r="T683" s="2"/>
    </row>
    <row r="684" spans="1:20" ht="15" customHeight="1">
      <c r="A684" s="163"/>
      <c r="B684" s="113"/>
      <c r="D684" s="113"/>
      <c r="F684" s="115"/>
      <c r="G684" s="116"/>
      <c r="H684" s="120"/>
      <c r="I684" s="120"/>
      <c r="J684" s="117"/>
      <c r="K684" s="118"/>
      <c r="L684" s="119"/>
      <c r="M684" s="120"/>
      <c r="N684" s="120"/>
      <c r="O684" s="120"/>
      <c r="P684" s="118"/>
      <c r="Q684" s="117"/>
      <c r="S684" s="2"/>
      <c r="T684" s="2"/>
    </row>
    <row r="685" spans="1:20" ht="15" customHeight="1">
      <c r="A685" s="163"/>
      <c r="B685" s="113"/>
      <c r="D685" s="113"/>
      <c r="F685" s="115"/>
      <c r="G685" s="116"/>
      <c r="H685" s="120"/>
      <c r="I685" s="120"/>
      <c r="J685" s="117"/>
      <c r="K685" s="118"/>
      <c r="L685" s="119"/>
      <c r="M685" s="120"/>
      <c r="N685" s="120"/>
      <c r="O685" s="120"/>
      <c r="P685" s="118"/>
      <c r="Q685" s="117"/>
      <c r="S685" s="2"/>
      <c r="T685" s="2"/>
    </row>
    <row r="686" spans="1:20" ht="15" customHeight="1">
      <c r="A686" s="163"/>
      <c r="B686" s="113"/>
      <c r="D686" s="113"/>
      <c r="F686" s="115"/>
      <c r="G686" s="116"/>
      <c r="H686" s="120"/>
      <c r="I686" s="120"/>
      <c r="J686" s="117"/>
      <c r="K686" s="118"/>
      <c r="L686" s="119"/>
      <c r="M686" s="120"/>
      <c r="N686" s="120"/>
      <c r="O686" s="120"/>
      <c r="P686" s="118"/>
      <c r="Q686" s="117"/>
      <c r="S686" s="2"/>
      <c r="T686" s="2"/>
    </row>
    <row r="687" spans="1:20" ht="15" customHeight="1">
      <c r="A687" s="163"/>
      <c r="B687" s="113"/>
      <c r="D687" s="113"/>
      <c r="F687" s="115"/>
      <c r="G687" s="116"/>
      <c r="H687" s="120"/>
      <c r="I687" s="120"/>
      <c r="J687" s="117"/>
      <c r="K687" s="118"/>
      <c r="L687" s="119"/>
      <c r="M687" s="120"/>
      <c r="N687" s="120"/>
      <c r="O687" s="120"/>
      <c r="P687" s="118"/>
      <c r="Q687" s="117"/>
      <c r="S687" s="2"/>
      <c r="T687" s="2"/>
    </row>
    <row r="688" spans="1:20" ht="15" customHeight="1">
      <c r="A688" s="163"/>
      <c r="B688" s="113"/>
      <c r="D688" s="113"/>
      <c r="F688" s="115"/>
      <c r="G688" s="116"/>
      <c r="H688" s="120"/>
      <c r="I688" s="120"/>
      <c r="J688" s="117"/>
      <c r="K688" s="118"/>
      <c r="L688" s="119"/>
      <c r="M688" s="120"/>
      <c r="N688" s="120"/>
      <c r="O688" s="120"/>
      <c r="P688" s="118"/>
      <c r="Q688" s="117"/>
      <c r="S688" s="2"/>
      <c r="T688" s="2"/>
    </row>
    <row r="689" spans="1:20" ht="15" customHeight="1">
      <c r="A689" s="163"/>
      <c r="B689" s="113"/>
      <c r="D689" s="113"/>
      <c r="F689" s="115"/>
      <c r="G689" s="116"/>
      <c r="H689" s="120"/>
      <c r="I689" s="120"/>
      <c r="J689" s="117"/>
      <c r="K689" s="118"/>
      <c r="L689" s="119"/>
      <c r="M689" s="120"/>
      <c r="N689" s="120"/>
      <c r="O689" s="120"/>
      <c r="P689" s="118"/>
      <c r="Q689" s="117"/>
      <c r="S689" s="2"/>
      <c r="T689" s="2"/>
    </row>
    <row r="690" spans="1:20" ht="15" customHeight="1">
      <c r="A690" s="163"/>
      <c r="B690" s="113"/>
      <c r="D690" s="113"/>
      <c r="F690" s="115"/>
      <c r="G690" s="116"/>
      <c r="H690" s="120"/>
      <c r="I690" s="120"/>
      <c r="J690" s="117"/>
      <c r="K690" s="118"/>
      <c r="L690" s="119"/>
      <c r="M690" s="120"/>
      <c r="N690" s="120"/>
      <c r="O690" s="120"/>
      <c r="P690" s="118"/>
      <c r="Q690" s="117"/>
      <c r="S690" s="2"/>
      <c r="T690" s="2"/>
    </row>
    <row r="691" spans="1:20" ht="15" customHeight="1">
      <c r="A691" s="163"/>
      <c r="B691" s="113"/>
      <c r="D691" s="113"/>
      <c r="F691" s="115"/>
      <c r="G691" s="116"/>
      <c r="H691" s="120"/>
      <c r="I691" s="120"/>
      <c r="J691" s="117"/>
      <c r="K691" s="118"/>
      <c r="L691" s="119"/>
      <c r="M691" s="120"/>
      <c r="N691" s="120"/>
      <c r="O691" s="120"/>
      <c r="P691" s="118"/>
      <c r="Q691" s="117"/>
      <c r="S691" s="2"/>
      <c r="T691" s="2"/>
    </row>
    <row r="692" spans="1:20" ht="15" customHeight="1">
      <c r="A692" s="163"/>
      <c r="B692" s="113"/>
      <c r="D692" s="113"/>
      <c r="F692" s="115"/>
      <c r="G692" s="116"/>
      <c r="H692" s="120"/>
      <c r="I692" s="120"/>
      <c r="J692" s="117"/>
      <c r="K692" s="118"/>
      <c r="L692" s="119"/>
      <c r="M692" s="120"/>
      <c r="N692" s="120"/>
      <c r="O692" s="120"/>
      <c r="P692" s="118"/>
      <c r="Q692" s="117"/>
      <c r="S692" s="2"/>
      <c r="T692" s="2"/>
    </row>
    <row r="693" spans="1:20" ht="15" customHeight="1">
      <c r="A693" s="163"/>
      <c r="B693" s="113"/>
      <c r="D693" s="113"/>
      <c r="F693" s="115"/>
      <c r="G693" s="116"/>
      <c r="H693" s="120"/>
      <c r="I693" s="120"/>
      <c r="J693" s="117"/>
      <c r="K693" s="118"/>
      <c r="L693" s="119"/>
      <c r="M693" s="120"/>
      <c r="N693" s="120"/>
      <c r="O693" s="120"/>
      <c r="P693" s="118"/>
      <c r="Q693" s="117"/>
      <c r="S693" s="2"/>
      <c r="T693" s="2"/>
    </row>
    <row r="694" spans="1:20" ht="15" customHeight="1">
      <c r="A694" s="163"/>
      <c r="B694" s="113"/>
      <c r="D694" s="113"/>
      <c r="F694" s="115"/>
      <c r="G694" s="116"/>
      <c r="H694" s="120"/>
      <c r="I694" s="120"/>
      <c r="J694" s="117"/>
      <c r="K694" s="118"/>
      <c r="L694" s="119"/>
      <c r="M694" s="120"/>
      <c r="N694" s="120"/>
      <c r="O694" s="120"/>
      <c r="P694" s="118"/>
      <c r="Q694" s="117"/>
      <c r="S694" s="2"/>
      <c r="T694" s="2"/>
    </row>
    <row r="695" spans="1:20" ht="15" customHeight="1">
      <c r="A695" s="163"/>
      <c r="B695" s="113"/>
      <c r="D695" s="113"/>
      <c r="F695" s="115"/>
      <c r="G695" s="116"/>
      <c r="H695" s="120"/>
      <c r="I695" s="120"/>
      <c r="J695" s="117"/>
      <c r="K695" s="118"/>
      <c r="L695" s="119"/>
      <c r="M695" s="120"/>
      <c r="N695" s="120"/>
      <c r="O695" s="120"/>
      <c r="P695" s="118"/>
      <c r="Q695" s="117"/>
      <c r="S695" s="2"/>
      <c r="T695" s="2"/>
    </row>
    <row r="696" spans="1:20" ht="15" customHeight="1">
      <c r="A696" s="163"/>
      <c r="B696" s="113"/>
      <c r="D696" s="113"/>
      <c r="F696" s="115"/>
      <c r="G696" s="116"/>
      <c r="H696" s="120"/>
      <c r="I696" s="120"/>
      <c r="J696" s="117"/>
      <c r="K696" s="118"/>
      <c r="L696" s="119"/>
      <c r="M696" s="120"/>
      <c r="N696" s="120"/>
      <c r="O696" s="120"/>
      <c r="P696" s="118"/>
      <c r="Q696" s="117"/>
      <c r="S696" s="2"/>
      <c r="T696" s="2"/>
    </row>
    <row r="697" spans="1:20" ht="15" customHeight="1">
      <c r="A697" s="163"/>
      <c r="B697" s="113"/>
      <c r="D697" s="113"/>
      <c r="F697" s="115"/>
      <c r="G697" s="116"/>
      <c r="H697" s="120"/>
      <c r="I697" s="120"/>
      <c r="J697" s="117"/>
      <c r="K697" s="118"/>
      <c r="L697" s="119"/>
      <c r="M697" s="120"/>
      <c r="N697" s="120"/>
      <c r="O697" s="120"/>
      <c r="P697" s="118"/>
      <c r="Q697" s="117"/>
      <c r="S697" s="2"/>
      <c r="T697" s="2"/>
    </row>
    <row r="698" spans="1:20" ht="15" customHeight="1">
      <c r="A698" s="163"/>
      <c r="B698" s="113"/>
      <c r="D698" s="113"/>
      <c r="F698" s="115"/>
      <c r="G698" s="116"/>
      <c r="H698" s="120"/>
      <c r="I698" s="120"/>
      <c r="J698" s="117"/>
      <c r="K698" s="118"/>
      <c r="L698" s="119"/>
      <c r="M698" s="120"/>
      <c r="N698" s="120"/>
      <c r="O698" s="120"/>
      <c r="P698" s="118"/>
      <c r="Q698" s="117"/>
      <c r="S698" s="2"/>
      <c r="T698" s="2"/>
    </row>
    <row r="699" spans="1:20" ht="15" customHeight="1">
      <c r="A699" s="163"/>
      <c r="B699" s="113"/>
      <c r="D699" s="113"/>
      <c r="F699" s="115"/>
      <c r="G699" s="116"/>
      <c r="H699" s="120"/>
      <c r="I699" s="120"/>
      <c r="J699" s="117"/>
      <c r="K699" s="118"/>
      <c r="L699" s="119"/>
      <c r="M699" s="120"/>
      <c r="N699" s="120"/>
      <c r="O699" s="120"/>
      <c r="P699" s="118"/>
      <c r="Q699" s="117"/>
      <c r="S699" s="2"/>
      <c r="T699" s="2"/>
    </row>
    <row r="700" spans="1:20" ht="15" customHeight="1">
      <c r="A700" s="163"/>
      <c r="B700" s="113"/>
      <c r="D700" s="113"/>
      <c r="F700" s="115"/>
      <c r="G700" s="116"/>
      <c r="H700" s="120"/>
      <c r="I700" s="120"/>
      <c r="J700" s="117"/>
      <c r="K700" s="118"/>
      <c r="L700" s="119"/>
      <c r="M700" s="120"/>
      <c r="N700" s="120"/>
      <c r="O700" s="120"/>
      <c r="P700" s="118"/>
      <c r="Q700" s="117"/>
      <c r="S700" s="2"/>
      <c r="T700" s="2"/>
    </row>
    <row r="701" spans="1:20" ht="15" customHeight="1">
      <c r="A701" s="163"/>
      <c r="B701" s="113"/>
      <c r="D701" s="113"/>
      <c r="F701" s="115"/>
      <c r="G701" s="116"/>
      <c r="H701" s="120"/>
      <c r="I701" s="120"/>
      <c r="J701" s="117"/>
      <c r="K701" s="118"/>
      <c r="L701" s="119"/>
      <c r="M701" s="120"/>
      <c r="N701" s="120"/>
      <c r="O701" s="120"/>
      <c r="P701" s="118"/>
      <c r="Q701" s="117"/>
      <c r="S701" s="2"/>
      <c r="T701" s="2"/>
    </row>
    <row r="702" spans="1:20" ht="15" customHeight="1">
      <c r="A702" s="163"/>
      <c r="B702" s="113"/>
      <c r="D702" s="113"/>
      <c r="F702" s="115"/>
      <c r="G702" s="116"/>
      <c r="H702" s="120"/>
      <c r="I702" s="120"/>
      <c r="J702" s="117"/>
      <c r="K702" s="118"/>
      <c r="L702" s="119"/>
      <c r="M702" s="120"/>
      <c r="N702" s="120"/>
      <c r="O702" s="120"/>
      <c r="P702" s="118"/>
      <c r="Q702" s="117"/>
      <c r="S702" s="2"/>
      <c r="T702" s="2"/>
    </row>
    <row r="703" spans="1:20" ht="15" customHeight="1">
      <c r="A703" s="163"/>
      <c r="B703" s="113"/>
      <c r="D703" s="113"/>
      <c r="F703" s="115"/>
      <c r="G703" s="116"/>
      <c r="H703" s="120"/>
      <c r="I703" s="120"/>
      <c r="J703" s="117"/>
      <c r="K703" s="118"/>
      <c r="L703" s="119"/>
      <c r="M703" s="120"/>
      <c r="N703" s="120"/>
      <c r="O703" s="120"/>
      <c r="P703" s="118"/>
      <c r="Q703" s="117"/>
      <c r="S703" s="2"/>
      <c r="T703" s="2"/>
    </row>
    <row r="704" spans="1:20" ht="15" customHeight="1">
      <c r="A704" s="163"/>
      <c r="B704" s="113"/>
      <c r="D704" s="113"/>
      <c r="F704" s="115"/>
      <c r="G704" s="116"/>
      <c r="H704" s="120"/>
      <c r="I704" s="120"/>
      <c r="J704" s="117"/>
      <c r="K704" s="118"/>
      <c r="L704" s="119"/>
      <c r="M704" s="120"/>
      <c r="N704" s="120"/>
      <c r="O704" s="120"/>
      <c r="P704" s="118"/>
      <c r="Q704" s="117"/>
      <c r="S704" s="2"/>
      <c r="T704" s="2"/>
    </row>
    <row r="705" spans="1:20" ht="15" customHeight="1">
      <c r="A705" s="163"/>
      <c r="B705" s="113"/>
      <c r="D705" s="113"/>
      <c r="F705" s="115"/>
      <c r="G705" s="116"/>
      <c r="H705" s="120"/>
      <c r="I705" s="120"/>
      <c r="J705" s="117"/>
      <c r="K705" s="118"/>
      <c r="L705" s="119"/>
      <c r="M705" s="120"/>
      <c r="N705" s="120"/>
      <c r="O705" s="120"/>
      <c r="P705" s="118"/>
      <c r="Q705" s="117"/>
      <c r="S705" s="2"/>
      <c r="T705" s="2"/>
    </row>
    <row r="706" spans="1:20" ht="15" customHeight="1">
      <c r="A706" s="163"/>
      <c r="B706" s="113"/>
      <c r="D706" s="113"/>
      <c r="F706" s="115"/>
      <c r="G706" s="116"/>
      <c r="H706" s="120"/>
      <c r="I706" s="120"/>
      <c r="J706" s="117"/>
      <c r="K706" s="118"/>
      <c r="L706" s="119"/>
      <c r="M706" s="120"/>
      <c r="N706" s="120"/>
      <c r="O706" s="120"/>
      <c r="P706" s="118"/>
      <c r="Q706" s="117"/>
      <c r="S706" s="2"/>
      <c r="T706" s="2"/>
    </row>
    <row r="707" spans="1:20" ht="15" customHeight="1">
      <c r="A707" s="163"/>
      <c r="B707" s="113"/>
      <c r="D707" s="113"/>
      <c r="F707" s="115"/>
      <c r="G707" s="116"/>
      <c r="H707" s="120"/>
      <c r="I707" s="120"/>
      <c r="J707" s="117"/>
      <c r="K707" s="118"/>
      <c r="L707" s="119"/>
      <c r="M707" s="120"/>
      <c r="N707" s="120"/>
      <c r="O707" s="120"/>
      <c r="P707" s="118"/>
      <c r="Q707" s="117"/>
      <c r="S707" s="2"/>
      <c r="T707" s="2"/>
    </row>
    <row r="708" spans="1:20" ht="15" customHeight="1">
      <c r="A708" s="163"/>
      <c r="B708" s="113"/>
      <c r="D708" s="113"/>
      <c r="F708" s="115"/>
      <c r="G708" s="116"/>
      <c r="H708" s="120"/>
      <c r="I708" s="120"/>
      <c r="J708" s="117"/>
      <c r="K708" s="118"/>
      <c r="L708" s="119"/>
      <c r="M708" s="120"/>
      <c r="N708" s="120"/>
      <c r="O708" s="120"/>
      <c r="P708" s="118"/>
      <c r="Q708" s="117"/>
      <c r="S708" s="2"/>
      <c r="T708" s="2"/>
    </row>
    <row r="709" spans="1:20" ht="15" customHeight="1">
      <c r="A709" s="163"/>
      <c r="B709" s="113"/>
      <c r="D709" s="113"/>
      <c r="F709" s="115"/>
      <c r="G709" s="116"/>
      <c r="H709" s="120"/>
      <c r="I709" s="120"/>
      <c r="J709" s="117"/>
      <c r="K709" s="118"/>
      <c r="L709" s="119"/>
      <c r="M709" s="120"/>
      <c r="N709" s="120"/>
      <c r="O709" s="120"/>
      <c r="P709" s="118"/>
      <c r="Q709" s="117"/>
      <c r="S709" s="2"/>
      <c r="T709" s="2"/>
    </row>
    <row r="710" spans="1:20" ht="15" customHeight="1">
      <c r="A710" s="163"/>
      <c r="B710" s="113"/>
      <c r="D710" s="113"/>
      <c r="F710" s="115"/>
      <c r="G710" s="116"/>
      <c r="H710" s="120"/>
      <c r="I710" s="120"/>
      <c r="J710" s="117"/>
      <c r="K710" s="118"/>
      <c r="L710" s="119"/>
      <c r="M710" s="120"/>
      <c r="N710" s="120"/>
      <c r="O710" s="120"/>
      <c r="P710" s="118"/>
      <c r="Q710" s="117"/>
      <c r="S710" s="2"/>
      <c r="T710" s="2"/>
    </row>
    <row r="711" spans="1:20" ht="15" customHeight="1">
      <c r="A711" s="163"/>
      <c r="B711" s="113"/>
      <c r="D711" s="113"/>
      <c r="F711" s="115"/>
      <c r="G711" s="116"/>
      <c r="H711" s="120"/>
      <c r="I711" s="120"/>
      <c r="J711" s="117"/>
      <c r="K711" s="118"/>
      <c r="L711" s="119"/>
      <c r="M711" s="120"/>
      <c r="N711" s="120"/>
      <c r="O711" s="120"/>
      <c r="P711" s="118"/>
      <c r="Q711" s="117"/>
      <c r="S711" s="2"/>
      <c r="T711" s="2"/>
    </row>
    <row r="712" spans="1:20" ht="15" customHeight="1">
      <c r="A712" s="163"/>
      <c r="B712" s="113"/>
      <c r="D712" s="113"/>
      <c r="F712" s="115"/>
      <c r="G712" s="116"/>
      <c r="H712" s="120"/>
      <c r="I712" s="120"/>
      <c r="J712" s="117"/>
      <c r="K712" s="118"/>
      <c r="L712" s="119"/>
      <c r="M712" s="120"/>
      <c r="N712" s="120"/>
      <c r="O712" s="120"/>
      <c r="P712" s="118"/>
      <c r="Q712" s="117"/>
      <c r="S712" s="2"/>
      <c r="T712" s="2"/>
    </row>
    <row r="713" spans="1:20" ht="15" customHeight="1">
      <c r="A713" s="163"/>
      <c r="B713" s="113"/>
      <c r="D713" s="113"/>
      <c r="F713" s="115"/>
      <c r="G713" s="116"/>
      <c r="H713" s="120"/>
      <c r="I713" s="120"/>
      <c r="J713" s="117"/>
      <c r="K713" s="118"/>
      <c r="L713" s="119"/>
      <c r="M713" s="120"/>
      <c r="N713" s="120"/>
      <c r="O713" s="120"/>
      <c r="P713" s="118"/>
      <c r="Q713" s="117"/>
      <c r="S713" s="2"/>
      <c r="T713" s="2"/>
    </row>
    <row r="714" spans="1:20" ht="15" customHeight="1">
      <c r="A714" s="163"/>
      <c r="B714" s="113"/>
      <c r="D714" s="113"/>
      <c r="F714" s="115"/>
      <c r="G714" s="116"/>
      <c r="H714" s="120"/>
      <c r="I714" s="120"/>
      <c r="J714" s="117"/>
      <c r="K714" s="118"/>
      <c r="L714" s="119"/>
      <c r="M714" s="120"/>
      <c r="N714" s="120"/>
      <c r="O714" s="120"/>
      <c r="P714" s="118"/>
      <c r="Q714" s="117"/>
      <c r="S714" s="2"/>
      <c r="T714" s="2"/>
    </row>
    <row r="715" spans="1:20" ht="15" customHeight="1">
      <c r="A715" s="163"/>
      <c r="B715" s="113"/>
      <c r="D715" s="113"/>
      <c r="F715" s="115"/>
      <c r="G715" s="116"/>
      <c r="H715" s="120"/>
      <c r="I715" s="120"/>
      <c r="J715" s="117"/>
      <c r="K715" s="118"/>
      <c r="L715" s="119"/>
      <c r="M715" s="120"/>
      <c r="N715" s="120"/>
      <c r="O715" s="120"/>
      <c r="P715" s="118"/>
      <c r="Q715" s="117"/>
      <c r="S715" s="2"/>
      <c r="T715" s="2"/>
    </row>
    <row r="716" spans="1:20" ht="15" customHeight="1">
      <c r="A716" s="163"/>
      <c r="B716" s="113"/>
      <c r="D716" s="113"/>
      <c r="F716" s="115"/>
      <c r="G716" s="116"/>
      <c r="H716" s="120"/>
      <c r="I716" s="120"/>
      <c r="J716" s="117"/>
      <c r="K716" s="118"/>
      <c r="L716" s="119"/>
      <c r="M716" s="120"/>
      <c r="N716" s="120"/>
      <c r="O716" s="120"/>
      <c r="P716" s="118"/>
      <c r="Q716" s="117"/>
      <c r="S716" s="2"/>
      <c r="T716" s="2"/>
    </row>
    <row r="717" spans="1:20" ht="15" customHeight="1">
      <c r="A717" s="163"/>
      <c r="B717" s="113"/>
      <c r="D717" s="113"/>
      <c r="F717" s="115"/>
      <c r="G717" s="116"/>
      <c r="H717" s="120"/>
      <c r="I717" s="120"/>
      <c r="J717" s="117"/>
      <c r="K717" s="118"/>
      <c r="L717" s="119"/>
      <c r="M717" s="120"/>
      <c r="N717" s="120"/>
      <c r="O717" s="120"/>
      <c r="P717" s="118"/>
      <c r="Q717" s="117"/>
      <c r="S717" s="2"/>
      <c r="T717" s="2"/>
    </row>
    <row r="718" spans="1:20" ht="15" customHeight="1">
      <c r="A718" s="163"/>
      <c r="B718" s="113"/>
      <c r="D718" s="113"/>
      <c r="F718" s="115"/>
      <c r="G718" s="116"/>
      <c r="H718" s="120"/>
      <c r="I718" s="120"/>
      <c r="J718" s="117"/>
      <c r="K718" s="118"/>
      <c r="L718" s="119"/>
      <c r="M718" s="120"/>
      <c r="N718" s="120"/>
      <c r="O718" s="120"/>
      <c r="P718" s="118"/>
      <c r="Q718" s="117"/>
      <c r="S718" s="2"/>
      <c r="T718" s="2"/>
    </row>
    <row r="719" spans="1:20" ht="15" customHeight="1">
      <c r="A719" s="163"/>
      <c r="B719" s="113"/>
      <c r="D719" s="113"/>
      <c r="F719" s="115"/>
      <c r="G719" s="116"/>
      <c r="H719" s="120"/>
      <c r="I719" s="120"/>
      <c r="J719" s="117"/>
      <c r="K719" s="118"/>
      <c r="L719" s="119"/>
      <c r="M719" s="120"/>
      <c r="N719" s="120"/>
      <c r="O719" s="120"/>
      <c r="P719" s="118"/>
      <c r="Q719" s="117"/>
      <c r="S719" s="2"/>
      <c r="T719" s="2"/>
    </row>
    <row r="720" spans="1:20" ht="15" customHeight="1">
      <c r="A720" s="163"/>
      <c r="B720" s="113"/>
      <c r="D720" s="113"/>
      <c r="F720" s="115"/>
      <c r="G720" s="116"/>
      <c r="H720" s="120"/>
      <c r="I720" s="120"/>
      <c r="J720" s="117"/>
      <c r="K720" s="118"/>
      <c r="L720" s="119"/>
      <c r="M720" s="120"/>
      <c r="N720" s="120"/>
      <c r="O720" s="120"/>
      <c r="P720" s="118"/>
      <c r="Q720" s="117"/>
      <c r="S720" s="2"/>
      <c r="T720" s="2"/>
    </row>
    <row r="721" spans="1:20" ht="15" customHeight="1">
      <c r="A721" s="163"/>
      <c r="B721" s="113"/>
      <c r="D721" s="113"/>
      <c r="F721" s="115"/>
      <c r="G721" s="116"/>
      <c r="H721" s="120"/>
      <c r="I721" s="120"/>
      <c r="J721" s="117"/>
      <c r="K721" s="118"/>
      <c r="L721" s="119"/>
      <c r="M721" s="120"/>
      <c r="N721" s="120"/>
      <c r="O721" s="120"/>
      <c r="P721" s="118"/>
      <c r="Q721" s="117"/>
      <c r="S721" s="2"/>
      <c r="T721" s="2"/>
    </row>
    <row r="722" spans="1:20" ht="15" customHeight="1">
      <c r="A722" s="163"/>
      <c r="B722" s="113"/>
      <c r="D722" s="113"/>
      <c r="F722" s="115"/>
      <c r="G722" s="116"/>
      <c r="H722" s="120"/>
      <c r="I722" s="120"/>
      <c r="J722" s="117"/>
      <c r="K722" s="118"/>
      <c r="L722" s="119"/>
      <c r="M722" s="120"/>
      <c r="N722" s="120"/>
      <c r="O722" s="120"/>
      <c r="P722" s="118"/>
      <c r="Q722" s="117"/>
      <c r="S722" s="2"/>
      <c r="T722" s="2"/>
    </row>
    <row r="723" spans="1:20" ht="15" customHeight="1">
      <c r="A723" s="163"/>
      <c r="B723" s="113"/>
      <c r="D723" s="113"/>
      <c r="F723" s="115"/>
      <c r="G723" s="116"/>
      <c r="H723" s="120"/>
      <c r="I723" s="120"/>
      <c r="J723" s="117"/>
      <c r="K723" s="118"/>
      <c r="L723" s="119"/>
      <c r="M723" s="120"/>
      <c r="N723" s="120"/>
      <c r="O723" s="120"/>
      <c r="P723" s="118"/>
      <c r="Q723" s="117"/>
      <c r="S723" s="2"/>
      <c r="T723" s="2"/>
    </row>
    <row r="724" spans="1:20" ht="15" customHeight="1">
      <c r="A724" s="163"/>
      <c r="B724" s="113"/>
      <c r="D724" s="113"/>
      <c r="F724" s="115"/>
      <c r="G724" s="116"/>
      <c r="H724" s="120"/>
      <c r="I724" s="120"/>
      <c r="J724" s="117"/>
      <c r="K724" s="118"/>
      <c r="L724" s="119"/>
      <c r="M724" s="120"/>
      <c r="N724" s="120"/>
      <c r="O724" s="120"/>
      <c r="P724" s="118"/>
      <c r="Q724" s="117"/>
      <c r="S724" s="2"/>
      <c r="T724" s="2"/>
    </row>
    <row r="725" spans="1:20" ht="15" customHeight="1">
      <c r="A725" s="163"/>
      <c r="B725" s="113"/>
      <c r="D725" s="113"/>
      <c r="F725" s="115"/>
      <c r="G725" s="116"/>
      <c r="H725" s="120"/>
      <c r="I725" s="120"/>
      <c r="J725" s="117"/>
      <c r="K725" s="118"/>
      <c r="L725" s="119"/>
      <c r="M725" s="120"/>
      <c r="N725" s="120"/>
      <c r="O725" s="120"/>
      <c r="P725" s="118"/>
      <c r="Q725" s="117"/>
      <c r="S725" s="2"/>
      <c r="T725" s="2"/>
    </row>
    <row r="726" spans="1:20" ht="15" customHeight="1">
      <c r="A726" s="163"/>
      <c r="B726" s="113"/>
      <c r="D726" s="113"/>
      <c r="F726" s="115"/>
      <c r="G726" s="116"/>
      <c r="H726" s="120"/>
      <c r="I726" s="120"/>
      <c r="J726" s="117"/>
      <c r="K726" s="118"/>
      <c r="L726" s="119"/>
      <c r="M726" s="120"/>
      <c r="N726" s="120"/>
      <c r="O726" s="120"/>
      <c r="P726" s="118"/>
      <c r="Q726" s="117"/>
      <c r="S726" s="2"/>
      <c r="T726" s="2"/>
    </row>
    <row r="727" spans="1:20" ht="15" customHeight="1">
      <c r="A727" s="163"/>
      <c r="B727" s="113"/>
      <c r="D727" s="113"/>
      <c r="F727" s="115"/>
      <c r="G727" s="116"/>
      <c r="H727" s="120"/>
      <c r="I727" s="120"/>
      <c r="J727" s="117"/>
      <c r="K727" s="118"/>
      <c r="L727" s="119"/>
      <c r="M727" s="120"/>
      <c r="N727" s="120"/>
      <c r="O727" s="120"/>
      <c r="P727" s="118"/>
      <c r="Q727" s="117"/>
      <c r="S727" s="2"/>
      <c r="T727" s="2"/>
    </row>
    <row r="728" spans="1:20" ht="15" customHeight="1">
      <c r="A728" s="163"/>
      <c r="B728" s="113"/>
      <c r="D728" s="113"/>
      <c r="F728" s="115"/>
      <c r="G728" s="116"/>
      <c r="H728" s="120"/>
      <c r="I728" s="120"/>
      <c r="J728" s="117"/>
      <c r="K728" s="118"/>
      <c r="L728" s="119"/>
      <c r="M728" s="120"/>
      <c r="N728" s="120"/>
      <c r="O728" s="120"/>
      <c r="P728" s="118"/>
      <c r="Q728" s="117"/>
      <c r="S728" s="2"/>
      <c r="T728" s="2"/>
    </row>
    <row r="729" spans="1:20" ht="15" customHeight="1">
      <c r="A729" s="163"/>
      <c r="B729" s="113"/>
      <c r="D729" s="113"/>
      <c r="F729" s="115"/>
      <c r="G729" s="116"/>
      <c r="H729" s="120"/>
      <c r="I729" s="120"/>
      <c r="J729" s="117"/>
      <c r="K729" s="118"/>
      <c r="L729" s="119"/>
      <c r="M729" s="120"/>
      <c r="N729" s="120"/>
      <c r="O729" s="120"/>
      <c r="P729" s="118"/>
      <c r="Q729" s="117"/>
      <c r="S729" s="2"/>
      <c r="T729" s="2"/>
    </row>
    <row r="730" spans="1:20" ht="15" customHeight="1">
      <c r="A730" s="163"/>
      <c r="B730" s="113"/>
      <c r="D730" s="113"/>
      <c r="F730" s="115"/>
      <c r="G730" s="116"/>
      <c r="H730" s="120"/>
      <c r="I730" s="120"/>
      <c r="J730" s="117"/>
      <c r="K730" s="118"/>
      <c r="L730" s="119"/>
      <c r="M730" s="120"/>
      <c r="N730" s="120"/>
      <c r="O730" s="120"/>
      <c r="P730" s="118"/>
      <c r="Q730" s="117"/>
      <c r="S730" s="2"/>
      <c r="T730" s="2"/>
    </row>
    <row r="731" spans="1:20" ht="15" customHeight="1">
      <c r="A731" s="163"/>
      <c r="B731" s="113"/>
      <c r="D731" s="113"/>
      <c r="F731" s="115"/>
      <c r="G731" s="116"/>
      <c r="H731" s="120"/>
      <c r="I731" s="120"/>
      <c r="J731" s="117"/>
      <c r="K731" s="118"/>
      <c r="L731" s="119"/>
      <c r="M731" s="120"/>
      <c r="N731" s="120"/>
      <c r="O731" s="120"/>
      <c r="P731" s="118"/>
      <c r="Q731" s="117"/>
      <c r="S731" s="2"/>
      <c r="T731" s="2"/>
    </row>
    <row r="732" spans="1:20" ht="15" customHeight="1">
      <c r="A732" s="163"/>
      <c r="B732" s="113"/>
      <c r="D732" s="113"/>
      <c r="F732" s="115"/>
      <c r="G732" s="116"/>
      <c r="H732" s="120"/>
      <c r="I732" s="120"/>
      <c r="J732" s="117"/>
      <c r="K732" s="118"/>
      <c r="L732" s="119"/>
      <c r="M732" s="120"/>
      <c r="N732" s="120"/>
      <c r="O732" s="120"/>
      <c r="P732" s="118"/>
      <c r="Q732" s="117"/>
      <c r="S732" s="2"/>
      <c r="T732" s="2"/>
    </row>
    <row r="733" spans="1:20" ht="15" customHeight="1">
      <c r="A733" s="163"/>
      <c r="B733" s="113"/>
      <c r="D733" s="113"/>
      <c r="F733" s="115"/>
      <c r="G733" s="116"/>
      <c r="H733" s="120"/>
      <c r="I733" s="120"/>
      <c r="J733" s="117"/>
      <c r="K733" s="118"/>
      <c r="L733" s="119"/>
      <c r="M733" s="120"/>
      <c r="N733" s="120"/>
      <c r="O733" s="120"/>
      <c r="P733" s="118"/>
      <c r="Q733" s="117"/>
      <c r="S733" s="2"/>
      <c r="T733" s="2"/>
    </row>
    <row r="734" spans="1:20" ht="15" customHeight="1">
      <c r="A734" s="163"/>
      <c r="B734" s="113"/>
      <c r="D734" s="113"/>
      <c r="F734" s="115"/>
      <c r="G734" s="116"/>
      <c r="H734" s="120"/>
      <c r="I734" s="120"/>
      <c r="J734" s="117"/>
      <c r="K734" s="118"/>
      <c r="L734" s="119"/>
      <c r="M734" s="120"/>
      <c r="N734" s="120"/>
      <c r="O734" s="120"/>
      <c r="P734" s="118"/>
      <c r="Q734" s="117"/>
      <c r="S734" s="2"/>
      <c r="T734" s="2"/>
    </row>
    <row r="735" spans="1:20" ht="15" customHeight="1">
      <c r="A735" s="163"/>
      <c r="B735" s="113"/>
      <c r="D735" s="113"/>
      <c r="F735" s="115"/>
      <c r="G735" s="116"/>
      <c r="H735" s="120"/>
      <c r="I735" s="120"/>
      <c r="J735" s="117"/>
      <c r="K735" s="118"/>
      <c r="L735" s="119"/>
      <c r="M735" s="120"/>
      <c r="N735" s="120"/>
      <c r="O735" s="120"/>
      <c r="P735" s="118"/>
      <c r="Q735" s="117"/>
      <c r="S735" s="2"/>
      <c r="T735" s="2"/>
    </row>
    <row r="736" spans="1:20" ht="15" customHeight="1">
      <c r="A736" s="163"/>
      <c r="B736" s="113"/>
      <c r="D736" s="113"/>
      <c r="F736" s="115"/>
      <c r="G736" s="116"/>
      <c r="H736" s="120"/>
      <c r="I736" s="120"/>
      <c r="J736" s="117"/>
      <c r="K736" s="118"/>
      <c r="L736" s="119"/>
      <c r="M736" s="120"/>
      <c r="N736" s="120"/>
      <c r="O736" s="120"/>
      <c r="P736" s="118"/>
      <c r="Q736" s="117"/>
      <c r="S736" s="2"/>
      <c r="T736" s="2"/>
    </row>
    <row r="737" spans="1:20" ht="15" customHeight="1">
      <c r="A737" s="163"/>
      <c r="B737" s="113"/>
      <c r="D737" s="113"/>
      <c r="F737" s="115"/>
      <c r="G737" s="116"/>
      <c r="H737" s="120"/>
      <c r="I737" s="120"/>
      <c r="J737" s="117"/>
      <c r="K737" s="118"/>
      <c r="L737" s="119"/>
      <c r="M737" s="120"/>
      <c r="N737" s="120"/>
      <c r="O737" s="120"/>
      <c r="P737" s="118"/>
      <c r="Q737" s="117"/>
      <c r="S737" s="2"/>
      <c r="T737" s="2"/>
    </row>
    <row r="738" spans="1:20" ht="15" customHeight="1">
      <c r="A738" s="163"/>
      <c r="B738" s="113"/>
      <c r="D738" s="113"/>
      <c r="F738" s="115"/>
      <c r="G738" s="116"/>
      <c r="H738" s="120"/>
      <c r="I738" s="120"/>
      <c r="J738" s="117"/>
      <c r="K738" s="118"/>
      <c r="L738" s="119"/>
      <c r="M738" s="120"/>
      <c r="N738" s="120"/>
      <c r="O738" s="120"/>
      <c r="P738" s="118"/>
      <c r="Q738" s="117"/>
      <c r="S738" s="2"/>
      <c r="T738" s="2"/>
    </row>
    <row r="739" spans="1:20" ht="15" customHeight="1">
      <c r="A739" s="163"/>
      <c r="B739" s="113"/>
      <c r="D739" s="113"/>
      <c r="F739" s="115"/>
      <c r="G739" s="116"/>
      <c r="H739" s="120"/>
      <c r="I739" s="120"/>
      <c r="J739" s="117"/>
      <c r="K739" s="118"/>
      <c r="L739" s="119"/>
      <c r="M739" s="120"/>
      <c r="N739" s="120"/>
      <c r="O739" s="120"/>
      <c r="P739" s="118"/>
      <c r="Q739" s="117"/>
      <c r="S739" s="2"/>
      <c r="T739" s="2"/>
    </row>
    <row r="740" spans="1:20" ht="15" customHeight="1">
      <c r="A740" s="163"/>
      <c r="B740" s="113"/>
      <c r="D740" s="113"/>
      <c r="F740" s="115"/>
      <c r="G740" s="116"/>
      <c r="H740" s="120"/>
      <c r="I740" s="120"/>
      <c r="J740" s="117"/>
      <c r="K740" s="118"/>
      <c r="L740" s="119"/>
      <c r="M740" s="120"/>
      <c r="N740" s="120"/>
      <c r="O740" s="120"/>
      <c r="P740" s="118"/>
      <c r="Q740" s="117"/>
      <c r="S740" s="2"/>
      <c r="T740" s="2"/>
    </row>
    <row r="741" spans="1:20" ht="15" customHeight="1">
      <c r="A741" s="163"/>
      <c r="B741" s="113"/>
      <c r="D741" s="113"/>
      <c r="F741" s="115"/>
      <c r="G741" s="116"/>
      <c r="H741" s="120"/>
      <c r="I741" s="120"/>
      <c r="J741" s="117"/>
      <c r="K741" s="118"/>
      <c r="L741" s="119"/>
      <c r="M741" s="120"/>
      <c r="N741" s="120"/>
      <c r="O741" s="120"/>
      <c r="P741" s="118"/>
      <c r="Q741" s="117"/>
      <c r="S741" s="2"/>
      <c r="T741" s="2"/>
    </row>
    <row r="742" spans="1:20" ht="15" customHeight="1">
      <c r="A742" s="163"/>
      <c r="B742" s="113"/>
      <c r="D742" s="113"/>
      <c r="F742" s="115"/>
      <c r="G742" s="116"/>
      <c r="H742" s="120"/>
      <c r="I742" s="120"/>
      <c r="J742" s="117"/>
      <c r="K742" s="118"/>
      <c r="L742" s="119"/>
      <c r="M742" s="120"/>
      <c r="N742" s="120"/>
      <c r="O742" s="120"/>
      <c r="P742" s="118"/>
      <c r="Q742" s="117"/>
      <c r="S742" s="2"/>
      <c r="T742" s="2"/>
    </row>
    <row r="743" spans="1:20" ht="15" customHeight="1">
      <c r="A743" s="163"/>
      <c r="B743" s="113"/>
      <c r="D743" s="113"/>
      <c r="F743" s="115"/>
      <c r="G743" s="116"/>
      <c r="H743" s="120"/>
      <c r="I743" s="120"/>
      <c r="J743" s="117"/>
      <c r="K743" s="118"/>
      <c r="L743" s="119"/>
      <c r="M743" s="120"/>
      <c r="N743" s="120"/>
      <c r="O743" s="120"/>
      <c r="P743" s="118"/>
      <c r="Q743" s="117"/>
      <c r="S743" s="2"/>
      <c r="T743" s="2"/>
    </row>
    <row r="744" spans="1:20" ht="15" customHeight="1">
      <c r="A744" s="163"/>
      <c r="B744" s="113"/>
      <c r="D744" s="113"/>
      <c r="F744" s="115"/>
      <c r="G744" s="116"/>
      <c r="H744" s="120"/>
      <c r="I744" s="120"/>
      <c r="J744" s="117"/>
      <c r="K744" s="118"/>
      <c r="L744" s="119"/>
      <c r="M744" s="120"/>
      <c r="N744" s="120"/>
      <c r="O744" s="120"/>
      <c r="P744" s="118"/>
      <c r="Q744" s="117"/>
      <c r="S744" s="2"/>
      <c r="T744" s="2"/>
    </row>
    <row r="745" spans="1:20" ht="15" customHeight="1">
      <c r="A745" s="163"/>
      <c r="B745" s="113"/>
      <c r="D745" s="113"/>
      <c r="F745" s="115"/>
      <c r="G745" s="116"/>
      <c r="H745" s="120"/>
      <c r="I745" s="120"/>
      <c r="J745" s="117"/>
      <c r="K745" s="118"/>
      <c r="L745" s="119"/>
      <c r="M745" s="120"/>
      <c r="N745" s="120"/>
      <c r="O745" s="120"/>
      <c r="P745" s="118"/>
      <c r="Q745" s="117"/>
      <c r="S745" s="2"/>
      <c r="T745" s="2"/>
    </row>
    <row r="746" spans="1:20" ht="15" customHeight="1">
      <c r="A746" s="163"/>
      <c r="B746" s="113"/>
      <c r="D746" s="113"/>
      <c r="F746" s="115"/>
      <c r="G746" s="116"/>
      <c r="H746" s="120"/>
      <c r="I746" s="120"/>
      <c r="J746" s="117"/>
      <c r="K746" s="118"/>
      <c r="L746" s="119"/>
      <c r="M746" s="120"/>
      <c r="N746" s="120"/>
      <c r="O746" s="120"/>
      <c r="P746" s="118"/>
      <c r="Q746" s="117"/>
      <c r="S746" s="2"/>
      <c r="T746" s="2"/>
    </row>
    <row r="747" spans="1:20" ht="15" customHeight="1">
      <c r="A747" s="163"/>
      <c r="B747" s="113"/>
      <c r="D747" s="113"/>
      <c r="F747" s="115"/>
      <c r="G747" s="116"/>
      <c r="H747" s="120"/>
      <c r="I747" s="120"/>
      <c r="J747" s="117"/>
      <c r="K747" s="118"/>
      <c r="L747" s="119"/>
      <c r="M747" s="120"/>
      <c r="N747" s="120"/>
      <c r="O747" s="120"/>
      <c r="P747" s="118"/>
      <c r="Q747" s="117"/>
      <c r="S747" s="2"/>
      <c r="T747" s="2"/>
    </row>
    <row r="748" spans="1:20" ht="15" customHeight="1">
      <c r="A748" s="163"/>
      <c r="B748" s="113"/>
      <c r="D748" s="113"/>
      <c r="F748" s="115"/>
      <c r="G748" s="116"/>
      <c r="H748" s="120"/>
      <c r="I748" s="120"/>
      <c r="J748" s="117"/>
      <c r="K748" s="118"/>
      <c r="L748" s="119"/>
      <c r="M748" s="120"/>
      <c r="N748" s="120"/>
      <c r="O748" s="120"/>
      <c r="P748" s="118"/>
      <c r="Q748" s="117"/>
      <c r="S748" s="2"/>
      <c r="T748" s="2"/>
    </row>
    <row r="749" spans="1:20" ht="15" customHeight="1">
      <c r="A749" s="163"/>
      <c r="B749" s="113"/>
      <c r="D749" s="113"/>
      <c r="F749" s="115"/>
      <c r="G749" s="116"/>
      <c r="H749" s="120"/>
      <c r="I749" s="120"/>
      <c r="J749" s="117"/>
      <c r="K749" s="118"/>
      <c r="L749" s="119"/>
      <c r="M749" s="120"/>
      <c r="N749" s="120"/>
      <c r="O749" s="120"/>
      <c r="P749" s="118"/>
      <c r="Q749" s="117"/>
      <c r="S749" s="2"/>
      <c r="T749" s="2"/>
    </row>
    <row r="750" spans="1:20" ht="15" customHeight="1">
      <c r="A750" s="163"/>
      <c r="B750" s="113"/>
      <c r="D750" s="113"/>
      <c r="F750" s="115"/>
      <c r="G750" s="116"/>
      <c r="H750" s="120"/>
      <c r="I750" s="120"/>
      <c r="J750" s="117"/>
      <c r="K750" s="118"/>
      <c r="L750" s="119"/>
      <c r="M750" s="120"/>
      <c r="N750" s="120"/>
      <c r="O750" s="120"/>
      <c r="P750" s="118"/>
      <c r="Q750" s="117"/>
      <c r="S750" s="2"/>
      <c r="T750" s="2"/>
    </row>
    <row r="751" spans="1:20" ht="15" customHeight="1">
      <c r="A751" s="163"/>
      <c r="B751" s="113"/>
      <c r="D751" s="113"/>
      <c r="F751" s="115"/>
      <c r="G751" s="116"/>
      <c r="H751" s="120"/>
      <c r="I751" s="120"/>
      <c r="J751" s="117"/>
      <c r="K751" s="118"/>
      <c r="L751" s="119"/>
      <c r="M751" s="120"/>
      <c r="N751" s="120"/>
      <c r="O751" s="120"/>
      <c r="P751" s="118"/>
      <c r="Q751" s="117"/>
      <c r="S751" s="2"/>
      <c r="T751" s="2"/>
    </row>
    <row r="752" spans="1:20" ht="15" customHeight="1">
      <c r="A752" s="163"/>
      <c r="B752" s="113"/>
      <c r="D752" s="113"/>
      <c r="F752" s="115"/>
      <c r="G752" s="116"/>
      <c r="H752" s="120"/>
      <c r="I752" s="120"/>
      <c r="J752" s="117"/>
      <c r="K752" s="118"/>
      <c r="L752" s="119"/>
      <c r="M752" s="120"/>
      <c r="N752" s="120"/>
      <c r="O752" s="120"/>
      <c r="P752" s="118"/>
      <c r="Q752" s="117"/>
      <c r="S752" s="2"/>
      <c r="T752" s="2"/>
    </row>
    <row r="753" spans="1:20" ht="15" customHeight="1">
      <c r="A753" s="163"/>
      <c r="B753" s="113"/>
      <c r="D753" s="113"/>
      <c r="F753" s="115"/>
      <c r="G753" s="116"/>
      <c r="H753" s="120"/>
      <c r="I753" s="120"/>
      <c r="J753" s="117"/>
      <c r="K753" s="118"/>
      <c r="L753" s="119"/>
      <c r="M753" s="120"/>
      <c r="N753" s="120"/>
      <c r="O753" s="120"/>
      <c r="P753" s="118"/>
      <c r="Q753" s="117"/>
      <c r="S753" s="2"/>
      <c r="T753" s="2"/>
    </row>
    <row r="754" spans="1:20" ht="15" customHeight="1">
      <c r="A754" s="163"/>
      <c r="B754" s="113"/>
      <c r="D754" s="113"/>
      <c r="F754" s="115"/>
      <c r="G754" s="116"/>
      <c r="H754" s="120"/>
      <c r="I754" s="120"/>
      <c r="J754" s="117"/>
      <c r="K754" s="118"/>
      <c r="L754" s="119"/>
      <c r="M754" s="120"/>
      <c r="N754" s="120"/>
      <c r="O754" s="120"/>
      <c r="P754" s="118"/>
      <c r="Q754" s="117"/>
      <c r="S754" s="2"/>
      <c r="T754" s="2"/>
    </row>
    <row r="755" spans="1:20" ht="15" customHeight="1">
      <c r="A755" s="163"/>
      <c r="B755" s="113"/>
      <c r="D755" s="113"/>
      <c r="F755" s="115"/>
      <c r="G755" s="116"/>
      <c r="H755" s="120"/>
      <c r="I755" s="120"/>
      <c r="J755" s="117"/>
      <c r="K755" s="118"/>
      <c r="L755" s="119"/>
      <c r="M755" s="120"/>
      <c r="N755" s="120"/>
      <c r="O755" s="120"/>
      <c r="P755" s="118"/>
      <c r="Q755" s="117"/>
      <c r="S755" s="2"/>
      <c r="T755" s="2"/>
    </row>
    <row r="756" spans="1:20" ht="15" customHeight="1">
      <c r="A756" s="163"/>
      <c r="B756" s="113"/>
      <c r="D756" s="113"/>
      <c r="F756" s="115"/>
      <c r="G756" s="116"/>
      <c r="H756" s="120"/>
      <c r="I756" s="120"/>
      <c r="J756" s="117"/>
      <c r="K756" s="118"/>
      <c r="L756" s="119"/>
      <c r="M756" s="120"/>
      <c r="N756" s="120"/>
      <c r="O756" s="120"/>
      <c r="P756" s="118"/>
      <c r="Q756" s="117"/>
      <c r="S756" s="2"/>
      <c r="T756" s="2"/>
    </row>
    <row r="757" spans="1:20" ht="15" customHeight="1">
      <c r="A757" s="163"/>
      <c r="B757" s="113"/>
      <c r="D757" s="113"/>
      <c r="F757" s="115"/>
      <c r="G757" s="116"/>
      <c r="H757" s="120"/>
      <c r="I757" s="120"/>
      <c r="J757" s="117"/>
      <c r="K757" s="118"/>
      <c r="L757" s="119"/>
      <c r="M757" s="120"/>
      <c r="N757" s="120"/>
      <c r="O757" s="120"/>
      <c r="P757" s="118"/>
      <c r="Q757" s="117"/>
      <c r="S757" s="2"/>
      <c r="T757" s="2"/>
    </row>
    <row r="758" spans="1:20" ht="15" customHeight="1">
      <c r="A758" s="163"/>
      <c r="B758" s="113"/>
      <c r="D758" s="113"/>
      <c r="F758" s="115"/>
      <c r="G758" s="116"/>
      <c r="H758" s="120"/>
      <c r="I758" s="120"/>
      <c r="J758" s="117"/>
      <c r="K758" s="118"/>
      <c r="L758" s="119"/>
      <c r="M758" s="120"/>
      <c r="N758" s="120"/>
      <c r="O758" s="120"/>
      <c r="P758" s="118"/>
      <c r="Q758" s="117"/>
      <c r="S758" s="2"/>
      <c r="T758" s="2"/>
    </row>
    <row r="759" spans="1:20" ht="15" customHeight="1">
      <c r="A759" s="163"/>
      <c r="B759" s="113"/>
      <c r="D759" s="113"/>
      <c r="F759" s="115"/>
      <c r="G759" s="116"/>
      <c r="H759" s="120"/>
      <c r="I759" s="120"/>
      <c r="J759" s="117"/>
      <c r="K759" s="118"/>
      <c r="L759" s="119"/>
      <c r="M759" s="120"/>
      <c r="N759" s="120"/>
      <c r="O759" s="120"/>
      <c r="P759" s="118"/>
      <c r="Q759" s="117"/>
      <c r="S759" s="2"/>
      <c r="T759" s="2"/>
    </row>
    <row r="760" spans="1:20" ht="15" customHeight="1">
      <c r="A760" s="163"/>
      <c r="B760" s="113"/>
      <c r="D760" s="113"/>
      <c r="F760" s="115"/>
      <c r="G760" s="116"/>
      <c r="H760" s="120"/>
      <c r="I760" s="120"/>
      <c r="J760" s="117"/>
      <c r="K760" s="118"/>
      <c r="L760" s="119"/>
      <c r="M760" s="120"/>
      <c r="N760" s="120"/>
      <c r="O760" s="120"/>
      <c r="P760" s="118"/>
      <c r="Q760" s="117"/>
      <c r="S760" s="2"/>
      <c r="T760" s="2"/>
    </row>
    <row r="761" spans="1:20" ht="15" customHeight="1">
      <c r="A761" s="163"/>
      <c r="B761" s="113"/>
      <c r="D761" s="113"/>
      <c r="F761" s="115"/>
      <c r="G761" s="116"/>
      <c r="H761" s="120"/>
      <c r="I761" s="120"/>
      <c r="J761" s="117"/>
      <c r="K761" s="118"/>
      <c r="L761" s="119"/>
      <c r="M761" s="120"/>
      <c r="N761" s="120"/>
      <c r="O761" s="120"/>
      <c r="P761" s="118"/>
      <c r="Q761" s="117"/>
      <c r="S761" s="2"/>
      <c r="T761" s="2"/>
    </row>
    <row r="762" spans="1:20" ht="15" customHeight="1">
      <c r="A762" s="163"/>
      <c r="B762" s="113"/>
      <c r="D762" s="113"/>
      <c r="F762" s="115"/>
      <c r="G762" s="116"/>
      <c r="H762" s="120"/>
      <c r="I762" s="120"/>
      <c r="J762" s="117"/>
      <c r="K762" s="118"/>
      <c r="L762" s="119"/>
      <c r="M762" s="120"/>
      <c r="N762" s="120"/>
      <c r="O762" s="120"/>
      <c r="P762" s="118"/>
      <c r="Q762" s="117"/>
      <c r="S762" s="2"/>
      <c r="T762" s="2"/>
    </row>
    <row r="763" spans="1:20" ht="15" customHeight="1">
      <c r="A763" s="163"/>
      <c r="B763" s="113"/>
      <c r="D763" s="113"/>
      <c r="F763" s="115"/>
      <c r="G763" s="116"/>
      <c r="H763" s="120"/>
      <c r="I763" s="120"/>
      <c r="J763" s="117"/>
      <c r="K763" s="118"/>
      <c r="L763" s="119"/>
      <c r="M763" s="120"/>
      <c r="N763" s="120"/>
      <c r="O763" s="120"/>
      <c r="P763" s="118"/>
      <c r="Q763" s="117"/>
      <c r="S763" s="2"/>
      <c r="T763" s="2"/>
    </row>
    <row r="764" spans="1:20" ht="15" customHeight="1">
      <c r="A764" s="163"/>
      <c r="B764" s="113"/>
      <c r="D764" s="113"/>
      <c r="F764" s="115"/>
      <c r="G764" s="116"/>
      <c r="H764" s="120"/>
      <c r="I764" s="120"/>
      <c r="J764" s="117"/>
      <c r="K764" s="118"/>
      <c r="L764" s="119"/>
      <c r="M764" s="120"/>
      <c r="N764" s="120"/>
      <c r="O764" s="120"/>
      <c r="P764" s="118"/>
      <c r="Q764" s="117"/>
      <c r="S764" s="2"/>
      <c r="T764" s="2"/>
    </row>
    <row r="765" spans="1:20" ht="15" customHeight="1">
      <c r="A765" s="163"/>
      <c r="B765" s="113"/>
      <c r="D765" s="113"/>
      <c r="F765" s="115"/>
      <c r="G765" s="116"/>
      <c r="H765" s="120"/>
      <c r="I765" s="120"/>
      <c r="J765" s="117"/>
      <c r="K765" s="118"/>
      <c r="L765" s="119"/>
      <c r="M765" s="120"/>
      <c r="N765" s="120"/>
      <c r="O765" s="120"/>
      <c r="P765" s="118"/>
      <c r="Q765" s="117"/>
      <c r="S765" s="2"/>
      <c r="T765" s="2"/>
    </row>
    <row r="766" spans="1:20" ht="15" customHeight="1">
      <c r="A766" s="163"/>
      <c r="B766" s="113"/>
      <c r="D766" s="113"/>
      <c r="F766" s="115"/>
      <c r="G766" s="116"/>
      <c r="H766" s="120"/>
      <c r="I766" s="120"/>
      <c r="J766" s="117"/>
      <c r="K766" s="118"/>
      <c r="L766" s="119"/>
      <c r="M766" s="120"/>
      <c r="N766" s="120"/>
      <c r="O766" s="120"/>
      <c r="P766" s="118"/>
      <c r="Q766" s="117"/>
      <c r="S766" s="2"/>
      <c r="T766" s="2"/>
    </row>
    <row r="767" spans="1:20" ht="15" customHeight="1">
      <c r="A767" s="163"/>
      <c r="B767" s="113"/>
      <c r="D767" s="113"/>
      <c r="F767" s="115"/>
      <c r="G767" s="116"/>
      <c r="H767" s="120"/>
      <c r="I767" s="120"/>
      <c r="J767" s="117"/>
      <c r="K767" s="118"/>
      <c r="L767" s="119"/>
      <c r="M767" s="120"/>
      <c r="N767" s="120"/>
      <c r="O767" s="120"/>
      <c r="P767" s="118"/>
      <c r="Q767" s="117"/>
      <c r="S767" s="2"/>
      <c r="T767" s="2"/>
    </row>
    <row r="768" spans="1:20" ht="15" customHeight="1">
      <c r="A768" s="163"/>
      <c r="B768" s="113"/>
      <c r="D768" s="113"/>
      <c r="F768" s="115"/>
      <c r="G768" s="116"/>
      <c r="H768" s="120"/>
      <c r="I768" s="120"/>
      <c r="J768" s="117"/>
      <c r="K768" s="118"/>
      <c r="L768" s="119"/>
      <c r="M768" s="120"/>
      <c r="N768" s="120"/>
      <c r="O768" s="120"/>
      <c r="P768" s="118"/>
      <c r="Q768" s="117"/>
      <c r="S768" s="2"/>
      <c r="T768" s="2"/>
    </row>
    <row r="769" spans="1:20" ht="15" customHeight="1">
      <c r="A769" s="163"/>
      <c r="B769" s="113"/>
      <c r="D769" s="113"/>
      <c r="F769" s="115"/>
      <c r="G769" s="116"/>
      <c r="H769" s="120"/>
      <c r="I769" s="120"/>
      <c r="J769" s="117"/>
      <c r="K769" s="118"/>
      <c r="L769" s="119"/>
      <c r="M769" s="120"/>
      <c r="N769" s="120"/>
      <c r="O769" s="120"/>
      <c r="P769" s="118"/>
      <c r="Q769" s="117"/>
      <c r="S769" s="2"/>
      <c r="T769" s="2"/>
    </row>
    <row r="770" spans="1:20" ht="15" customHeight="1">
      <c r="A770" s="163"/>
      <c r="B770" s="113"/>
      <c r="D770" s="113"/>
      <c r="F770" s="115"/>
      <c r="G770" s="116"/>
      <c r="H770" s="120"/>
      <c r="I770" s="120"/>
      <c r="J770" s="117"/>
      <c r="K770" s="118"/>
      <c r="L770" s="119"/>
      <c r="M770" s="120"/>
      <c r="N770" s="120"/>
      <c r="O770" s="120"/>
      <c r="P770" s="118"/>
      <c r="Q770" s="117"/>
      <c r="S770" s="2"/>
      <c r="T770" s="2"/>
    </row>
    <row r="771" spans="1:20" ht="15" customHeight="1">
      <c r="A771" s="163"/>
      <c r="B771" s="113"/>
      <c r="D771" s="113"/>
      <c r="F771" s="115"/>
      <c r="G771" s="116"/>
      <c r="H771" s="120"/>
      <c r="I771" s="120"/>
      <c r="J771" s="117"/>
      <c r="K771" s="118"/>
      <c r="L771" s="119"/>
      <c r="M771" s="120"/>
      <c r="N771" s="120"/>
      <c r="O771" s="120"/>
      <c r="P771" s="118"/>
      <c r="Q771" s="117"/>
      <c r="S771" s="2"/>
      <c r="T771" s="2"/>
    </row>
    <row r="772" spans="1:20" ht="15" customHeight="1">
      <c r="A772" s="163"/>
      <c r="B772" s="113"/>
      <c r="D772" s="113"/>
      <c r="F772" s="115"/>
      <c r="G772" s="116"/>
      <c r="H772" s="120"/>
      <c r="I772" s="120"/>
      <c r="J772" s="117"/>
      <c r="K772" s="118"/>
      <c r="L772" s="119"/>
      <c r="M772" s="120"/>
      <c r="N772" s="120"/>
      <c r="O772" s="120"/>
      <c r="P772" s="118"/>
      <c r="Q772" s="117"/>
      <c r="S772" s="2"/>
      <c r="T772" s="2"/>
    </row>
    <row r="773" spans="1:20" ht="15" customHeight="1">
      <c r="A773" s="163"/>
      <c r="B773" s="113"/>
      <c r="D773" s="113"/>
      <c r="F773" s="115"/>
      <c r="G773" s="116"/>
      <c r="H773" s="120"/>
      <c r="I773" s="120"/>
      <c r="J773" s="117"/>
      <c r="K773" s="118"/>
      <c r="L773" s="119"/>
      <c r="M773" s="120"/>
      <c r="N773" s="120"/>
      <c r="O773" s="120"/>
      <c r="P773" s="118"/>
      <c r="Q773" s="117"/>
      <c r="S773" s="2"/>
      <c r="T773" s="2"/>
    </row>
    <row r="774" spans="1:20" ht="15" customHeight="1">
      <c r="A774" s="163"/>
      <c r="B774" s="113"/>
      <c r="D774" s="113"/>
      <c r="F774" s="115"/>
      <c r="G774" s="116"/>
      <c r="H774" s="120"/>
      <c r="I774" s="120"/>
      <c r="J774" s="117"/>
      <c r="K774" s="118"/>
      <c r="L774" s="119"/>
      <c r="M774" s="120"/>
      <c r="N774" s="120"/>
      <c r="O774" s="120"/>
      <c r="P774" s="118"/>
      <c r="Q774" s="117"/>
      <c r="S774" s="2"/>
      <c r="T774" s="2"/>
    </row>
    <row r="775" spans="1:20" ht="15" customHeight="1">
      <c r="A775" s="163"/>
      <c r="B775" s="113"/>
      <c r="D775" s="113"/>
      <c r="F775" s="115"/>
      <c r="G775" s="116"/>
      <c r="H775" s="120"/>
      <c r="I775" s="120"/>
      <c r="J775" s="117"/>
      <c r="K775" s="118"/>
      <c r="L775" s="119"/>
      <c r="M775" s="120"/>
      <c r="N775" s="120"/>
      <c r="O775" s="120"/>
      <c r="P775" s="118"/>
      <c r="Q775" s="117"/>
      <c r="S775" s="2"/>
      <c r="T775" s="2"/>
    </row>
    <row r="776" spans="1:20" ht="15" customHeight="1">
      <c r="A776" s="163"/>
      <c r="B776" s="113"/>
      <c r="D776" s="113"/>
      <c r="F776" s="115"/>
      <c r="G776" s="116"/>
      <c r="H776" s="120"/>
      <c r="I776" s="120"/>
      <c r="J776" s="117"/>
      <c r="K776" s="118"/>
      <c r="L776" s="119"/>
      <c r="M776" s="120"/>
      <c r="N776" s="120"/>
      <c r="O776" s="120"/>
      <c r="P776" s="118"/>
      <c r="Q776" s="117"/>
      <c r="S776" s="2"/>
      <c r="T776" s="2"/>
    </row>
    <row r="777" spans="1:20" ht="15" customHeight="1">
      <c r="A777" s="163"/>
      <c r="B777" s="113"/>
      <c r="D777" s="113"/>
      <c r="F777" s="115"/>
      <c r="G777" s="116"/>
      <c r="H777" s="120"/>
      <c r="I777" s="120"/>
      <c r="J777" s="117"/>
      <c r="K777" s="118"/>
      <c r="L777" s="119"/>
      <c r="M777" s="120"/>
      <c r="N777" s="120"/>
      <c r="O777" s="120"/>
      <c r="P777" s="118"/>
      <c r="Q777" s="117"/>
      <c r="S777" s="2"/>
      <c r="T777" s="2"/>
    </row>
    <row r="778" spans="1:20" ht="15" customHeight="1">
      <c r="A778" s="163"/>
      <c r="B778" s="113"/>
      <c r="D778" s="113"/>
      <c r="F778" s="115"/>
      <c r="G778" s="116"/>
      <c r="H778" s="120"/>
      <c r="I778" s="120"/>
      <c r="J778" s="117"/>
      <c r="K778" s="118"/>
      <c r="L778" s="119"/>
      <c r="M778" s="120"/>
      <c r="N778" s="120"/>
      <c r="O778" s="120"/>
      <c r="P778" s="118"/>
      <c r="Q778" s="117"/>
      <c r="S778" s="2"/>
      <c r="T778" s="2"/>
    </row>
    <row r="779" spans="1:20" ht="15" customHeight="1">
      <c r="A779" s="163"/>
      <c r="B779" s="113"/>
      <c r="D779" s="113"/>
      <c r="F779" s="115"/>
      <c r="G779" s="116"/>
      <c r="H779" s="120"/>
      <c r="I779" s="120"/>
      <c r="J779" s="117"/>
      <c r="K779" s="118"/>
      <c r="L779" s="119"/>
      <c r="M779" s="120"/>
      <c r="N779" s="120"/>
      <c r="O779" s="120"/>
      <c r="P779" s="118"/>
      <c r="Q779" s="117"/>
      <c r="S779" s="2"/>
      <c r="T779" s="2"/>
    </row>
    <row r="780" spans="1:20" ht="15" customHeight="1">
      <c r="A780" s="163"/>
      <c r="B780" s="113"/>
      <c r="D780" s="113"/>
      <c r="F780" s="115"/>
      <c r="G780" s="116"/>
      <c r="H780" s="120"/>
      <c r="I780" s="120"/>
      <c r="J780" s="117"/>
      <c r="K780" s="118"/>
      <c r="L780" s="119"/>
      <c r="M780" s="120"/>
      <c r="N780" s="120"/>
      <c r="O780" s="120"/>
      <c r="P780" s="118"/>
      <c r="Q780" s="117"/>
      <c r="S780" s="2"/>
      <c r="T780" s="2"/>
    </row>
    <row r="781" spans="1:20" ht="15" customHeight="1">
      <c r="A781" s="163"/>
      <c r="B781" s="113"/>
      <c r="D781" s="113"/>
      <c r="F781" s="115"/>
      <c r="G781" s="116"/>
      <c r="H781" s="120"/>
      <c r="I781" s="120"/>
      <c r="J781" s="117"/>
      <c r="K781" s="118"/>
      <c r="L781" s="119"/>
      <c r="M781" s="120"/>
      <c r="N781" s="120"/>
      <c r="O781" s="120"/>
      <c r="P781" s="118"/>
      <c r="Q781" s="117"/>
      <c r="S781" s="2"/>
      <c r="T781" s="2"/>
    </row>
    <row r="782" spans="1:20" ht="15" customHeight="1">
      <c r="A782" s="163"/>
      <c r="B782" s="113"/>
      <c r="D782" s="113"/>
      <c r="F782" s="115"/>
      <c r="G782" s="116"/>
      <c r="H782" s="120"/>
      <c r="I782" s="120"/>
      <c r="J782" s="117"/>
      <c r="K782" s="118"/>
      <c r="L782" s="119"/>
      <c r="M782" s="120"/>
      <c r="N782" s="120"/>
      <c r="O782" s="120"/>
      <c r="P782" s="118"/>
      <c r="Q782" s="117"/>
      <c r="S782" s="2"/>
      <c r="T782" s="2"/>
    </row>
    <row r="783" spans="1:20" ht="15" customHeight="1">
      <c r="A783" s="163"/>
      <c r="B783" s="113"/>
      <c r="D783" s="113"/>
      <c r="F783" s="115"/>
      <c r="G783" s="116"/>
      <c r="H783" s="120"/>
      <c r="I783" s="120"/>
      <c r="J783" s="117"/>
      <c r="K783" s="118"/>
      <c r="L783" s="119"/>
      <c r="M783" s="120"/>
      <c r="N783" s="120"/>
      <c r="O783" s="120"/>
      <c r="P783" s="118"/>
      <c r="Q783" s="117"/>
      <c r="S783" s="2"/>
      <c r="T783" s="2"/>
    </row>
    <row r="784" spans="1:20" ht="15" customHeight="1">
      <c r="A784" s="163"/>
      <c r="B784" s="113"/>
      <c r="D784" s="113"/>
      <c r="F784" s="115"/>
      <c r="G784" s="116"/>
      <c r="H784" s="120"/>
      <c r="I784" s="120"/>
      <c r="J784" s="117"/>
      <c r="K784" s="118"/>
      <c r="L784" s="119"/>
      <c r="M784" s="120"/>
      <c r="N784" s="120"/>
      <c r="O784" s="120"/>
      <c r="P784" s="118"/>
      <c r="Q784" s="117"/>
      <c r="S784" s="2"/>
      <c r="T784" s="2"/>
    </row>
    <row r="785" spans="1:20" ht="15" customHeight="1">
      <c r="A785" s="163"/>
      <c r="B785" s="113"/>
      <c r="D785" s="113"/>
      <c r="F785" s="115"/>
      <c r="G785" s="116"/>
      <c r="H785" s="120"/>
      <c r="I785" s="120"/>
      <c r="J785" s="117"/>
      <c r="K785" s="118"/>
      <c r="L785" s="119"/>
      <c r="M785" s="120"/>
      <c r="N785" s="120"/>
      <c r="O785" s="120"/>
      <c r="P785" s="118"/>
      <c r="Q785" s="117"/>
      <c r="S785" s="2"/>
      <c r="T785" s="2"/>
    </row>
    <row r="786" spans="1:20" ht="15" customHeight="1">
      <c r="A786" s="163"/>
      <c r="B786" s="113"/>
      <c r="D786" s="113"/>
      <c r="F786" s="115"/>
      <c r="G786" s="116"/>
      <c r="H786" s="120"/>
      <c r="I786" s="120"/>
      <c r="J786" s="117"/>
      <c r="K786" s="118"/>
      <c r="L786" s="119"/>
      <c r="M786" s="120"/>
      <c r="N786" s="120"/>
      <c r="O786" s="120"/>
      <c r="P786" s="118"/>
      <c r="Q786" s="117"/>
      <c r="S786" s="2"/>
      <c r="T786" s="2"/>
    </row>
    <row r="787" spans="1:20" ht="15" customHeight="1">
      <c r="A787" s="163"/>
      <c r="B787" s="113"/>
      <c r="D787" s="113"/>
      <c r="F787" s="115"/>
      <c r="G787" s="116"/>
      <c r="H787" s="120"/>
      <c r="I787" s="120"/>
      <c r="J787" s="117"/>
      <c r="K787" s="118"/>
      <c r="L787" s="119"/>
      <c r="M787" s="120"/>
      <c r="N787" s="120"/>
      <c r="O787" s="120"/>
      <c r="P787" s="118"/>
      <c r="Q787" s="117"/>
      <c r="S787" s="2"/>
      <c r="T787" s="2"/>
    </row>
    <row r="788" spans="1:20" ht="15" customHeight="1">
      <c r="A788" s="163"/>
      <c r="B788" s="113"/>
      <c r="D788" s="113"/>
      <c r="F788" s="115"/>
      <c r="G788" s="116"/>
      <c r="H788" s="120"/>
      <c r="I788" s="120"/>
      <c r="J788" s="117"/>
      <c r="K788" s="118"/>
      <c r="L788" s="119"/>
      <c r="M788" s="120"/>
      <c r="N788" s="120"/>
      <c r="O788" s="120"/>
      <c r="P788" s="118"/>
      <c r="Q788" s="117"/>
      <c r="S788" s="2"/>
      <c r="T788" s="2"/>
    </row>
    <row r="789" spans="1:20" ht="15" customHeight="1">
      <c r="A789" s="163"/>
      <c r="B789" s="113"/>
      <c r="D789" s="113"/>
      <c r="F789" s="115"/>
      <c r="G789" s="116"/>
      <c r="H789" s="120"/>
      <c r="I789" s="120"/>
      <c r="J789" s="117"/>
      <c r="K789" s="118"/>
      <c r="L789" s="119"/>
      <c r="M789" s="120"/>
      <c r="N789" s="120"/>
      <c r="O789" s="120"/>
      <c r="P789" s="118"/>
      <c r="Q789" s="117"/>
      <c r="S789" s="2"/>
      <c r="T789" s="2"/>
    </row>
    <row r="790" spans="1:20" ht="15" customHeight="1">
      <c r="A790" s="163"/>
      <c r="B790" s="113"/>
      <c r="D790" s="113"/>
      <c r="F790" s="115"/>
      <c r="G790" s="116"/>
      <c r="H790" s="120"/>
      <c r="I790" s="120"/>
      <c r="J790" s="117"/>
      <c r="K790" s="118"/>
      <c r="L790" s="119"/>
      <c r="M790" s="120"/>
      <c r="N790" s="120"/>
      <c r="O790" s="120"/>
      <c r="P790" s="118"/>
      <c r="Q790" s="117"/>
      <c r="S790" s="2"/>
      <c r="T790" s="2"/>
    </row>
    <row r="791" spans="1:20" ht="15" customHeight="1">
      <c r="A791" s="163"/>
      <c r="B791" s="113"/>
      <c r="D791" s="113"/>
      <c r="F791" s="115"/>
      <c r="G791" s="116"/>
      <c r="H791" s="120"/>
      <c r="I791" s="120"/>
      <c r="J791" s="117"/>
      <c r="K791" s="118"/>
      <c r="L791" s="119"/>
      <c r="M791" s="120"/>
      <c r="N791" s="120"/>
      <c r="O791" s="120"/>
      <c r="P791" s="118"/>
      <c r="Q791" s="117"/>
      <c r="S791" s="2"/>
      <c r="T791" s="2"/>
    </row>
    <row r="792" spans="1:20" ht="15" customHeight="1">
      <c r="A792" s="163"/>
      <c r="B792" s="113"/>
      <c r="D792" s="113"/>
      <c r="F792" s="115"/>
      <c r="G792" s="116"/>
      <c r="H792" s="120"/>
      <c r="I792" s="120"/>
      <c r="J792" s="117"/>
      <c r="K792" s="118"/>
      <c r="L792" s="119"/>
      <c r="M792" s="120"/>
      <c r="N792" s="120"/>
      <c r="O792" s="120"/>
      <c r="P792" s="118"/>
      <c r="Q792" s="117"/>
      <c r="S792" s="2"/>
      <c r="T792" s="2"/>
    </row>
    <row r="793" spans="1:20" ht="15" customHeight="1">
      <c r="A793" s="163"/>
      <c r="B793" s="113"/>
      <c r="D793" s="113"/>
      <c r="F793" s="115"/>
      <c r="G793" s="116"/>
      <c r="H793" s="120"/>
      <c r="I793" s="120"/>
      <c r="J793" s="117"/>
      <c r="K793" s="118"/>
      <c r="L793" s="119"/>
      <c r="M793" s="120"/>
      <c r="N793" s="120"/>
      <c r="O793" s="120"/>
      <c r="P793" s="118"/>
      <c r="Q793" s="117"/>
      <c r="S793" s="2"/>
      <c r="T793" s="2"/>
    </row>
    <row r="794" spans="1:20" ht="15" customHeight="1">
      <c r="A794" s="163"/>
      <c r="B794" s="113"/>
      <c r="D794" s="113"/>
      <c r="F794" s="115"/>
      <c r="G794" s="116"/>
      <c r="H794" s="120"/>
      <c r="I794" s="120"/>
      <c r="J794" s="117"/>
      <c r="K794" s="118"/>
      <c r="L794" s="119"/>
      <c r="M794" s="120"/>
      <c r="N794" s="120"/>
      <c r="O794" s="120"/>
      <c r="P794" s="118"/>
      <c r="Q794" s="117"/>
      <c r="S794" s="2"/>
      <c r="T794" s="2"/>
    </row>
    <row r="795" spans="1:20" ht="15" customHeight="1">
      <c r="A795" s="163"/>
      <c r="B795" s="113"/>
      <c r="D795" s="113"/>
      <c r="F795" s="115"/>
      <c r="G795" s="116"/>
      <c r="H795" s="120"/>
      <c r="I795" s="120"/>
      <c r="J795" s="117"/>
      <c r="K795" s="118"/>
      <c r="L795" s="119"/>
      <c r="M795" s="120"/>
      <c r="N795" s="120"/>
      <c r="O795" s="120"/>
      <c r="P795" s="118"/>
      <c r="Q795" s="117"/>
      <c r="S795" s="2"/>
      <c r="T795" s="2"/>
    </row>
    <row r="796" spans="1:20" ht="15" customHeight="1">
      <c r="A796" s="163"/>
      <c r="B796" s="113"/>
      <c r="D796" s="113"/>
      <c r="F796" s="115"/>
      <c r="G796" s="116"/>
      <c r="H796" s="120"/>
      <c r="I796" s="120"/>
      <c r="J796" s="117"/>
      <c r="K796" s="118"/>
      <c r="L796" s="119"/>
      <c r="M796" s="120"/>
      <c r="N796" s="120"/>
      <c r="O796" s="120"/>
      <c r="P796" s="118"/>
      <c r="Q796" s="117"/>
      <c r="S796" s="2"/>
      <c r="T796" s="2"/>
    </row>
    <row r="797" spans="1:20" ht="15" customHeight="1">
      <c r="A797" s="163"/>
      <c r="B797" s="113"/>
      <c r="D797" s="113"/>
      <c r="F797" s="115"/>
      <c r="G797" s="116"/>
      <c r="H797" s="120"/>
      <c r="I797" s="120"/>
      <c r="J797" s="117"/>
      <c r="K797" s="118"/>
      <c r="L797" s="119"/>
      <c r="M797" s="120"/>
      <c r="N797" s="120"/>
      <c r="O797" s="120"/>
      <c r="P797" s="118"/>
      <c r="Q797" s="117"/>
      <c r="S797" s="2"/>
      <c r="T797" s="2"/>
    </row>
    <row r="798" spans="1:20" ht="15" customHeight="1">
      <c r="A798" s="163"/>
      <c r="B798" s="113"/>
      <c r="D798" s="113"/>
      <c r="F798" s="115"/>
      <c r="G798" s="116"/>
      <c r="H798" s="120"/>
      <c r="I798" s="120"/>
      <c r="J798" s="117"/>
      <c r="K798" s="118"/>
      <c r="L798" s="119"/>
      <c r="M798" s="120"/>
      <c r="N798" s="120"/>
      <c r="O798" s="120"/>
      <c r="P798" s="118"/>
      <c r="Q798" s="117"/>
      <c r="S798" s="2"/>
      <c r="T798" s="2"/>
    </row>
    <row r="799" spans="1:20" ht="15" customHeight="1">
      <c r="A799" s="163"/>
      <c r="B799" s="113"/>
      <c r="D799" s="113"/>
      <c r="F799" s="115"/>
      <c r="G799" s="116"/>
      <c r="H799" s="120"/>
      <c r="I799" s="120"/>
      <c r="J799" s="117"/>
      <c r="K799" s="118"/>
      <c r="L799" s="119"/>
      <c r="M799" s="120"/>
      <c r="N799" s="120"/>
      <c r="O799" s="120"/>
      <c r="P799" s="118"/>
      <c r="Q799" s="117"/>
      <c r="S799" s="2"/>
      <c r="T799" s="2"/>
    </row>
    <row r="800" spans="1:20" ht="15" customHeight="1">
      <c r="A800" s="163"/>
      <c r="B800" s="113"/>
      <c r="D800" s="113"/>
      <c r="F800" s="115"/>
      <c r="G800" s="116"/>
      <c r="H800" s="120"/>
      <c r="I800" s="120"/>
      <c r="J800" s="117"/>
      <c r="K800" s="118"/>
      <c r="L800" s="119"/>
      <c r="M800" s="120"/>
      <c r="N800" s="120"/>
      <c r="O800" s="120"/>
      <c r="P800" s="118"/>
      <c r="Q800" s="117"/>
      <c r="S800" s="2"/>
      <c r="T800" s="2"/>
    </row>
    <row r="801" spans="1:20" ht="15" customHeight="1">
      <c r="A801" s="163"/>
      <c r="B801" s="113"/>
      <c r="D801" s="113"/>
      <c r="F801" s="115"/>
      <c r="G801" s="116"/>
      <c r="H801" s="120"/>
      <c r="I801" s="120"/>
      <c r="J801" s="117"/>
      <c r="K801" s="118"/>
      <c r="L801" s="119"/>
      <c r="M801" s="120"/>
      <c r="N801" s="120"/>
      <c r="O801" s="120"/>
      <c r="P801" s="118"/>
      <c r="Q801" s="117"/>
      <c r="S801" s="2"/>
      <c r="T801" s="2"/>
    </row>
    <row r="802" spans="1:20" ht="15" customHeight="1">
      <c r="A802" s="163"/>
      <c r="B802" s="113"/>
      <c r="D802" s="113"/>
      <c r="F802" s="115"/>
      <c r="G802" s="116"/>
      <c r="H802" s="120"/>
      <c r="I802" s="120"/>
      <c r="J802" s="117"/>
      <c r="K802" s="118"/>
      <c r="L802" s="119"/>
      <c r="M802" s="120"/>
      <c r="N802" s="120"/>
      <c r="O802" s="120"/>
      <c r="P802" s="118"/>
      <c r="Q802" s="117"/>
      <c r="S802" s="2"/>
      <c r="T802" s="2"/>
    </row>
    <row r="803" spans="1:20" ht="15" customHeight="1">
      <c r="A803" s="163"/>
      <c r="B803" s="113"/>
      <c r="D803" s="113"/>
      <c r="F803" s="115"/>
      <c r="G803" s="116"/>
      <c r="H803" s="120"/>
      <c r="I803" s="120"/>
      <c r="J803" s="117"/>
      <c r="K803" s="118"/>
      <c r="L803" s="119"/>
      <c r="M803" s="120"/>
      <c r="N803" s="120"/>
      <c r="O803" s="120"/>
      <c r="P803" s="118"/>
      <c r="Q803" s="117"/>
      <c r="S803" s="2"/>
      <c r="T803" s="2"/>
    </row>
    <row r="804" spans="1:20" ht="15" customHeight="1">
      <c r="A804" s="163"/>
      <c r="B804" s="113"/>
      <c r="D804" s="113"/>
      <c r="F804" s="115"/>
      <c r="G804" s="116"/>
      <c r="H804" s="120"/>
      <c r="I804" s="120"/>
      <c r="J804" s="117"/>
      <c r="K804" s="118"/>
      <c r="L804" s="119"/>
      <c r="M804" s="120"/>
      <c r="N804" s="120"/>
      <c r="O804" s="120"/>
      <c r="P804" s="118"/>
      <c r="Q804" s="117"/>
      <c r="S804" s="2"/>
      <c r="T804" s="2"/>
    </row>
    <row r="805" spans="1:20" ht="15" customHeight="1">
      <c r="A805" s="163"/>
      <c r="B805" s="113"/>
      <c r="D805" s="113"/>
      <c r="F805" s="115"/>
      <c r="G805" s="116"/>
      <c r="H805" s="120"/>
      <c r="I805" s="120"/>
      <c r="J805" s="117"/>
      <c r="K805" s="118"/>
      <c r="L805" s="119"/>
      <c r="M805" s="120"/>
      <c r="N805" s="120"/>
      <c r="O805" s="120"/>
      <c r="P805" s="118"/>
      <c r="Q805" s="117"/>
      <c r="S805" s="2"/>
      <c r="T805" s="2"/>
    </row>
    <row r="806" spans="1:20" ht="15" customHeight="1">
      <c r="A806" s="163"/>
      <c r="B806" s="113"/>
      <c r="D806" s="113"/>
      <c r="F806" s="115"/>
      <c r="G806" s="116"/>
      <c r="H806" s="120"/>
      <c r="I806" s="120"/>
      <c r="J806" s="117"/>
      <c r="K806" s="118"/>
      <c r="L806" s="119"/>
      <c r="M806" s="120"/>
      <c r="N806" s="120"/>
      <c r="O806" s="120"/>
      <c r="P806" s="118"/>
      <c r="Q806" s="117"/>
      <c r="S806" s="2"/>
      <c r="T806" s="2"/>
    </row>
    <row r="807" spans="1:20" ht="15" customHeight="1">
      <c r="A807" s="163"/>
      <c r="B807" s="113"/>
      <c r="D807" s="113"/>
      <c r="F807" s="115"/>
      <c r="G807" s="116"/>
      <c r="H807" s="120"/>
      <c r="I807" s="120"/>
      <c r="J807" s="117"/>
      <c r="K807" s="118"/>
      <c r="L807" s="119"/>
      <c r="M807" s="120"/>
      <c r="N807" s="120"/>
      <c r="O807" s="120"/>
      <c r="P807" s="118"/>
      <c r="Q807" s="117"/>
      <c r="S807" s="2"/>
      <c r="T807" s="2"/>
    </row>
    <row r="808" spans="1:20" ht="15" customHeight="1">
      <c r="A808" s="163"/>
      <c r="B808" s="113"/>
      <c r="D808" s="113"/>
      <c r="F808" s="115"/>
      <c r="G808" s="116"/>
      <c r="H808" s="120"/>
      <c r="I808" s="120"/>
      <c r="J808" s="117"/>
      <c r="K808" s="118"/>
      <c r="L808" s="119"/>
      <c r="M808" s="120"/>
      <c r="N808" s="120"/>
      <c r="O808" s="120"/>
      <c r="P808" s="118"/>
      <c r="Q808" s="117"/>
      <c r="S808" s="2"/>
      <c r="T808" s="2"/>
    </row>
    <row r="809" spans="1:20" ht="15" customHeight="1">
      <c r="A809" s="163"/>
      <c r="B809" s="113"/>
      <c r="D809" s="113"/>
      <c r="F809" s="115"/>
      <c r="G809" s="116"/>
      <c r="H809" s="120"/>
      <c r="I809" s="120"/>
      <c r="J809" s="117"/>
      <c r="K809" s="118"/>
      <c r="L809" s="119"/>
      <c r="M809" s="120"/>
      <c r="N809" s="120"/>
      <c r="O809" s="120"/>
      <c r="P809" s="118"/>
      <c r="Q809" s="117"/>
      <c r="S809" s="2"/>
      <c r="T809" s="2"/>
    </row>
    <row r="810" spans="1:20" ht="15" customHeight="1">
      <c r="A810" s="163"/>
      <c r="B810" s="113"/>
      <c r="D810" s="113"/>
      <c r="F810" s="115"/>
      <c r="G810" s="116"/>
      <c r="H810" s="120"/>
      <c r="I810" s="120"/>
      <c r="J810" s="117"/>
      <c r="K810" s="118"/>
      <c r="L810" s="119"/>
      <c r="M810" s="120"/>
      <c r="N810" s="120"/>
      <c r="O810" s="120"/>
      <c r="P810" s="118"/>
      <c r="Q810" s="117"/>
      <c r="S810" s="2"/>
      <c r="T810" s="2"/>
    </row>
    <row r="811" spans="1:20" ht="15" customHeight="1">
      <c r="A811" s="163"/>
      <c r="B811" s="113"/>
      <c r="D811" s="113"/>
      <c r="F811" s="115"/>
      <c r="G811" s="116"/>
      <c r="H811" s="120"/>
      <c r="I811" s="120"/>
      <c r="J811" s="117"/>
      <c r="K811" s="118"/>
      <c r="L811" s="119"/>
      <c r="M811" s="120"/>
      <c r="N811" s="120"/>
      <c r="O811" s="120"/>
      <c r="P811" s="118"/>
      <c r="Q811" s="117"/>
      <c r="S811" s="2"/>
      <c r="T811" s="2"/>
    </row>
    <row r="812" spans="1:20" ht="15" customHeight="1">
      <c r="A812" s="163"/>
      <c r="B812" s="113"/>
      <c r="D812" s="113"/>
      <c r="F812" s="115"/>
      <c r="G812" s="116"/>
      <c r="H812" s="120"/>
      <c r="I812" s="120"/>
      <c r="J812" s="117"/>
      <c r="K812" s="118"/>
      <c r="L812" s="119"/>
      <c r="M812" s="120"/>
      <c r="N812" s="120"/>
      <c r="O812" s="120"/>
      <c r="P812" s="118"/>
      <c r="Q812" s="117"/>
      <c r="S812" s="2"/>
      <c r="T812" s="2"/>
    </row>
    <row r="813" spans="1:20" ht="15" customHeight="1">
      <c r="A813" s="163"/>
      <c r="B813" s="113"/>
      <c r="D813" s="113"/>
      <c r="F813" s="115"/>
      <c r="G813" s="116"/>
      <c r="H813" s="120"/>
      <c r="I813" s="120"/>
      <c r="J813" s="117"/>
      <c r="K813" s="118"/>
      <c r="L813" s="119"/>
      <c r="M813" s="120"/>
      <c r="N813" s="120"/>
      <c r="O813" s="120"/>
      <c r="P813" s="118"/>
      <c r="Q813" s="117"/>
      <c r="S813" s="2"/>
      <c r="T813" s="2"/>
    </row>
    <row r="814" spans="1:20" ht="15" customHeight="1">
      <c r="A814" s="163"/>
      <c r="B814" s="113"/>
      <c r="D814" s="113"/>
      <c r="F814" s="115"/>
      <c r="G814" s="116"/>
      <c r="H814" s="120"/>
      <c r="I814" s="120"/>
      <c r="J814" s="117"/>
      <c r="K814" s="118"/>
      <c r="L814" s="119"/>
      <c r="M814" s="120"/>
      <c r="N814" s="120"/>
      <c r="O814" s="120"/>
      <c r="P814" s="118"/>
      <c r="Q814" s="117"/>
      <c r="S814" s="2"/>
      <c r="T814" s="2"/>
    </row>
    <row r="815" spans="1:20" ht="15" customHeight="1">
      <c r="A815" s="163"/>
      <c r="B815" s="113"/>
      <c r="D815" s="113"/>
      <c r="F815" s="115"/>
      <c r="G815" s="116"/>
      <c r="H815" s="120"/>
      <c r="I815" s="120"/>
      <c r="J815" s="117"/>
      <c r="K815" s="118"/>
      <c r="L815" s="119"/>
      <c r="M815" s="120"/>
      <c r="N815" s="120"/>
      <c r="O815" s="120"/>
      <c r="P815" s="118"/>
      <c r="Q815" s="117"/>
      <c r="S815" s="2"/>
      <c r="T815" s="2"/>
    </row>
    <row r="816" spans="1:20" ht="15" customHeight="1">
      <c r="A816" s="163"/>
      <c r="B816" s="113"/>
      <c r="D816" s="113"/>
      <c r="F816" s="115"/>
      <c r="G816" s="116"/>
      <c r="H816" s="120"/>
      <c r="I816" s="120"/>
      <c r="J816" s="117"/>
      <c r="K816" s="118"/>
      <c r="L816" s="119"/>
      <c r="M816" s="120"/>
      <c r="N816" s="120"/>
      <c r="O816" s="120"/>
      <c r="P816" s="118"/>
      <c r="Q816" s="117"/>
      <c r="S816" s="2"/>
      <c r="T816" s="2"/>
    </row>
    <row r="817" spans="1:20" ht="15" customHeight="1">
      <c r="A817" s="163"/>
      <c r="B817" s="113"/>
      <c r="D817" s="113"/>
      <c r="F817" s="115"/>
      <c r="G817" s="116"/>
      <c r="H817" s="120"/>
      <c r="I817" s="120"/>
      <c r="J817" s="117"/>
      <c r="K817" s="118"/>
      <c r="L817" s="119"/>
      <c r="M817" s="120"/>
      <c r="N817" s="120"/>
      <c r="O817" s="120"/>
      <c r="P817" s="118"/>
      <c r="Q817" s="117"/>
      <c r="S817" s="2"/>
      <c r="T817" s="2"/>
    </row>
    <row r="818" spans="1:20" ht="15" customHeight="1">
      <c r="A818" s="163"/>
      <c r="B818" s="113"/>
      <c r="D818" s="113"/>
      <c r="F818" s="115"/>
      <c r="G818" s="116"/>
      <c r="H818" s="120"/>
      <c r="I818" s="120"/>
      <c r="J818" s="117"/>
      <c r="K818" s="118"/>
      <c r="L818" s="119"/>
      <c r="M818" s="120"/>
      <c r="N818" s="120"/>
      <c r="O818" s="120"/>
      <c r="P818" s="118"/>
      <c r="Q818" s="117"/>
      <c r="S818" s="2"/>
      <c r="T818" s="2"/>
    </row>
    <row r="819" spans="1:20" ht="15" customHeight="1">
      <c r="A819" s="163"/>
      <c r="B819" s="113"/>
      <c r="D819" s="113"/>
      <c r="F819" s="115"/>
      <c r="G819" s="116"/>
      <c r="H819" s="120"/>
      <c r="I819" s="120"/>
      <c r="J819" s="117"/>
      <c r="K819" s="118"/>
      <c r="L819" s="119"/>
      <c r="M819" s="120"/>
      <c r="N819" s="120"/>
      <c r="O819" s="120"/>
      <c r="P819" s="118"/>
      <c r="Q819" s="117"/>
      <c r="S819" s="2"/>
      <c r="T819" s="2"/>
    </row>
    <row r="820" spans="1:20" ht="15" customHeight="1">
      <c r="A820" s="163"/>
      <c r="B820" s="113"/>
      <c r="D820" s="113"/>
      <c r="F820" s="115"/>
      <c r="G820" s="116"/>
      <c r="H820" s="120"/>
      <c r="I820" s="120"/>
      <c r="J820" s="117"/>
      <c r="K820" s="118"/>
      <c r="L820" s="119"/>
      <c r="M820" s="120"/>
      <c r="N820" s="120"/>
      <c r="O820" s="120"/>
      <c r="P820" s="118"/>
      <c r="Q820" s="117"/>
      <c r="S820" s="2"/>
      <c r="T820" s="2"/>
    </row>
    <row r="821" spans="1:20" ht="15" customHeight="1">
      <c r="A821" s="163"/>
      <c r="B821" s="113"/>
      <c r="D821" s="113"/>
      <c r="F821" s="115"/>
      <c r="G821" s="116"/>
      <c r="H821" s="120"/>
      <c r="I821" s="120"/>
      <c r="J821" s="117"/>
      <c r="K821" s="118"/>
      <c r="L821" s="119"/>
      <c r="M821" s="120"/>
      <c r="N821" s="120"/>
      <c r="O821" s="120"/>
      <c r="P821" s="118"/>
      <c r="Q821" s="117"/>
      <c r="S821" s="2"/>
      <c r="T821" s="2"/>
    </row>
    <row r="822" spans="1:20" ht="15" customHeight="1">
      <c r="A822" s="163"/>
      <c r="B822" s="113"/>
      <c r="D822" s="113"/>
      <c r="F822" s="115"/>
      <c r="G822" s="116"/>
      <c r="H822" s="120"/>
      <c r="I822" s="120"/>
      <c r="J822" s="117"/>
      <c r="K822" s="118"/>
      <c r="L822" s="119"/>
      <c r="M822" s="120"/>
      <c r="N822" s="120"/>
      <c r="O822" s="120"/>
      <c r="P822" s="118"/>
      <c r="Q822" s="117"/>
      <c r="S822" s="2"/>
      <c r="T822" s="2"/>
    </row>
    <row r="823" spans="1:20" ht="15" customHeight="1">
      <c r="A823" s="163"/>
      <c r="B823" s="113"/>
      <c r="D823" s="113"/>
      <c r="F823" s="115"/>
      <c r="G823" s="116"/>
      <c r="H823" s="120"/>
      <c r="I823" s="120"/>
      <c r="J823" s="117"/>
      <c r="K823" s="118"/>
      <c r="L823" s="119"/>
      <c r="M823" s="120"/>
      <c r="N823" s="120"/>
      <c r="O823" s="120"/>
      <c r="P823" s="118"/>
      <c r="Q823" s="117"/>
      <c r="S823" s="2"/>
      <c r="T823" s="2"/>
    </row>
    <row r="824" spans="1:20" ht="15" customHeight="1">
      <c r="A824" s="163"/>
      <c r="B824" s="113"/>
      <c r="D824" s="113"/>
      <c r="F824" s="115"/>
      <c r="G824" s="116"/>
      <c r="H824" s="120"/>
      <c r="I824" s="120"/>
      <c r="J824" s="117"/>
      <c r="K824" s="118"/>
      <c r="L824" s="119"/>
      <c r="M824" s="120"/>
      <c r="N824" s="120"/>
      <c r="O824" s="120"/>
      <c r="P824" s="118"/>
      <c r="Q824" s="117"/>
      <c r="S824" s="2"/>
      <c r="T824" s="2"/>
    </row>
    <row r="825" spans="1:20" ht="15" customHeight="1">
      <c r="A825" s="163"/>
      <c r="B825" s="113"/>
      <c r="D825" s="113"/>
      <c r="F825" s="115"/>
      <c r="G825" s="116"/>
      <c r="H825" s="120"/>
      <c r="I825" s="120"/>
      <c r="J825" s="117"/>
      <c r="K825" s="118"/>
      <c r="L825" s="119"/>
      <c r="M825" s="120"/>
      <c r="N825" s="120"/>
      <c r="O825" s="120"/>
      <c r="P825" s="118"/>
      <c r="Q825" s="117"/>
      <c r="S825" s="2"/>
      <c r="T825" s="2"/>
    </row>
    <row r="826" spans="1:20" ht="15" customHeight="1">
      <c r="A826" s="163"/>
      <c r="B826" s="113"/>
      <c r="D826" s="113"/>
      <c r="F826" s="115"/>
      <c r="G826" s="116"/>
      <c r="H826" s="120"/>
      <c r="I826" s="120"/>
      <c r="J826" s="117"/>
      <c r="K826" s="118"/>
      <c r="L826" s="119"/>
      <c r="M826" s="120"/>
      <c r="N826" s="120"/>
      <c r="O826" s="120"/>
      <c r="P826" s="118"/>
      <c r="Q826" s="117"/>
      <c r="S826" s="2"/>
      <c r="T826" s="2"/>
    </row>
    <row r="827" spans="1:20" ht="15" customHeight="1">
      <c r="A827" s="163"/>
      <c r="B827" s="113"/>
      <c r="D827" s="113"/>
      <c r="F827" s="115"/>
      <c r="G827" s="116"/>
      <c r="H827" s="120"/>
      <c r="I827" s="120"/>
      <c r="J827" s="117"/>
      <c r="K827" s="118"/>
      <c r="L827" s="119"/>
      <c r="M827" s="120"/>
      <c r="N827" s="120"/>
      <c r="O827" s="120"/>
      <c r="P827" s="118"/>
      <c r="Q827" s="117"/>
      <c r="S827" s="2"/>
      <c r="T827" s="2"/>
    </row>
    <row r="828" spans="1:20" ht="15" customHeight="1">
      <c r="A828" s="163"/>
      <c r="B828" s="113"/>
      <c r="D828" s="113"/>
      <c r="F828" s="115"/>
      <c r="G828" s="116"/>
      <c r="H828" s="120"/>
      <c r="I828" s="120"/>
      <c r="J828" s="117"/>
      <c r="K828" s="118"/>
      <c r="L828" s="119"/>
      <c r="M828" s="120"/>
      <c r="N828" s="120"/>
      <c r="O828" s="120"/>
      <c r="P828" s="118"/>
      <c r="Q828" s="117"/>
      <c r="S828" s="2"/>
      <c r="T828" s="2"/>
    </row>
    <row r="829" spans="1:20" ht="15" customHeight="1">
      <c r="A829" s="163"/>
      <c r="B829" s="113"/>
      <c r="D829" s="113"/>
      <c r="F829" s="115"/>
      <c r="G829" s="116"/>
      <c r="H829" s="120"/>
      <c r="I829" s="120"/>
      <c r="J829" s="117"/>
      <c r="K829" s="118"/>
      <c r="L829" s="119"/>
      <c r="M829" s="120"/>
      <c r="N829" s="120"/>
      <c r="O829" s="120"/>
      <c r="P829" s="118"/>
      <c r="Q829" s="117"/>
      <c r="S829" s="2"/>
      <c r="T829" s="2"/>
    </row>
    <row r="830" spans="1:20" ht="15" customHeight="1">
      <c r="A830" s="163"/>
      <c r="B830" s="113"/>
      <c r="D830" s="113"/>
      <c r="F830" s="115"/>
      <c r="G830" s="116"/>
      <c r="H830" s="120"/>
      <c r="I830" s="120"/>
      <c r="J830" s="117"/>
      <c r="K830" s="118"/>
      <c r="L830" s="119"/>
      <c r="M830" s="120"/>
      <c r="N830" s="120"/>
      <c r="O830" s="120"/>
      <c r="P830" s="118"/>
      <c r="Q830" s="117"/>
      <c r="S830" s="2"/>
      <c r="T830" s="2"/>
    </row>
    <row r="831" spans="1:20" ht="15" customHeight="1">
      <c r="A831" s="163"/>
      <c r="B831" s="113"/>
      <c r="D831" s="113"/>
      <c r="F831" s="115"/>
      <c r="G831" s="116"/>
      <c r="H831" s="120"/>
      <c r="I831" s="120"/>
      <c r="J831" s="117"/>
      <c r="K831" s="118"/>
      <c r="L831" s="119"/>
      <c r="M831" s="120"/>
      <c r="N831" s="120"/>
      <c r="O831" s="120"/>
      <c r="P831" s="118"/>
      <c r="Q831" s="117"/>
      <c r="S831" s="2"/>
      <c r="T831" s="2"/>
    </row>
    <row r="832" spans="1:20" ht="15" customHeight="1">
      <c r="A832" s="163"/>
      <c r="B832" s="113"/>
      <c r="D832" s="113"/>
      <c r="F832" s="115"/>
      <c r="G832" s="116"/>
      <c r="H832" s="120"/>
      <c r="I832" s="120"/>
      <c r="J832" s="117"/>
      <c r="K832" s="118"/>
      <c r="L832" s="119"/>
      <c r="M832" s="120"/>
      <c r="N832" s="120"/>
      <c r="O832" s="120"/>
      <c r="P832" s="118"/>
      <c r="Q832" s="117"/>
      <c r="S832" s="2"/>
      <c r="T832" s="2"/>
    </row>
    <row r="833" spans="1:20" ht="15" customHeight="1">
      <c r="A833" s="163"/>
      <c r="B833" s="113"/>
      <c r="D833" s="113"/>
      <c r="F833" s="115"/>
      <c r="G833" s="116"/>
      <c r="H833" s="120"/>
      <c r="I833" s="120"/>
      <c r="J833" s="117"/>
      <c r="K833" s="118"/>
      <c r="L833" s="119"/>
      <c r="M833" s="120"/>
      <c r="N833" s="120"/>
      <c r="O833" s="120"/>
      <c r="P833" s="118"/>
      <c r="Q833" s="117"/>
      <c r="S833" s="2"/>
      <c r="T833" s="2"/>
    </row>
    <row r="834" spans="1:20" ht="15" customHeight="1">
      <c r="A834" s="163"/>
      <c r="B834" s="113"/>
      <c r="D834" s="113"/>
      <c r="F834" s="115"/>
      <c r="G834" s="116"/>
      <c r="H834" s="120"/>
      <c r="I834" s="120"/>
      <c r="J834" s="117"/>
      <c r="K834" s="118"/>
      <c r="L834" s="119"/>
      <c r="M834" s="120"/>
      <c r="N834" s="120"/>
      <c r="O834" s="120"/>
      <c r="P834" s="118"/>
      <c r="Q834" s="117"/>
      <c r="S834" s="2"/>
      <c r="T834" s="2"/>
    </row>
    <row r="835" spans="1:20" ht="15" customHeight="1">
      <c r="A835" s="163"/>
      <c r="B835" s="113"/>
      <c r="D835" s="113"/>
      <c r="F835" s="115"/>
      <c r="G835" s="116"/>
      <c r="H835" s="120"/>
      <c r="I835" s="120"/>
      <c r="J835" s="117"/>
      <c r="K835" s="118"/>
      <c r="L835" s="119"/>
      <c r="M835" s="120"/>
      <c r="N835" s="120"/>
      <c r="O835" s="120"/>
      <c r="P835" s="118"/>
      <c r="Q835" s="117"/>
      <c r="S835" s="2"/>
      <c r="T835" s="2"/>
    </row>
    <row r="836" spans="1:20" ht="15" customHeight="1">
      <c r="A836" s="163"/>
      <c r="B836" s="113"/>
      <c r="D836" s="113"/>
      <c r="F836" s="115"/>
      <c r="G836" s="116"/>
      <c r="H836" s="120"/>
      <c r="I836" s="120"/>
      <c r="J836" s="117"/>
      <c r="K836" s="118"/>
      <c r="L836" s="119"/>
      <c r="M836" s="120"/>
      <c r="N836" s="120"/>
      <c r="O836" s="120"/>
      <c r="P836" s="118"/>
      <c r="Q836" s="117"/>
      <c r="S836" s="2"/>
      <c r="T836" s="2"/>
    </row>
    <row r="837" spans="1:20" ht="15" customHeight="1">
      <c r="A837" s="163"/>
      <c r="B837" s="113"/>
      <c r="D837" s="113"/>
      <c r="F837" s="115"/>
      <c r="G837" s="116"/>
      <c r="H837" s="120"/>
      <c r="I837" s="120"/>
      <c r="J837" s="117"/>
      <c r="K837" s="118"/>
      <c r="L837" s="119"/>
      <c r="M837" s="120"/>
      <c r="N837" s="120"/>
      <c r="O837" s="120"/>
      <c r="P837" s="118"/>
      <c r="Q837" s="117"/>
      <c r="S837" s="2"/>
      <c r="T837" s="2"/>
    </row>
    <row r="838" spans="1:20" ht="15" customHeight="1">
      <c r="A838" s="163"/>
      <c r="B838" s="113"/>
      <c r="D838" s="113"/>
      <c r="F838" s="115"/>
      <c r="G838" s="116"/>
      <c r="H838" s="120"/>
      <c r="I838" s="120"/>
      <c r="J838" s="117"/>
      <c r="K838" s="118"/>
      <c r="L838" s="119"/>
      <c r="M838" s="120"/>
      <c r="N838" s="120"/>
      <c r="O838" s="120"/>
      <c r="P838" s="118"/>
      <c r="Q838" s="117"/>
      <c r="S838" s="2"/>
      <c r="T838" s="2"/>
    </row>
    <row r="839" spans="1:20" ht="15" customHeight="1">
      <c r="A839" s="163"/>
      <c r="B839" s="113"/>
      <c r="D839" s="113"/>
      <c r="F839" s="115"/>
      <c r="G839" s="116"/>
      <c r="H839" s="120"/>
      <c r="I839" s="120"/>
      <c r="J839" s="117"/>
      <c r="K839" s="118"/>
      <c r="L839" s="119"/>
      <c r="M839" s="120"/>
      <c r="N839" s="120"/>
      <c r="O839" s="120"/>
      <c r="P839" s="118"/>
      <c r="Q839" s="117"/>
      <c r="S839" s="2"/>
      <c r="T839" s="2"/>
    </row>
    <row r="840" spans="1:20" ht="15" customHeight="1">
      <c r="A840" s="163"/>
      <c r="B840" s="113"/>
      <c r="D840" s="113"/>
      <c r="F840" s="115"/>
      <c r="G840" s="116"/>
      <c r="H840" s="120"/>
      <c r="I840" s="120"/>
      <c r="J840" s="117"/>
      <c r="K840" s="118"/>
      <c r="L840" s="119"/>
      <c r="M840" s="120"/>
      <c r="N840" s="120"/>
      <c r="O840" s="120"/>
      <c r="P840" s="118"/>
      <c r="Q840" s="117"/>
      <c r="S840" s="2"/>
      <c r="T840" s="2"/>
    </row>
    <row r="841" spans="1:20" ht="15" customHeight="1">
      <c r="A841" s="163"/>
      <c r="B841" s="113"/>
      <c r="D841" s="113"/>
      <c r="F841" s="115"/>
      <c r="G841" s="116"/>
      <c r="H841" s="120"/>
      <c r="I841" s="120"/>
      <c r="J841" s="117"/>
      <c r="K841" s="118"/>
      <c r="L841" s="119"/>
      <c r="M841" s="120"/>
      <c r="N841" s="120"/>
      <c r="O841" s="120"/>
      <c r="P841" s="118"/>
      <c r="Q841" s="117"/>
      <c r="S841" s="2"/>
      <c r="T841" s="2"/>
    </row>
    <row r="842" spans="1:20" ht="15" customHeight="1">
      <c r="A842" s="163"/>
      <c r="B842" s="113"/>
      <c r="D842" s="113"/>
      <c r="F842" s="115"/>
      <c r="G842" s="116"/>
      <c r="H842" s="120"/>
      <c r="I842" s="120"/>
      <c r="J842" s="117"/>
      <c r="K842" s="118"/>
      <c r="L842" s="119"/>
      <c r="M842" s="120"/>
      <c r="N842" s="120"/>
      <c r="O842" s="120"/>
      <c r="P842" s="118"/>
      <c r="Q842" s="117"/>
      <c r="S842" s="2"/>
      <c r="T842" s="2"/>
    </row>
    <row r="843" spans="1:20" ht="15" customHeight="1">
      <c r="A843" s="163"/>
      <c r="B843" s="113"/>
      <c r="D843" s="113"/>
      <c r="F843" s="115"/>
      <c r="G843" s="116"/>
      <c r="H843" s="120"/>
      <c r="I843" s="120"/>
      <c r="J843" s="117"/>
      <c r="K843" s="118"/>
      <c r="L843" s="119"/>
      <c r="M843" s="120"/>
      <c r="N843" s="120"/>
      <c r="O843" s="120"/>
      <c r="P843" s="118"/>
      <c r="Q843" s="117"/>
      <c r="S843" s="2"/>
      <c r="T843" s="2"/>
    </row>
    <row r="844" spans="1:20" ht="15" customHeight="1">
      <c r="A844" s="163"/>
      <c r="B844" s="113"/>
      <c r="D844" s="113"/>
      <c r="F844" s="115"/>
      <c r="G844" s="116"/>
      <c r="H844" s="120"/>
      <c r="I844" s="120"/>
      <c r="J844" s="117"/>
      <c r="K844" s="118"/>
      <c r="L844" s="119"/>
      <c r="M844" s="120"/>
      <c r="N844" s="120"/>
      <c r="O844" s="120"/>
      <c r="P844" s="118"/>
      <c r="Q844" s="117"/>
      <c r="S844" s="2"/>
      <c r="T844" s="2"/>
    </row>
    <row r="845" spans="1:20" ht="15" customHeight="1">
      <c r="A845" s="163"/>
      <c r="B845" s="113"/>
      <c r="D845" s="113"/>
      <c r="F845" s="115"/>
      <c r="G845" s="116"/>
      <c r="H845" s="120"/>
      <c r="I845" s="120"/>
      <c r="J845" s="117"/>
      <c r="K845" s="118"/>
      <c r="L845" s="119"/>
      <c r="M845" s="120"/>
      <c r="N845" s="120"/>
      <c r="O845" s="120"/>
      <c r="P845" s="118"/>
      <c r="Q845" s="117"/>
      <c r="S845" s="2"/>
      <c r="T845" s="2"/>
    </row>
    <row r="846" spans="1:20" ht="15" customHeight="1">
      <c r="A846" s="163"/>
      <c r="B846" s="113"/>
      <c r="D846" s="113"/>
      <c r="F846" s="115"/>
      <c r="G846" s="116"/>
      <c r="H846" s="120"/>
      <c r="I846" s="120"/>
      <c r="J846" s="117"/>
      <c r="K846" s="118"/>
      <c r="L846" s="119"/>
      <c r="M846" s="120"/>
      <c r="N846" s="120"/>
      <c r="O846" s="120"/>
      <c r="P846" s="118"/>
      <c r="Q846" s="117"/>
      <c r="S846" s="2"/>
      <c r="T846" s="2"/>
    </row>
    <row r="847" spans="1:20" ht="15" customHeight="1">
      <c r="A847" s="163"/>
      <c r="B847" s="113"/>
      <c r="D847" s="113"/>
      <c r="F847" s="115"/>
      <c r="G847" s="116"/>
      <c r="H847" s="120"/>
      <c r="I847" s="120"/>
      <c r="J847" s="117"/>
      <c r="K847" s="118"/>
      <c r="L847" s="119"/>
      <c r="M847" s="120"/>
      <c r="N847" s="120"/>
      <c r="O847" s="120"/>
      <c r="P847" s="118"/>
      <c r="Q847" s="117"/>
      <c r="S847" s="2"/>
      <c r="T847" s="2"/>
    </row>
    <row r="848" spans="1:20" ht="15" customHeight="1">
      <c r="A848" s="163"/>
      <c r="B848" s="113"/>
      <c r="D848" s="113"/>
      <c r="F848" s="115"/>
      <c r="G848" s="116"/>
      <c r="H848" s="120"/>
      <c r="I848" s="120"/>
      <c r="J848" s="117"/>
      <c r="K848" s="118"/>
      <c r="L848" s="119"/>
      <c r="M848" s="120"/>
      <c r="N848" s="120"/>
      <c r="O848" s="120"/>
      <c r="P848" s="118"/>
      <c r="Q848" s="117"/>
      <c r="S848" s="2"/>
      <c r="T848" s="2"/>
    </row>
    <row r="849" spans="1:20" ht="15" customHeight="1">
      <c r="A849" s="163"/>
      <c r="B849" s="113"/>
      <c r="D849" s="113"/>
      <c r="F849" s="115"/>
      <c r="G849" s="116"/>
      <c r="H849" s="120"/>
      <c r="I849" s="120"/>
      <c r="J849" s="117"/>
      <c r="K849" s="118"/>
      <c r="L849" s="119"/>
      <c r="M849" s="120"/>
      <c r="N849" s="120"/>
      <c r="O849" s="120"/>
      <c r="P849" s="118"/>
      <c r="Q849" s="117"/>
      <c r="S849" s="2"/>
      <c r="T849" s="2"/>
    </row>
    <row r="850" spans="1:20" ht="15" customHeight="1">
      <c r="A850" s="163"/>
      <c r="B850" s="113"/>
      <c r="D850" s="113"/>
      <c r="F850" s="115"/>
      <c r="G850" s="116"/>
      <c r="H850" s="120"/>
      <c r="I850" s="120"/>
      <c r="J850" s="117"/>
      <c r="K850" s="118"/>
      <c r="L850" s="119"/>
      <c r="M850" s="120"/>
      <c r="N850" s="120"/>
      <c r="O850" s="120"/>
      <c r="P850" s="118"/>
      <c r="Q850" s="117"/>
      <c r="S850" s="2"/>
      <c r="T850" s="2"/>
    </row>
    <row r="851" spans="1:20" ht="15" customHeight="1">
      <c r="A851" s="163"/>
      <c r="B851" s="113"/>
      <c r="D851" s="113"/>
      <c r="F851" s="115"/>
      <c r="G851" s="116"/>
      <c r="H851" s="120"/>
      <c r="I851" s="120"/>
      <c r="J851" s="117"/>
      <c r="K851" s="118"/>
      <c r="L851" s="119"/>
      <c r="M851" s="120"/>
      <c r="N851" s="120"/>
      <c r="O851" s="120"/>
      <c r="P851" s="118"/>
      <c r="Q851" s="117"/>
      <c r="S851" s="2"/>
      <c r="T851" s="2"/>
    </row>
    <row r="852" spans="1:20" ht="15" customHeight="1">
      <c r="A852" s="163"/>
      <c r="B852" s="113"/>
      <c r="D852" s="113"/>
      <c r="F852" s="115"/>
      <c r="G852" s="116"/>
      <c r="H852" s="120"/>
      <c r="I852" s="120"/>
      <c r="J852" s="117"/>
      <c r="K852" s="118"/>
      <c r="L852" s="119"/>
      <c r="M852" s="120"/>
      <c r="N852" s="120"/>
      <c r="O852" s="120"/>
      <c r="P852" s="118"/>
      <c r="Q852" s="117"/>
      <c r="S852" s="2"/>
      <c r="T852" s="2"/>
    </row>
    <row r="853" spans="1:20" ht="15" customHeight="1">
      <c r="A853" s="163"/>
      <c r="B853" s="113"/>
      <c r="D853" s="113"/>
      <c r="F853" s="115"/>
      <c r="G853" s="116"/>
      <c r="H853" s="120"/>
      <c r="I853" s="120"/>
      <c r="J853" s="117"/>
      <c r="K853" s="118"/>
      <c r="L853" s="119"/>
      <c r="M853" s="120"/>
      <c r="N853" s="120"/>
      <c r="O853" s="120"/>
      <c r="P853" s="118"/>
      <c r="Q853" s="117"/>
      <c r="S853" s="2"/>
      <c r="T853" s="2"/>
    </row>
    <row r="854" spans="1:20" ht="15" customHeight="1">
      <c r="A854" s="163"/>
      <c r="B854" s="113"/>
      <c r="D854" s="113"/>
      <c r="F854" s="115"/>
      <c r="G854" s="116"/>
      <c r="H854" s="120"/>
      <c r="I854" s="120"/>
      <c r="J854" s="117"/>
      <c r="K854" s="118"/>
      <c r="L854" s="119"/>
      <c r="M854" s="120"/>
      <c r="N854" s="120"/>
      <c r="O854" s="120"/>
      <c r="P854" s="118"/>
      <c r="Q854" s="117"/>
      <c r="S854" s="2"/>
      <c r="T854" s="2"/>
    </row>
    <row r="855" spans="1:20" ht="15" customHeight="1">
      <c r="A855" s="163"/>
      <c r="B855" s="113"/>
      <c r="D855" s="113"/>
      <c r="F855" s="115"/>
      <c r="G855" s="116"/>
      <c r="H855" s="120"/>
      <c r="I855" s="120"/>
      <c r="J855" s="117"/>
      <c r="K855" s="118"/>
      <c r="L855" s="119"/>
      <c r="M855" s="120"/>
      <c r="N855" s="120"/>
      <c r="O855" s="120"/>
      <c r="P855" s="118"/>
      <c r="Q855" s="117"/>
      <c r="S855" s="2"/>
      <c r="T855" s="2"/>
    </row>
    <row r="856" spans="1:20" ht="15" customHeight="1">
      <c r="A856" s="163"/>
      <c r="B856" s="113"/>
      <c r="D856" s="113"/>
      <c r="F856" s="115"/>
      <c r="G856" s="116"/>
      <c r="H856" s="120"/>
      <c r="I856" s="120"/>
      <c r="J856" s="117"/>
      <c r="K856" s="118"/>
      <c r="L856" s="119"/>
      <c r="M856" s="120"/>
      <c r="N856" s="120"/>
      <c r="O856" s="120"/>
      <c r="P856" s="118"/>
      <c r="Q856" s="117"/>
      <c r="S856" s="2"/>
      <c r="T856" s="2"/>
    </row>
    <row r="857" spans="1:20" ht="15" customHeight="1">
      <c r="A857" s="163"/>
      <c r="B857" s="113"/>
      <c r="D857" s="113"/>
      <c r="F857" s="115"/>
      <c r="G857" s="116"/>
      <c r="H857" s="120"/>
      <c r="I857" s="120"/>
      <c r="J857" s="117"/>
      <c r="K857" s="118"/>
      <c r="L857" s="119"/>
      <c r="M857" s="120"/>
      <c r="N857" s="120"/>
      <c r="O857" s="120"/>
      <c r="P857" s="118"/>
      <c r="Q857" s="117"/>
      <c r="S857" s="2"/>
      <c r="T857" s="2"/>
    </row>
    <row r="858" spans="1:20" ht="15" customHeight="1">
      <c r="A858" s="163"/>
      <c r="B858" s="113"/>
      <c r="D858" s="113"/>
      <c r="F858" s="115"/>
      <c r="G858" s="116"/>
      <c r="H858" s="120"/>
      <c r="I858" s="120"/>
      <c r="J858" s="117"/>
      <c r="K858" s="118"/>
      <c r="L858" s="119"/>
      <c r="M858" s="120"/>
      <c r="N858" s="120"/>
      <c r="O858" s="120"/>
      <c r="P858" s="118"/>
      <c r="Q858" s="117"/>
      <c r="S858" s="2"/>
      <c r="T858" s="2"/>
    </row>
    <row r="859" spans="1:20" ht="15" customHeight="1">
      <c r="A859" s="163"/>
      <c r="B859" s="113"/>
      <c r="D859" s="113"/>
      <c r="F859" s="115"/>
      <c r="G859" s="116"/>
      <c r="H859" s="120"/>
      <c r="I859" s="120"/>
      <c r="J859" s="117"/>
      <c r="K859" s="118"/>
      <c r="L859" s="119"/>
      <c r="M859" s="120"/>
      <c r="N859" s="120"/>
      <c r="O859" s="120"/>
      <c r="P859" s="118"/>
      <c r="Q859" s="117"/>
      <c r="S859" s="2"/>
      <c r="T859" s="2"/>
    </row>
    <row r="860" spans="1:20" ht="15" customHeight="1">
      <c r="A860" s="163"/>
      <c r="B860" s="113"/>
      <c r="D860" s="113"/>
      <c r="F860" s="115"/>
      <c r="G860" s="116"/>
      <c r="H860" s="120"/>
      <c r="I860" s="120"/>
      <c r="J860" s="117"/>
      <c r="K860" s="118"/>
      <c r="L860" s="119"/>
      <c r="M860" s="120"/>
      <c r="N860" s="120"/>
      <c r="O860" s="120"/>
      <c r="P860" s="118"/>
      <c r="Q860" s="117"/>
      <c r="S860" s="2"/>
      <c r="T860" s="2"/>
    </row>
    <row r="861" spans="1:20" ht="15" customHeight="1">
      <c r="A861" s="163"/>
      <c r="B861" s="113"/>
      <c r="D861" s="113"/>
      <c r="F861" s="115"/>
      <c r="G861" s="116"/>
      <c r="H861" s="120"/>
      <c r="I861" s="120"/>
      <c r="J861" s="117"/>
      <c r="K861" s="118"/>
      <c r="L861" s="119"/>
      <c r="M861" s="120"/>
      <c r="N861" s="120"/>
      <c r="O861" s="120"/>
      <c r="P861" s="118"/>
      <c r="Q861" s="117"/>
      <c r="S861" s="2"/>
      <c r="T861" s="2"/>
    </row>
    <row r="862" spans="1:20" ht="15" customHeight="1">
      <c r="A862" s="163"/>
      <c r="B862" s="113"/>
      <c r="D862" s="113"/>
      <c r="F862" s="115"/>
      <c r="G862" s="116"/>
      <c r="H862" s="120"/>
      <c r="I862" s="120"/>
      <c r="J862" s="117"/>
      <c r="K862" s="118"/>
      <c r="L862" s="119"/>
      <c r="M862" s="120"/>
      <c r="N862" s="120"/>
      <c r="O862" s="120"/>
      <c r="P862" s="118"/>
      <c r="Q862" s="117"/>
      <c r="S862" s="2"/>
      <c r="T862" s="2"/>
    </row>
    <row r="863" spans="1:20" ht="15" customHeight="1">
      <c r="A863" s="163"/>
      <c r="B863" s="113"/>
      <c r="D863" s="113"/>
      <c r="F863" s="115"/>
      <c r="G863" s="116"/>
      <c r="H863" s="120"/>
      <c r="I863" s="120"/>
      <c r="J863" s="117"/>
      <c r="K863" s="118"/>
      <c r="L863" s="119"/>
      <c r="M863" s="120"/>
      <c r="N863" s="120"/>
      <c r="O863" s="120"/>
      <c r="P863" s="118"/>
      <c r="Q863" s="117"/>
      <c r="S863" s="2"/>
      <c r="T863" s="2"/>
    </row>
    <row r="864" spans="1:20" ht="15" customHeight="1">
      <c r="A864" s="163"/>
      <c r="B864" s="113"/>
      <c r="D864" s="113"/>
      <c r="F864" s="115"/>
      <c r="G864" s="116"/>
      <c r="H864" s="120"/>
      <c r="I864" s="120"/>
      <c r="J864" s="117"/>
      <c r="K864" s="118"/>
      <c r="L864" s="119"/>
      <c r="M864" s="120"/>
      <c r="N864" s="120"/>
      <c r="O864" s="120"/>
      <c r="P864" s="118"/>
      <c r="Q864" s="117"/>
      <c r="S864" s="2"/>
      <c r="T864" s="2"/>
    </row>
    <row r="865" spans="1:20" ht="15" customHeight="1">
      <c r="A865" s="163"/>
      <c r="B865" s="113"/>
      <c r="D865" s="113"/>
      <c r="F865" s="115"/>
      <c r="G865" s="116"/>
      <c r="H865" s="120"/>
      <c r="I865" s="120"/>
      <c r="J865" s="117"/>
      <c r="K865" s="118"/>
      <c r="L865" s="119"/>
      <c r="M865" s="120"/>
      <c r="N865" s="120"/>
      <c r="O865" s="120"/>
      <c r="P865" s="118"/>
      <c r="Q865" s="117"/>
      <c r="S865" s="2"/>
      <c r="T865" s="2"/>
    </row>
    <row r="866" spans="1:20" ht="15" customHeight="1">
      <c r="A866" s="163"/>
      <c r="B866" s="113"/>
      <c r="D866" s="113"/>
      <c r="F866" s="115"/>
      <c r="G866" s="116"/>
      <c r="H866" s="120"/>
      <c r="I866" s="120"/>
      <c r="J866" s="117"/>
      <c r="K866" s="118"/>
      <c r="L866" s="119"/>
      <c r="M866" s="120"/>
      <c r="N866" s="120"/>
      <c r="O866" s="120"/>
      <c r="P866" s="118"/>
      <c r="Q866" s="117"/>
      <c r="S866" s="2"/>
      <c r="T866" s="2"/>
    </row>
    <row r="867" spans="1:20" ht="15" customHeight="1">
      <c r="A867" s="163"/>
      <c r="B867" s="113"/>
      <c r="D867" s="113"/>
      <c r="F867" s="115"/>
      <c r="G867" s="116"/>
      <c r="H867" s="120"/>
      <c r="I867" s="120"/>
      <c r="J867" s="117"/>
      <c r="K867" s="118"/>
      <c r="L867" s="119"/>
      <c r="M867" s="120"/>
      <c r="N867" s="120"/>
      <c r="O867" s="120"/>
      <c r="P867" s="118"/>
      <c r="Q867" s="117"/>
      <c r="S867" s="2"/>
      <c r="T867" s="2"/>
    </row>
    <row r="868" spans="1:20" ht="15" customHeight="1">
      <c r="A868" s="163"/>
      <c r="B868" s="113"/>
      <c r="D868" s="113"/>
      <c r="F868" s="115"/>
      <c r="G868" s="116"/>
      <c r="H868" s="120"/>
      <c r="I868" s="120"/>
      <c r="J868" s="117"/>
      <c r="K868" s="118"/>
      <c r="L868" s="119"/>
      <c r="M868" s="120"/>
      <c r="N868" s="120"/>
      <c r="O868" s="120"/>
      <c r="P868" s="118"/>
      <c r="Q868" s="117"/>
      <c r="S868" s="2"/>
      <c r="T868" s="2"/>
    </row>
    <row r="869" spans="1:20" ht="15" customHeight="1">
      <c r="A869" s="163"/>
      <c r="B869" s="113"/>
      <c r="D869" s="113"/>
      <c r="F869" s="115"/>
      <c r="G869" s="116"/>
      <c r="H869" s="120"/>
      <c r="I869" s="120"/>
      <c r="J869" s="117"/>
      <c r="K869" s="118"/>
      <c r="L869" s="119"/>
      <c r="M869" s="120"/>
      <c r="N869" s="120"/>
      <c r="O869" s="120"/>
      <c r="P869" s="118"/>
      <c r="Q869" s="117"/>
      <c r="S869" s="2"/>
      <c r="T869" s="2"/>
    </row>
    <row r="870" spans="1:20" ht="15" customHeight="1">
      <c r="A870" s="163"/>
      <c r="B870" s="113"/>
      <c r="D870" s="113"/>
      <c r="F870" s="115"/>
      <c r="G870" s="116"/>
      <c r="H870" s="120"/>
      <c r="I870" s="120"/>
      <c r="J870" s="117"/>
      <c r="K870" s="118"/>
      <c r="L870" s="119"/>
      <c r="M870" s="120"/>
      <c r="N870" s="120"/>
      <c r="O870" s="120"/>
      <c r="P870" s="118"/>
      <c r="Q870" s="117"/>
      <c r="S870" s="2"/>
      <c r="T870" s="2"/>
    </row>
    <row r="871" spans="1:20" ht="15" customHeight="1">
      <c r="A871" s="163"/>
      <c r="B871" s="113"/>
      <c r="D871" s="113"/>
      <c r="F871" s="115"/>
      <c r="G871" s="116"/>
      <c r="H871" s="120"/>
      <c r="I871" s="120"/>
      <c r="J871" s="117"/>
      <c r="K871" s="118"/>
      <c r="L871" s="119"/>
      <c r="M871" s="120"/>
      <c r="N871" s="120"/>
      <c r="O871" s="120"/>
      <c r="P871" s="118"/>
      <c r="Q871" s="117"/>
      <c r="S871" s="2"/>
      <c r="T871" s="2"/>
    </row>
    <row r="872" spans="1:20" ht="15" customHeight="1">
      <c r="A872" s="163"/>
      <c r="B872" s="113"/>
      <c r="D872" s="113"/>
      <c r="F872" s="115"/>
      <c r="G872" s="116"/>
      <c r="H872" s="120"/>
      <c r="I872" s="120"/>
      <c r="J872" s="117"/>
      <c r="K872" s="118"/>
      <c r="L872" s="119"/>
      <c r="M872" s="120"/>
      <c r="N872" s="120"/>
      <c r="O872" s="120"/>
      <c r="P872" s="118"/>
      <c r="Q872" s="117"/>
      <c r="S872" s="2"/>
      <c r="T872" s="2"/>
    </row>
    <row r="873" spans="1:20" ht="15" customHeight="1">
      <c r="A873" s="163"/>
      <c r="B873" s="113"/>
      <c r="D873" s="113"/>
      <c r="F873" s="115"/>
      <c r="G873" s="116"/>
      <c r="H873" s="120"/>
      <c r="I873" s="120"/>
      <c r="J873" s="117"/>
      <c r="K873" s="118"/>
      <c r="L873" s="119"/>
      <c r="M873" s="120"/>
      <c r="N873" s="120"/>
      <c r="O873" s="120"/>
      <c r="P873" s="118"/>
      <c r="Q873" s="117"/>
      <c r="S873" s="2"/>
      <c r="T873" s="2"/>
    </row>
    <row r="874" spans="1:20" ht="15" customHeight="1">
      <c r="A874" s="163"/>
      <c r="B874" s="113"/>
      <c r="D874" s="113"/>
      <c r="F874" s="115"/>
      <c r="G874" s="116"/>
      <c r="H874" s="120"/>
      <c r="I874" s="120"/>
      <c r="J874" s="117"/>
      <c r="K874" s="118"/>
      <c r="L874" s="119"/>
      <c r="M874" s="120"/>
      <c r="N874" s="120"/>
      <c r="O874" s="120"/>
      <c r="P874" s="118"/>
      <c r="Q874" s="117"/>
      <c r="S874" s="2"/>
      <c r="T874" s="2"/>
    </row>
    <row r="875" spans="1:20" ht="15" customHeight="1">
      <c r="A875" s="163"/>
      <c r="B875" s="113"/>
      <c r="D875" s="113"/>
      <c r="F875" s="115"/>
      <c r="G875" s="116"/>
      <c r="H875" s="120"/>
      <c r="I875" s="120"/>
      <c r="J875" s="117"/>
      <c r="K875" s="118"/>
      <c r="L875" s="119"/>
      <c r="M875" s="120"/>
      <c r="N875" s="120"/>
      <c r="O875" s="120"/>
      <c r="P875" s="118"/>
      <c r="Q875" s="117"/>
      <c r="S875" s="2"/>
      <c r="T875" s="2"/>
    </row>
    <row r="876" spans="1:20" ht="15" customHeight="1">
      <c r="A876" s="163"/>
      <c r="B876" s="113"/>
      <c r="D876" s="113"/>
      <c r="F876" s="115"/>
      <c r="G876" s="116"/>
      <c r="H876" s="120"/>
      <c r="I876" s="120"/>
      <c r="J876" s="117"/>
      <c r="K876" s="118"/>
      <c r="L876" s="119"/>
      <c r="M876" s="120"/>
      <c r="N876" s="120"/>
      <c r="O876" s="120"/>
      <c r="P876" s="118"/>
      <c r="Q876" s="117"/>
      <c r="S876" s="2"/>
      <c r="T876" s="2"/>
    </row>
    <row r="877" spans="1:20" ht="15" customHeight="1">
      <c r="A877" s="163"/>
      <c r="B877" s="113"/>
      <c r="D877" s="113"/>
      <c r="F877" s="115"/>
      <c r="G877" s="116"/>
      <c r="H877" s="120"/>
      <c r="I877" s="120"/>
      <c r="J877" s="117"/>
      <c r="K877" s="118"/>
      <c r="L877" s="119"/>
      <c r="M877" s="120"/>
      <c r="N877" s="120"/>
      <c r="O877" s="120"/>
      <c r="P877" s="118"/>
      <c r="Q877" s="117"/>
      <c r="S877" s="2"/>
      <c r="T877" s="2"/>
    </row>
    <row r="878" spans="1:20" ht="15" customHeight="1">
      <c r="A878" s="163"/>
      <c r="B878" s="113"/>
      <c r="D878" s="113"/>
      <c r="F878" s="115"/>
      <c r="G878" s="116"/>
      <c r="H878" s="120"/>
      <c r="I878" s="120"/>
      <c r="J878" s="117"/>
      <c r="K878" s="118"/>
      <c r="L878" s="119"/>
      <c r="M878" s="120"/>
      <c r="N878" s="120"/>
      <c r="O878" s="120"/>
      <c r="P878" s="118"/>
      <c r="Q878" s="117"/>
      <c r="S878" s="2"/>
      <c r="T878" s="2"/>
    </row>
    <row r="879" spans="1:20" ht="15" customHeight="1">
      <c r="A879" s="163"/>
      <c r="B879" s="113"/>
      <c r="D879" s="113"/>
      <c r="F879" s="115"/>
      <c r="G879" s="116"/>
      <c r="H879" s="120"/>
      <c r="I879" s="120"/>
      <c r="J879" s="117"/>
      <c r="K879" s="118"/>
      <c r="L879" s="119"/>
      <c r="M879" s="120"/>
      <c r="N879" s="120"/>
      <c r="O879" s="120"/>
      <c r="P879" s="118"/>
      <c r="Q879" s="117"/>
      <c r="S879" s="2"/>
      <c r="T879" s="2"/>
    </row>
    <row r="880" spans="1:20" ht="15" customHeight="1">
      <c r="A880" s="163"/>
      <c r="B880" s="113"/>
      <c r="D880" s="113"/>
      <c r="F880" s="115"/>
      <c r="G880" s="116"/>
      <c r="H880" s="120"/>
      <c r="I880" s="120"/>
      <c r="J880" s="117"/>
      <c r="K880" s="118"/>
      <c r="L880" s="119"/>
      <c r="M880" s="120"/>
      <c r="N880" s="120"/>
      <c r="O880" s="120"/>
      <c r="P880" s="118"/>
      <c r="Q880" s="117"/>
      <c r="S880" s="2"/>
      <c r="T880" s="2"/>
    </row>
    <row r="881" spans="1:20" ht="15" customHeight="1">
      <c r="A881" s="163"/>
      <c r="B881" s="113"/>
      <c r="D881" s="113"/>
      <c r="F881" s="115"/>
      <c r="G881" s="116"/>
      <c r="H881" s="120"/>
      <c r="I881" s="120"/>
      <c r="J881" s="117"/>
      <c r="K881" s="118"/>
      <c r="L881" s="119"/>
      <c r="M881" s="120"/>
      <c r="N881" s="120"/>
      <c r="O881" s="120"/>
      <c r="P881" s="118"/>
      <c r="Q881" s="117"/>
      <c r="S881" s="2"/>
      <c r="T881" s="2"/>
    </row>
    <row r="882" spans="1:20" ht="15" customHeight="1">
      <c r="A882" s="163"/>
      <c r="B882" s="113"/>
      <c r="D882" s="113"/>
      <c r="F882" s="115"/>
      <c r="G882" s="116"/>
      <c r="H882" s="120"/>
      <c r="I882" s="120"/>
      <c r="J882" s="117"/>
      <c r="K882" s="118"/>
      <c r="L882" s="119"/>
      <c r="M882" s="120"/>
      <c r="N882" s="120"/>
      <c r="O882" s="120"/>
      <c r="P882" s="118"/>
      <c r="Q882" s="117"/>
      <c r="S882" s="2"/>
      <c r="T882" s="2"/>
    </row>
    <row r="883" spans="1:20" ht="15" customHeight="1">
      <c r="A883" s="163"/>
      <c r="B883" s="113"/>
      <c r="D883" s="113"/>
      <c r="F883" s="115"/>
      <c r="G883" s="116"/>
      <c r="H883" s="120"/>
      <c r="I883" s="120"/>
      <c r="J883" s="117"/>
      <c r="K883" s="118"/>
      <c r="L883" s="119"/>
      <c r="M883" s="120"/>
      <c r="N883" s="120"/>
      <c r="O883" s="120"/>
      <c r="P883" s="118"/>
      <c r="Q883" s="117"/>
      <c r="S883" s="2"/>
      <c r="T883" s="2"/>
    </row>
    <row r="884" spans="1:20" ht="15" customHeight="1">
      <c r="A884" s="163"/>
      <c r="B884" s="113"/>
      <c r="D884" s="113"/>
      <c r="F884" s="115"/>
      <c r="G884" s="116"/>
      <c r="H884" s="120"/>
      <c r="I884" s="120"/>
      <c r="J884" s="117"/>
      <c r="K884" s="118"/>
      <c r="L884" s="119"/>
      <c r="M884" s="120"/>
      <c r="N884" s="120"/>
      <c r="O884" s="120"/>
      <c r="P884" s="118"/>
      <c r="Q884" s="117"/>
      <c r="S884" s="2"/>
      <c r="T884" s="2"/>
    </row>
    <row r="885" spans="1:20" ht="15" customHeight="1">
      <c r="A885" s="163"/>
      <c r="B885" s="113"/>
      <c r="D885" s="113"/>
      <c r="F885" s="115"/>
      <c r="G885" s="116"/>
      <c r="H885" s="120"/>
      <c r="I885" s="120"/>
      <c r="J885" s="117"/>
      <c r="K885" s="118"/>
      <c r="L885" s="119"/>
      <c r="M885" s="120"/>
      <c r="N885" s="120"/>
      <c r="O885" s="120"/>
      <c r="P885" s="118"/>
      <c r="Q885" s="117"/>
      <c r="S885" s="2"/>
      <c r="T885" s="2"/>
    </row>
    <row r="886" spans="1:20" ht="15" customHeight="1">
      <c r="A886" s="163"/>
      <c r="B886" s="113"/>
      <c r="D886" s="113"/>
      <c r="F886" s="115"/>
      <c r="G886" s="116"/>
      <c r="H886" s="120"/>
      <c r="I886" s="120"/>
      <c r="J886" s="117"/>
      <c r="K886" s="118"/>
      <c r="L886" s="119"/>
      <c r="M886" s="120"/>
      <c r="N886" s="120"/>
      <c r="O886" s="120"/>
      <c r="P886" s="118"/>
      <c r="Q886" s="117"/>
      <c r="S886" s="2"/>
      <c r="T886" s="2"/>
    </row>
    <row r="887" spans="1:20" ht="15" customHeight="1">
      <c r="A887" s="163"/>
      <c r="B887" s="113"/>
      <c r="D887" s="113"/>
      <c r="F887" s="115"/>
      <c r="G887" s="116"/>
      <c r="H887" s="120"/>
      <c r="I887" s="120"/>
      <c r="J887" s="117"/>
      <c r="K887" s="118"/>
      <c r="L887" s="119"/>
      <c r="M887" s="120"/>
      <c r="N887" s="120"/>
      <c r="O887" s="120"/>
      <c r="P887" s="118"/>
      <c r="Q887" s="117"/>
      <c r="S887" s="2"/>
      <c r="T887" s="2"/>
    </row>
    <row r="888" spans="1:20" ht="15" customHeight="1">
      <c r="A888" s="163"/>
      <c r="B888" s="113"/>
      <c r="D888" s="113"/>
      <c r="F888" s="115"/>
      <c r="G888" s="116"/>
      <c r="H888" s="120"/>
      <c r="I888" s="120"/>
      <c r="J888" s="117"/>
      <c r="K888" s="118"/>
      <c r="L888" s="119"/>
      <c r="M888" s="120"/>
      <c r="N888" s="120"/>
      <c r="O888" s="120"/>
      <c r="P888" s="118"/>
      <c r="Q888" s="117"/>
      <c r="S888" s="2"/>
      <c r="T888" s="2"/>
    </row>
    <row r="889" spans="1:20" ht="15" customHeight="1">
      <c r="A889" s="163"/>
      <c r="B889" s="113"/>
      <c r="D889" s="113"/>
      <c r="F889" s="115"/>
      <c r="G889" s="116"/>
      <c r="H889" s="120"/>
      <c r="I889" s="120"/>
      <c r="J889" s="117"/>
      <c r="K889" s="118"/>
      <c r="L889" s="119"/>
      <c r="M889" s="120"/>
      <c r="N889" s="120"/>
      <c r="O889" s="120"/>
      <c r="P889" s="118"/>
      <c r="Q889" s="117"/>
      <c r="S889" s="2"/>
      <c r="T889" s="2"/>
    </row>
    <row r="890" spans="1:20" ht="15" customHeight="1">
      <c r="A890" s="163"/>
      <c r="B890" s="113"/>
      <c r="D890" s="113"/>
      <c r="F890" s="115"/>
      <c r="G890" s="116"/>
      <c r="H890" s="120"/>
      <c r="I890" s="120"/>
      <c r="J890" s="117"/>
      <c r="K890" s="118"/>
      <c r="L890" s="119"/>
      <c r="M890" s="120"/>
      <c r="N890" s="120"/>
      <c r="O890" s="120"/>
      <c r="P890" s="118"/>
      <c r="Q890" s="117"/>
      <c r="S890" s="2"/>
      <c r="T890" s="2"/>
    </row>
    <row r="891" spans="1:20" ht="15" customHeight="1">
      <c r="A891" s="163"/>
      <c r="B891" s="113"/>
      <c r="D891" s="113"/>
      <c r="F891" s="115"/>
      <c r="G891" s="116"/>
      <c r="H891" s="120"/>
      <c r="I891" s="120"/>
      <c r="J891" s="117"/>
      <c r="K891" s="118"/>
      <c r="L891" s="119"/>
      <c r="M891" s="120"/>
      <c r="N891" s="120"/>
      <c r="O891" s="120"/>
      <c r="P891" s="118"/>
      <c r="Q891" s="117"/>
      <c r="S891" s="2"/>
      <c r="T891" s="2"/>
    </row>
    <row r="892" spans="1:20" ht="15" customHeight="1">
      <c r="A892" s="163"/>
      <c r="B892" s="113"/>
      <c r="D892" s="113"/>
      <c r="F892" s="115"/>
      <c r="G892" s="116"/>
      <c r="H892" s="120"/>
      <c r="I892" s="120"/>
      <c r="J892" s="117"/>
      <c r="K892" s="118"/>
      <c r="L892" s="119"/>
      <c r="M892" s="120"/>
      <c r="N892" s="120"/>
      <c r="O892" s="120"/>
      <c r="P892" s="118"/>
      <c r="Q892" s="117"/>
      <c r="S892" s="2"/>
      <c r="T892" s="2"/>
    </row>
    <row r="893" spans="1:20" ht="15" customHeight="1">
      <c r="A893" s="163"/>
      <c r="B893" s="113"/>
      <c r="D893" s="113"/>
      <c r="F893" s="115"/>
      <c r="G893" s="116"/>
      <c r="H893" s="120"/>
      <c r="I893" s="120"/>
      <c r="J893" s="117"/>
      <c r="K893" s="118"/>
      <c r="L893" s="119"/>
      <c r="M893" s="120"/>
      <c r="N893" s="120"/>
      <c r="O893" s="120"/>
      <c r="P893" s="118"/>
      <c r="Q893" s="117"/>
      <c r="S893" s="2"/>
      <c r="T893" s="2"/>
    </row>
    <row r="894" spans="1:20" ht="15" customHeight="1">
      <c r="A894" s="163"/>
      <c r="B894" s="113"/>
      <c r="D894" s="113"/>
      <c r="F894" s="115"/>
      <c r="G894" s="116"/>
      <c r="H894" s="120"/>
      <c r="I894" s="120"/>
      <c r="J894" s="117"/>
      <c r="K894" s="118"/>
      <c r="L894" s="119"/>
      <c r="M894" s="120"/>
      <c r="N894" s="120"/>
      <c r="O894" s="120"/>
      <c r="P894" s="118"/>
      <c r="Q894" s="117"/>
      <c r="S894" s="2"/>
      <c r="T894" s="2"/>
    </row>
    <row r="895" spans="1:20" ht="15" customHeight="1">
      <c r="A895" s="163"/>
      <c r="B895" s="113"/>
      <c r="D895" s="113"/>
      <c r="F895" s="115"/>
      <c r="G895" s="116"/>
      <c r="H895" s="120"/>
      <c r="I895" s="120"/>
      <c r="J895" s="117"/>
      <c r="K895" s="118"/>
      <c r="L895" s="119"/>
      <c r="M895" s="120"/>
      <c r="N895" s="120"/>
      <c r="O895" s="120"/>
      <c r="P895" s="118"/>
      <c r="Q895" s="117"/>
      <c r="S895" s="2"/>
      <c r="T895" s="2"/>
    </row>
    <row r="896" spans="1:20" ht="15" customHeight="1">
      <c r="A896" s="163"/>
      <c r="B896" s="113"/>
      <c r="D896" s="113"/>
      <c r="F896" s="115"/>
      <c r="G896" s="116"/>
      <c r="H896" s="120"/>
      <c r="I896" s="120"/>
      <c r="J896" s="117"/>
      <c r="K896" s="118"/>
      <c r="L896" s="119"/>
      <c r="M896" s="120"/>
      <c r="N896" s="120"/>
      <c r="O896" s="120"/>
      <c r="P896" s="118"/>
      <c r="Q896" s="117"/>
      <c r="S896" s="2"/>
      <c r="T896" s="2"/>
    </row>
    <row r="897" spans="1:20" ht="15" customHeight="1">
      <c r="A897" s="163"/>
      <c r="B897" s="113"/>
      <c r="D897" s="113"/>
      <c r="F897" s="115"/>
      <c r="G897" s="116"/>
      <c r="H897" s="120"/>
      <c r="I897" s="120"/>
      <c r="J897" s="117"/>
      <c r="K897" s="118"/>
      <c r="L897" s="119"/>
      <c r="M897" s="120"/>
      <c r="N897" s="120"/>
      <c r="O897" s="120"/>
      <c r="P897" s="118"/>
      <c r="Q897" s="117"/>
      <c r="S897" s="2"/>
      <c r="T897" s="2"/>
    </row>
    <row r="898" spans="1:20" ht="15" customHeight="1">
      <c r="A898" s="163"/>
      <c r="B898" s="113"/>
      <c r="D898" s="113"/>
      <c r="F898" s="115"/>
      <c r="G898" s="116"/>
      <c r="H898" s="120"/>
      <c r="I898" s="120"/>
      <c r="J898" s="117"/>
      <c r="K898" s="118"/>
      <c r="L898" s="119"/>
      <c r="M898" s="120"/>
      <c r="N898" s="120"/>
      <c r="O898" s="120"/>
      <c r="P898" s="118"/>
      <c r="Q898" s="117"/>
      <c r="S898" s="2"/>
      <c r="T898" s="2"/>
    </row>
    <row r="899" spans="1:20" ht="15" customHeight="1">
      <c r="A899" s="163"/>
      <c r="B899" s="113"/>
      <c r="D899" s="113"/>
      <c r="F899" s="115"/>
      <c r="G899" s="116"/>
      <c r="H899" s="120"/>
      <c r="I899" s="120"/>
      <c r="J899" s="117"/>
      <c r="K899" s="118"/>
      <c r="L899" s="119"/>
      <c r="M899" s="120"/>
      <c r="N899" s="120"/>
      <c r="O899" s="120"/>
      <c r="P899" s="118"/>
      <c r="Q899" s="117"/>
      <c r="S899" s="2"/>
      <c r="T899" s="2"/>
    </row>
    <row r="900" spans="1:20" ht="15" customHeight="1">
      <c r="A900" s="163"/>
      <c r="B900" s="113"/>
      <c r="D900" s="113"/>
      <c r="F900" s="115"/>
      <c r="G900" s="116"/>
      <c r="H900" s="120"/>
      <c r="I900" s="120"/>
      <c r="J900" s="117"/>
      <c r="K900" s="118"/>
      <c r="L900" s="119"/>
      <c r="M900" s="120"/>
      <c r="N900" s="120"/>
      <c r="O900" s="120"/>
      <c r="P900" s="118"/>
      <c r="Q900" s="117"/>
      <c r="S900" s="2"/>
      <c r="T900" s="2"/>
    </row>
    <row r="901" spans="1:20" ht="15" customHeight="1">
      <c r="A901" s="163"/>
      <c r="B901" s="113"/>
      <c r="D901" s="113"/>
      <c r="F901" s="115"/>
      <c r="G901" s="116"/>
      <c r="H901" s="120"/>
      <c r="I901" s="120"/>
      <c r="J901" s="117"/>
      <c r="K901" s="118"/>
      <c r="L901" s="119"/>
      <c r="M901" s="120"/>
      <c r="N901" s="120"/>
      <c r="O901" s="120"/>
      <c r="P901" s="118"/>
      <c r="Q901" s="117"/>
      <c r="S901" s="2"/>
      <c r="T901" s="2"/>
    </row>
    <row r="902" spans="1:20" ht="15" customHeight="1">
      <c r="A902" s="163"/>
      <c r="B902" s="113"/>
      <c r="D902" s="113"/>
      <c r="F902" s="115"/>
      <c r="G902" s="116"/>
      <c r="H902" s="120"/>
      <c r="I902" s="120"/>
      <c r="J902" s="117"/>
      <c r="K902" s="118"/>
      <c r="L902" s="119"/>
      <c r="M902" s="120"/>
      <c r="N902" s="120"/>
      <c r="O902" s="120"/>
      <c r="P902" s="118"/>
      <c r="Q902" s="117"/>
      <c r="S902" s="2"/>
      <c r="T902" s="2"/>
    </row>
    <row r="903" spans="1:20" ht="15" customHeight="1">
      <c r="A903" s="163"/>
      <c r="B903" s="113"/>
      <c r="D903" s="113"/>
      <c r="F903" s="115"/>
      <c r="G903" s="116"/>
      <c r="H903" s="120"/>
      <c r="I903" s="120"/>
      <c r="J903" s="117"/>
      <c r="K903" s="118"/>
      <c r="L903" s="119"/>
      <c r="M903" s="120"/>
      <c r="N903" s="120"/>
      <c r="O903" s="120"/>
      <c r="P903" s="118"/>
      <c r="Q903" s="117"/>
      <c r="S903" s="2"/>
      <c r="T903" s="2"/>
    </row>
    <row r="904" spans="1:20" ht="15" customHeight="1">
      <c r="A904" s="163"/>
      <c r="B904" s="113"/>
      <c r="D904" s="113"/>
      <c r="F904" s="115"/>
      <c r="G904" s="116"/>
      <c r="H904" s="120"/>
      <c r="I904" s="120"/>
      <c r="J904" s="117"/>
      <c r="K904" s="118"/>
      <c r="L904" s="119"/>
      <c r="M904" s="120"/>
      <c r="N904" s="120"/>
      <c r="O904" s="120"/>
      <c r="P904" s="118"/>
      <c r="Q904" s="117"/>
      <c r="S904" s="2"/>
      <c r="T904" s="2"/>
    </row>
    <row r="905" spans="1:20" ht="15" customHeight="1">
      <c r="A905" s="163"/>
      <c r="B905" s="113"/>
      <c r="D905" s="113"/>
      <c r="F905" s="115"/>
      <c r="G905" s="116"/>
      <c r="H905" s="120"/>
      <c r="I905" s="120"/>
      <c r="J905" s="117"/>
      <c r="K905" s="118"/>
      <c r="L905" s="119"/>
      <c r="M905" s="120"/>
      <c r="N905" s="120"/>
      <c r="O905" s="120"/>
      <c r="P905" s="118"/>
      <c r="Q905" s="117"/>
      <c r="S905" s="2"/>
      <c r="T905" s="2"/>
    </row>
    <row r="906" spans="1:20" ht="15" customHeight="1">
      <c r="A906" s="163"/>
      <c r="B906" s="113"/>
      <c r="D906" s="113"/>
      <c r="F906" s="115"/>
      <c r="G906" s="116"/>
      <c r="H906" s="120"/>
      <c r="I906" s="120"/>
      <c r="J906" s="117"/>
      <c r="K906" s="118"/>
      <c r="L906" s="119"/>
      <c r="M906" s="120"/>
      <c r="N906" s="120"/>
      <c r="O906" s="120"/>
      <c r="P906" s="118"/>
      <c r="Q906" s="117"/>
      <c r="S906" s="2"/>
      <c r="T906" s="2"/>
    </row>
    <row r="907" spans="1:20" ht="15" customHeight="1">
      <c r="A907" s="163"/>
      <c r="B907" s="113"/>
      <c r="D907" s="113"/>
      <c r="F907" s="115"/>
      <c r="G907" s="116"/>
      <c r="H907" s="120"/>
      <c r="I907" s="120"/>
      <c r="J907" s="117"/>
      <c r="K907" s="118"/>
      <c r="L907" s="119"/>
      <c r="M907" s="120"/>
      <c r="N907" s="120"/>
      <c r="O907" s="120"/>
      <c r="P907" s="118"/>
      <c r="Q907" s="117"/>
      <c r="S907" s="2"/>
      <c r="T907" s="2"/>
    </row>
    <row r="908" spans="1:20" ht="15" customHeight="1">
      <c r="A908" s="163"/>
      <c r="B908" s="113"/>
      <c r="D908" s="113"/>
      <c r="F908" s="115"/>
      <c r="G908" s="116"/>
      <c r="H908" s="120"/>
      <c r="I908" s="120"/>
      <c r="J908" s="117"/>
      <c r="K908" s="118"/>
      <c r="L908" s="119"/>
      <c r="M908" s="120"/>
      <c r="N908" s="120"/>
      <c r="O908" s="120"/>
      <c r="P908" s="118"/>
      <c r="Q908" s="117"/>
      <c r="S908" s="2"/>
      <c r="T908" s="2"/>
    </row>
    <row r="909" spans="1:20" ht="15" customHeight="1">
      <c r="A909" s="163"/>
      <c r="B909" s="113"/>
      <c r="D909" s="113"/>
      <c r="F909" s="115"/>
      <c r="G909" s="116"/>
      <c r="H909" s="120"/>
      <c r="I909" s="120"/>
      <c r="J909" s="117"/>
      <c r="K909" s="118"/>
      <c r="L909" s="119"/>
      <c r="M909" s="120"/>
      <c r="N909" s="120"/>
      <c r="O909" s="120"/>
      <c r="P909" s="118"/>
      <c r="Q909" s="117"/>
      <c r="S909" s="2"/>
      <c r="T909" s="2"/>
    </row>
    <row r="910" spans="1:20" ht="15" customHeight="1">
      <c r="A910" s="163"/>
      <c r="B910" s="113"/>
      <c r="D910" s="113"/>
      <c r="F910" s="115"/>
      <c r="G910" s="116"/>
      <c r="H910" s="120"/>
      <c r="I910" s="120"/>
      <c r="J910" s="117"/>
      <c r="K910" s="118"/>
      <c r="L910" s="119"/>
      <c r="M910" s="120"/>
      <c r="N910" s="120"/>
      <c r="O910" s="120"/>
      <c r="P910" s="118"/>
      <c r="Q910" s="117"/>
      <c r="S910" s="2"/>
      <c r="T910" s="2"/>
    </row>
    <row r="911" spans="1:20" ht="15" customHeight="1">
      <c r="A911" s="163"/>
      <c r="B911" s="113"/>
      <c r="D911" s="113"/>
      <c r="F911" s="115"/>
      <c r="G911" s="116"/>
      <c r="H911" s="120"/>
      <c r="I911" s="120"/>
      <c r="J911" s="117"/>
      <c r="K911" s="118"/>
      <c r="L911" s="119"/>
      <c r="M911" s="120"/>
      <c r="N911" s="120"/>
      <c r="O911" s="120"/>
      <c r="P911" s="118"/>
      <c r="Q911" s="117"/>
      <c r="S911" s="2"/>
      <c r="T911" s="2"/>
    </row>
    <row r="912" spans="1:20" ht="15" customHeight="1">
      <c r="A912" s="163"/>
      <c r="B912" s="113"/>
      <c r="D912" s="113"/>
      <c r="F912" s="115"/>
      <c r="G912" s="116"/>
      <c r="H912" s="120"/>
      <c r="I912" s="120"/>
      <c r="J912" s="117"/>
      <c r="K912" s="118"/>
      <c r="L912" s="119"/>
      <c r="M912" s="120"/>
      <c r="N912" s="120"/>
      <c r="O912" s="120"/>
      <c r="P912" s="118"/>
      <c r="Q912" s="117"/>
      <c r="S912" s="2"/>
      <c r="T912" s="2"/>
    </row>
    <row r="913" spans="1:20" ht="15" customHeight="1">
      <c r="A913" s="163"/>
      <c r="B913" s="113"/>
      <c r="D913" s="113"/>
      <c r="F913" s="115"/>
      <c r="G913" s="116"/>
      <c r="H913" s="120"/>
      <c r="I913" s="120"/>
      <c r="J913" s="117"/>
      <c r="K913" s="118"/>
      <c r="L913" s="119"/>
      <c r="M913" s="120"/>
      <c r="N913" s="120"/>
      <c r="O913" s="120"/>
      <c r="P913" s="118"/>
      <c r="Q913" s="117"/>
      <c r="S913" s="2"/>
      <c r="T913" s="2"/>
    </row>
    <row r="914" spans="1:20" ht="15" customHeight="1">
      <c r="A914" s="163"/>
      <c r="B914" s="113"/>
      <c r="D914" s="113"/>
      <c r="F914" s="115"/>
      <c r="G914" s="116"/>
      <c r="H914" s="120"/>
      <c r="I914" s="120"/>
      <c r="J914" s="117"/>
      <c r="K914" s="118"/>
      <c r="L914" s="119"/>
      <c r="M914" s="120"/>
      <c r="N914" s="120"/>
      <c r="O914" s="120"/>
      <c r="P914" s="118"/>
      <c r="Q914" s="117"/>
      <c r="S914" s="2"/>
      <c r="T914" s="2"/>
    </row>
    <row r="915" spans="1:20" ht="15" customHeight="1">
      <c r="A915" s="163"/>
      <c r="B915" s="113"/>
      <c r="D915" s="113"/>
      <c r="F915" s="115"/>
      <c r="G915" s="116"/>
      <c r="H915" s="120"/>
      <c r="I915" s="120"/>
      <c r="J915" s="117"/>
      <c r="K915" s="118"/>
      <c r="L915" s="119"/>
      <c r="M915" s="120"/>
      <c r="N915" s="120"/>
      <c r="O915" s="120"/>
      <c r="P915" s="118"/>
      <c r="Q915" s="117"/>
      <c r="S915" s="2"/>
      <c r="T915" s="2"/>
    </row>
    <row r="916" spans="1:20" ht="15" customHeight="1">
      <c r="A916" s="163"/>
      <c r="B916" s="113"/>
      <c r="D916" s="113"/>
      <c r="F916" s="115"/>
      <c r="G916" s="116"/>
      <c r="H916" s="120"/>
      <c r="I916" s="120"/>
      <c r="J916" s="117"/>
      <c r="K916" s="118"/>
      <c r="L916" s="119"/>
      <c r="M916" s="120"/>
      <c r="N916" s="120"/>
      <c r="O916" s="120"/>
      <c r="P916" s="118"/>
      <c r="Q916" s="117"/>
      <c r="S916" s="2"/>
      <c r="T916" s="2"/>
    </row>
    <row r="917" spans="1:20" ht="15" customHeight="1">
      <c r="A917" s="163"/>
      <c r="B917" s="113"/>
      <c r="D917" s="113"/>
      <c r="F917" s="115"/>
      <c r="G917" s="116"/>
      <c r="H917" s="120"/>
      <c r="I917" s="120"/>
      <c r="J917" s="117"/>
      <c r="K917" s="118"/>
      <c r="L917" s="119"/>
      <c r="M917" s="120"/>
      <c r="N917" s="120"/>
      <c r="O917" s="120"/>
      <c r="P917" s="118"/>
      <c r="Q917" s="117"/>
      <c r="S917" s="2"/>
      <c r="T917" s="2"/>
    </row>
    <row r="918" spans="1:20" ht="15" customHeight="1">
      <c r="A918" s="163"/>
      <c r="B918" s="113"/>
      <c r="D918" s="113"/>
      <c r="F918" s="115"/>
      <c r="G918" s="116"/>
      <c r="H918" s="120"/>
      <c r="I918" s="120"/>
      <c r="J918" s="117"/>
      <c r="K918" s="118"/>
      <c r="L918" s="119"/>
      <c r="M918" s="120"/>
      <c r="N918" s="120"/>
      <c r="O918" s="120"/>
      <c r="P918" s="118"/>
      <c r="Q918" s="117"/>
      <c r="S918" s="2"/>
      <c r="T918" s="2"/>
    </row>
    <row r="919" spans="1:20" ht="15" customHeight="1">
      <c r="A919" s="163"/>
      <c r="B919" s="113"/>
      <c r="D919" s="113"/>
      <c r="F919" s="115"/>
      <c r="G919" s="116"/>
      <c r="H919" s="120"/>
      <c r="I919" s="120"/>
      <c r="J919" s="117"/>
      <c r="K919" s="118"/>
      <c r="L919" s="119"/>
      <c r="M919" s="120"/>
      <c r="N919" s="120"/>
      <c r="O919" s="120"/>
      <c r="P919" s="118"/>
      <c r="Q919" s="117"/>
      <c r="S919" s="2"/>
      <c r="T919" s="2"/>
    </row>
    <row r="920" spans="1:20" ht="15" customHeight="1">
      <c r="A920" s="163"/>
      <c r="B920" s="113"/>
      <c r="D920" s="113"/>
      <c r="F920" s="115"/>
      <c r="G920" s="116"/>
      <c r="H920" s="120"/>
      <c r="I920" s="120"/>
      <c r="J920" s="117"/>
      <c r="K920" s="118"/>
      <c r="L920" s="119"/>
      <c r="M920" s="120"/>
      <c r="N920" s="120"/>
      <c r="O920" s="120"/>
      <c r="P920" s="118"/>
      <c r="Q920" s="117"/>
      <c r="S920" s="2"/>
      <c r="T920" s="2"/>
    </row>
    <row r="921" spans="1:20" ht="15" customHeight="1">
      <c r="A921" s="163"/>
      <c r="B921" s="113"/>
      <c r="D921" s="113"/>
      <c r="F921" s="115"/>
      <c r="G921" s="116"/>
      <c r="H921" s="120"/>
      <c r="I921" s="120"/>
      <c r="J921" s="117"/>
      <c r="K921" s="118"/>
      <c r="L921" s="119"/>
      <c r="M921" s="120"/>
      <c r="N921" s="120"/>
      <c r="O921" s="120"/>
      <c r="P921" s="118"/>
      <c r="Q921" s="117"/>
      <c r="S921" s="2"/>
      <c r="T921" s="2"/>
    </row>
    <row r="922" spans="1:20" ht="15" customHeight="1">
      <c r="A922" s="163"/>
      <c r="B922" s="113"/>
      <c r="D922" s="113"/>
      <c r="F922" s="115"/>
      <c r="G922" s="116"/>
      <c r="H922" s="120"/>
      <c r="I922" s="120"/>
      <c r="J922" s="117"/>
      <c r="K922" s="118"/>
      <c r="L922" s="119"/>
      <c r="M922" s="120"/>
      <c r="N922" s="120"/>
      <c r="O922" s="120"/>
      <c r="P922" s="118"/>
      <c r="Q922" s="117"/>
      <c r="S922" s="2"/>
      <c r="T922" s="2"/>
    </row>
    <row r="923" spans="1:20" ht="15" customHeight="1">
      <c r="A923" s="163"/>
      <c r="B923" s="113"/>
      <c r="D923" s="113"/>
      <c r="F923" s="115"/>
      <c r="G923" s="116"/>
      <c r="H923" s="120"/>
      <c r="I923" s="120"/>
      <c r="J923" s="117"/>
      <c r="K923" s="118"/>
      <c r="L923" s="119"/>
      <c r="M923" s="120"/>
      <c r="N923" s="120"/>
      <c r="O923" s="120"/>
      <c r="P923" s="118"/>
      <c r="Q923" s="117"/>
      <c r="S923" s="2"/>
      <c r="T923" s="2"/>
    </row>
    <row r="924" spans="1:20" ht="15" customHeight="1">
      <c r="A924" s="163"/>
      <c r="B924" s="113"/>
      <c r="D924" s="113"/>
      <c r="F924" s="115"/>
      <c r="G924" s="116"/>
      <c r="H924" s="120"/>
      <c r="I924" s="120"/>
      <c r="J924" s="117"/>
      <c r="K924" s="118"/>
      <c r="L924" s="119"/>
      <c r="M924" s="120"/>
      <c r="N924" s="120"/>
      <c r="O924" s="120"/>
      <c r="P924" s="118"/>
      <c r="Q924" s="117"/>
      <c r="S924" s="2"/>
      <c r="T924" s="2"/>
    </row>
    <row r="925" spans="1:20" ht="15" customHeight="1">
      <c r="A925" s="163"/>
      <c r="B925" s="113"/>
      <c r="D925" s="113"/>
      <c r="F925" s="115"/>
      <c r="G925" s="116"/>
      <c r="H925" s="120"/>
      <c r="I925" s="120"/>
      <c r="J925" s="117"/>
      <c r="K925" s="118"/>
      <c r="L925" s="119"/>
      <c r="M925" s="120"/>
      <c r="N925" s="120"/>
      <c r="O925" s="120"/>
      <c r="P925" s="118"/>
      <c r="Q925" s="117"/>
      <c r="S925" s="2"/>
      <c r="T925" s="2"/>
    </row>
    <row r="926" spans="1:20" ht="15" customHeight="1">
      <c r="A926" s="163"/>
      <c r="B926" s="113"/>
      <c r="D926" s="113"/>
      <c r="F926" s="115"/>
      <c r="G926" s="116"/>
      <c r="H926" s="120"/>
      <c r="I926" s="120"/>
      <c r="J926" s="117"/>
      <c r="K926" s="118"/>
      <c r="L926" s="119"/>
      <c r="M926" s="120"/>
      <c r="N926" s="120"/>
      <c r="O926" s="120"/>
      <c r="P926" s="118"/>
      <c r="Q926" s="117"/>
      <c r="S926" s="2"/>
      <c r="T926" s="2"/>
    </row>
    <row r="927" spans="1:20" ht="15" customHeight="1">
      <c r="A927" s="163"/>
      <c r="B927" s="113"/>
      <c r="D927" s="113"/>
      <c r="F927" s="115"/>
      <c r="G927" s="116"/>
      <c r="H927" s="120"/>
      <c r="I927" s="120"/>
      <c r="J927" s="117"/>
      <c r="K927" s="118"/>
      <c r="L927" s="119"/>
      <c r="M927" s="120"/>
      <c r="N927" s="120"/>
      <c r="O927" s="120"/>
      <c r="P927" s="118"/>
      <c r="Q927" s="117"/>
      <c r="S927" s="2"/>
      <c r="T927" s="2"/>
    </row>
    <row r="928" spans="1:20" ht="15" customHeight="1">
      <c r="A928" s="163"/>
      <c r="B928" s="113"/>
      <c r="D928" s="113"/>
      <c r="F928" s="115"/>
      <c r="G928" s="116"/>
      <c r="H928" s="120"/>
      <c r="I928" s="120"/>
      <c r="J928" s="117"/>
      <c r="K928" s="118"/>
      <c r="L928" s="119"/>
      <c r="M928" s="120"/>
      <c r="N928" s="120"/>
      <c r="O928" s="120"/>
      <c r="P928" s="118"/>
      <c r="Q928" s="117"/>
      <c r="S928" s="2"/>
      <c r="T928" s="2"/>
    </row>
    <row r="929" spans="1:20" ht="15" customHeight="1">
      <c r="A929" s="163"/>
      <c r="B929" s="113"/>
      <c r="D929" s="113"/>
      <c r="F929" s="115"/>
      <c r="G929" s="116"/>
      <c r="H929" s="120"/>
      <c r="I929" s="120"/>
      <c r="J929" s="117"/>
      <c r="K929" s="118"/>
      <c r="L929" s="119"/>
      <c r="M929" s="120"/>
      <c r="N929" s="120"/>
      <c r="O929" s="120"/>
      <c r="P929" s="118"/>
      <c r="Q929" s="117"/>
      <c r="S929" s="2"/>
      <c r="T929" s="2"/>
    </row>
    <row r="930" spans="1:20" ht="15" customHeight="1">
      <c r="A930" s="163"/>
      <c r="B930" s="113"/>
      <c r="D930" s="113"/>
      <c r="F930" s="115"/>
      <c r="G930" s="116"/>
      <c r="H930" s="120"/>
      <c r="I930" s="120"/>
      <c r="J930" s="117"/>
      <c r="K930" s="118"/>
      <c r="L930" s="119"/>
      <c r="M930" s="120"/>
      <c r="N930" s="120"/>
      <c r="O930" s="120"/>
      <c r="P930" s="118"/>
      <c r="Q930" s="117"/>
      <c r="S930" s="2"/>
      <c r="T930" s="2"/>
    </row>
    <row r="931" spans="1:20" ht="15" customHeight="1">
      <c r="A931" s="163"/>
      <c r="B931" s="113"/>
      <c r="D931" s="113"/>
      <c r="F931" s="115"/>
      <c r="G931" s="116"/>
      <c r="H931" s="120"/>
      <c r="I931" s="120"/>
      <c r="J931" s="117"/>
      <c r="K931" s="118"/>
      <c r="L931" s="119"/>
      <c r="M931" s="120"/>
      <c r="N931" s="120"/>
      <c r="O931" s="120"/>
      <c r="P931" s="118"/>
      <c r="Q931" s="117"/>
      <c r="S931" s="2"/>
      <c r="T931" s="2"/>
    </row>
    <row r="932" spans="1:20" ht="15" customHeight="1">
      <c r="A932" s="163"/>
      <c r="B932" s="113"/>
      <c r="D932" s="113"/>
      <c r="F932" s="115"/>
      <c r="G932" s="116"/>
      <c r="H932" s="120"/>
      <c r="I932" s="120"/>
      <c r="J932" s="117"/>
      <c r="K932" s="118"/>
      <c r="L932" s="119"/>
      <c r="M932" s="120"/>
      <c r="N932" s="120"/>
      <c r="O932" s="120"/>
      <c r="P932" s="118"/>
      <c r="Q932" s="117"/>
      <c r="S932" s="2"/>
      <c r="T932" s="2"/>
    </row>
    <row r="933" spans="1:20" ht="15" customHeight="1">
      <c r="A933" s="163"/>
      <c r="B933" s="113"/>
      <c r="D933" s="113"/>
      <c r="F933" s="115"/>
      <c r="G933" s="116"/>
      <c r="H933" s="120"/>
      <c r="I933" s="120"/>
      <c r="J933" s="117"/>
      <c r="K933" s="118"/>
      <c r="L933" s="119"/>
      <c r="M933" s="120"/>
      <c r="N933" s="120"/>
      <c r="O933" s="120"/>
      <c r="P933" s="118"/>
      <c r="Q933" s="117"/>
      <c r="S933" s="2"/>
      <c r="T933" s="2"/>
    </row>
    <row r="934" spans="1:20" ht="15" customHeight="1">
      <c r="A934" s="163"/>
      <c r="B934" s="113"/>
      <c r="D934" s="113"/>
      <c r="F934" s="115"/>
      <c r="G934" s="116"/>
      <c r="H934" s="120"/>
      <c r="I934" s="120"/>
      <c r="J934" s="117"/>
      <c r="K934" s="118"/>
      <c r="L934" s="119"/>
      <c r="M934" s="120"/>
      <c r="N934" s="120"/>
      <c r="O934" s="120"/>
      <c r="P934" s="118"/>
      <c r="Q934" s="117"/>
      <c r="S934" s="2"/>
      <c r="T934" s="2"/>
    </row>
    <row r="935" spans="1:20" ht="15" customHeight="1">
      <c r="A935" s="163"/>
      <c r="B935" s="113"/>
      <c r="D935" s="113"/>
      <c r="F935" s="115"/>
      <c r="G935" s="116"/>
      <c r="H935" s="120"/>
      <c r="I935" s="120"/>
      <c r="J935" s="117"/>
      <c r="K935" s="118"/>
      <c r="L935" s="119"/>
      <c r="M935" s="120"/>
      <c r="N935" s="120"/>
      <c r="O935" s="120"/>
      <c r="P935" s="118"/>
      <c r="Q935" s="117"/>
      <c r="S935" s="2"/>
      <c r="T935" s="2"/>
    </row>
    <row r="936" spans="1:20" ht="15" customHeight="1">
      <c r="A936" s="163"/>
      <c r="B936" s="113"/>
      <c r="D936" s="113"/>
      <c r="F936" s="115"/>
      <c r="G936" s="116"/>
      <c r="H936" s="120"/>
      <c r="I936" s="120"/>
      <c r="J936" s="117"/>
      <c r="K936" s="118"/>
      <c r="L936" s="119"/>
      <c r="M936" s="120"/>
      <c r="N936" s="120"/>
      <c r="O936" s="120"/>
      <c r="P936" s="118"/>
      <c r="Q936" s="117"/>
      <c r="S936" s="2"/>
      <c r="T936" s="2"/>
    </row>
    <row r="937" spans="1:20" ht="15" customHeight="1">
      <c r="A937" s="163"/>
      <c r="B937" s="113"/>
      <c r="D937" s="113"/>
      <c r="F937" s="115"/>
      <c r="G937" s="116"/>
      <c r="H937" s="120"/>
      <c r="I937" s="120"/>
      <c r="J937" s="117"/>
      <c r="K937" s="118"/>
      <c r="L937" s="119"/>
      <c r="M937" s="120"/>
      <c r="N937" s="120"/>
      <c r="O937" s="120"/>
      <c r="P937" s="118"/>
      <c r="Q937" s="117"/>
      <c r="S937" s="2"/>
      <c r="T937" s="2"/>
    </row>
    <row r="938" spans="1:20" ht="15" customHeight="1">
      <c r="A938" s="163"/>
      <c r="B938" s="113"/>
      <c r="D938" s="113"/>
      <c r="F938" s="115"/>
      <c r="G938" s="116"/>
      <c r="H938" s="120"/>
      <c r="I938" s="120"/>
      <c r="J938" s="117"/>
      <c r="K938" s="118"/>
      <c r="L938" s="119"/>
      <c r="M938" s="120"/>
      <c r="N938" s="120"/>
      <c r="O938" s="120"/>
      <c r="P938" s="118"/>
      <c r="Q938" s="117"/>
      <c r="S938" s="2"/>
      <c r="T938" s="2"/>
    </row>
    <row r="939" spans="1:20" ht="15" customHeight="1">
      <c r="A939" s="163"/>
      <c r="B939" s="113"/>
      <c r="D939" s="113"/>
      <c r="F939" s="115"/>
      <c r="G939" s="116"/>
      <c r="H939" s="120"/>
      <c r="I939" s="120"/>
      <c r="J939" s="117"/>
      <c r="K939" s="118"/>
      <c r="L939" s="119"/>
      <c r="M939" s="120"/>
      <c r="N939" s="120"/>
      <c r="O939" s="120"/>
      <c r="P939" s="118"/>
      <c r="Q939" s="117"/>
      <c r="S939" s="2"/>
      <c r="T939" s="2"/>
    </row>
    <row r="940" spans="1:20" ht="15" customHeight="1">
      <c r="A940" s="163"/>
      <c r="B940" s="113"/>
      <c r="D940" s="113"/>
      <c r="F940" s="115"/>
      <c r="G940" s="116"/>
      <c r="H940" s="120"/>
      <c r="I940" s="120"/>
      <c r="J940" s="117"/>
      <c r="K940" s="118"/>
      <c r="L940" s="119"/>
      <c r="M940" s="120"/>
      <c r="N940" s="120"/>
      <c r="O940" s="120"/>
      <c r="P940" s="118"/>
      <c r="Q940" s="117"/>
      <c r="S940" s="2"/>
      <c r="T940" s="2"/>
    </row>
    <row r="941" spans="1:20" ht="15" customHeight="1">
      <c r="A941" s="163"/>
      <c r="B941" s="113"/>
      <c r="D941" s="113"/>
      <c r="F941" s="115"/>
      <c r="G941" s="116"/>
      <c r="H941" s="120"/>
      <c r="I941" s="120"/>
      <c r="J941" s="117"/>
      <c r="K941" s="118"/>
      <c r="L941" s="119"/>
      <c r="M941" s="120"/>
      <c r="N941" s="120"/>
      <c r="O941" s="120"/>
      <c r="P941" s="118"/>
      <c r="Q941" s="117"/>
      <c r="S941" s="2"/>
      <c r="T941" s="2"/>
    </row>
    <row r="942" spans="1:20" ht="15" customHeight="1">
      <c r="A942" s="163"/>
      <c r="B942" s="113"/>
      <c r="D942" s="113"/>
      <c r="F942" s="115"/>
      <c r="G942" s="116"/>
      <c r="H942" s="120"/>
      <c r="I942" s="120"/>
      <c r="J942" s="117"/>
      <c r="K942" s="118"/>
      <c r="L942" s="119"/>
      <c r="M942" s="120"/>
      <c r="N942" s="120"/>
      <c r="O942" s="120"/>
      <c r="P942" s="118"/>
      <c r="Q942" s="117"/>
      <c r="S942" s="2"/>
      <c r="T942" s="2"/>
    </row>
    <row r="943" spans="1:20" ht="15" customHeight="1">
      <c r="A943" s="163"/>
      <c r="B943" s="113"/>
      <c r="D943" s="113"/>
      <c r="F943" s="115"/>
      <c r="G943" s="116"/>
      <c r="H943" s="120"/>
      <c r="I943" s="120"/>
      <c r="J943" s="117"/>
      <c r="K943" s="118"/>
      <c r="L943" s="119"/>
      <c r="M943" s="120"/>
      <c r="N943" s="120"/>
      <c r="O943" s="120"/>
      <c r="P943" s="118"/>
      <c r="Q943" s="117"/>
      <c r="S943" s="2"/>
      <c r="T943" s="2"/>
    </row>
    <row r="944" spans="1:20" ht="15" customHeight="1">
      <c r="A944" s="163"/>
      <c r="B944" s="113"/>
      <c r="D944" s="113"/>
      <c r="F944" s="115"/>
      <c r="G944" s="116"/>
      <c r="H944" s="120"/>
      <c r="I944" s="120"/>
      <c r="J944" s="117"/>
      <c r="K944" s="118"/>
      <c r="L944" s="119"/>
      <c r="M944" s="120"/>
      <c r="N944" s="120"/>
      <c r="O944" s="120"/>
      <c r="P944" s="118"/>
      <c r="Q944" s="117"/>
      <c r="S944" s="2"/>
      <c r="T944" s="2"/>
    </row>
    <row r="945" spans="1:20" ht="15" customHeight="1">
      <c r="A945" s="163"/>
      <c r="B945" s="113"/>
      <c r="D945" s="113"/>
      <c r="F945" s="115"/>
      <c r="G945" s="116"/>
      <c r="H945" s="120"/>
      <c r="I945" s="120"/>
      <c r="J945" s="117"/>
      <c r="K945" s="118"/>
      <c r="L945" s="119"/>
      <c r="M945" s="120"/>
      <c r="N945" s="120"/>
      <c r="O945" s="120"/>
      <c r="P945" s="118"/>
      <c r="Q945" s="117"/>
      <c r="S945" s="2"/>
      <c r="T945" s="2"/>
    </row>
    <row r="946" spans="1:20" ht="15" customHeight="1">
      <c r="A946" s="163"/>
      <c r="B946" s="113"/>
      <c r="D946" s="113"/>
      <c r="F946" s="115"/>
      <c r="G946" s="116"/>
      <c r="H946" s="120"/>
      <c r="I946" s="120"/>
      <c r="J946" s="117"/>
      <c r="K946" s="118"/>
      <c r="L946" s="119"/>
      <c r="M946" s="120"/>
      <c r="N946" s="120"/>
      <c r="O946" s="120"/>
      <c r="P946" s="118"/>
      <c r="Q946" s="117"/>
      <c r="S946" s="2"/>
      <c r="T946" s="2"/>
    </row>
    <row r="947" spans="1:20" ht="15" customHeight="1">
      <c r="A947" s="163"/>
      <c r="B947" s="113"/>
      <c r="D947" s="113"/>
      <c r="F947" s="115"/>
      <c r="G947" s="116"/>
      <c r="H947" s="120"/>
      <c r="I947" s="120"/>
      <c r="J947" s="117"/>
      <c r="K947" s="118"/>
      <c r="L947" s="119"/>
      <c r="M947" s="120"/>
      <c r="N947" s="120"/>
      <c r="O947" s="120"/>
      <c r="P947" s="118"/>
      <c r="Q947" s="117"/>
      <c r="S947" s="2"/>
      <c r="T947" s="2"/>
    </row>
    <row r="948" spans="1:20" ht="15" customHeight="1">
      <c r="A948" s="163"/>
      <c r="B948" s="113"/>
      <c r="D948" s="113"/>
      <c r="F948" s="115"/>
      <c r="G948" s="116"/>
      <c r="H948" s="120"/>
      <c r="I948" s="120"/>
      <c r="J948" s="117"/>
      <c r="K948" s="118"/>
      <c r="L948" s="119"/>
      <c r="M948" s="120"/>
      <c r="N948" s="120"/>
      <c r="O948" s="120"/>
      <c r="P948" s="118"/>
      <c r="Q948" s="117"/>
      <c r="S948" s="2"/>
      <c r="T948" s="2"/>
    </row>
    <row r="949" spans="1:20" ht="15" customHeight="1">
      <c r="A949" s="163"/>
      <c r="B949" s="113"/>
      <c r="D949" s="113"/>
      <c r="F949" s="115"/>
      <c r="G949" s="116"/>
      <c r="H949" s="120"/>
      <c r="I949" s="120"/>
      <c r="J949" s="117"/>
      <c r="K949" s="118"/>
      <c r="L949" s="119"/>
      <c r="M949" s="120"/>
      <c r="N949" s="120"/>
      <c r="O949" s="120"/>
      <c r="P949" s="118"/>
      <c r="Q949" s="117"/>
      <c r="S949" s="2"/>
      <c r="T949" s="2"/>
    </row>
    <row r="950" spans="1:20" ht="15" customHeight="1">
      <c r="A950" s="163"/>
      <c r="B950" s="113"/>
      <c r="D950" s="113"/>
      <c r="F950" s="115"/>
      <c r="G950" s="116"/>
      <c r="H950" s="120"/>
      <c r="I950" s="120"/>
      <c r="J950" s="117"/>
      <c r="K950" s="118"/>
      <c r="L950" s="119"/>
      <c r="M950" s="120"/>
      <c r="N950" s="120"/>
      <c r="O950" s="120"/>
      <c r="P950" s="118"/>
      <c r="Q950" s="117"/>
      <c r="S950" s="2"/>
      <c r="T950" s="2"/>
    </row>
    <row r="951" spans="1:20" ht="15" customHeight="1">
      <c r="A951" s="163"/>
      <c r="B951" s="113"/>
      <c r="D951" s="113"/>
      <c r="F951" s="115"/>
      <c r="G951" s="116"/>
      <c r="H951" s="120"/>
      <c r="I951" s="120"/>
      <c r="J951" s="117"/>
      <c r="K951" s="118"/>
      <c r="L951" s="119"/>
      <c r="M951" s="120"/>
      <c r="N951" s="120"/>
      <c r="O951" s="120"/>
      <c r="P951" s="118"/>
      <c r="Q951" s="117"/>
      <c r="S951" s="2"/>
      <c r="T951" s="2"/>
    </row>
    <row r="952" spans="1:20" ht="15" customHeight="1">
      <c r="A952" s="163"/>
      <c r="B952" s="113"/>
      <c r="D952" s="113"/>
      <c r="F952" s="115"/>
      <c r="G952" s="116"/>
      <c r="H952" s="120"/>
      <c r="I952" s="120"/>
      <c r="J952" s="117"/>
      <c r="K952" s="118"/>
      <c r="L952" s="119"/>
      <c r="M952" s="120"/>
      <c r="N952" s="120"/>
      <c r="O952" s="120"/>
      <c r="P952" s="118"/>
      <c r="Q952" s="117"/>
      <c r="S952" s="2"/>
      <c r="T952" s="2"/>
    </row>
    <row r="953" spans="1:20" ht="15" customHeight="1">
      <c r="A953" s="163"/>
      <c r="B953" s="113"/>
      <c r="D953" s="113"/>
      <c r="F953" s="115"/>
      <c r="G953" s="116"/>
      <c r="H953" s="120"/>
      <c r="I953" s="120"/>
      <c r="J953" s="117"/>
      <c r="K953" s="118"/>
      <c r="L953" s="119"/>
      <c r="M953" s="120"/>
      <c r="N953" s="120"/>
      <c r="O953" s="120"/>
      <c r="P953" s="118"/>
      <c r="Q953" s="117"/>
      <c r="S953" s="2"/>
      <c r="T953" s="2"/>
    </row>
    <row r="954" spans="1:20" ht="15" customHeight="1">
      <c r="A954" s="163"/>
      <c r="B954" s="113"/>
      <c r="D954" s="113"/>
      <c r="F954" s="115"/>
      <c r="G954" s="116"/>
      <c r="H954" s="120"/>
      <c r="I954" s="120"/>
      <c r="J954" s="117"/>
      <c r="K954" s="118"/>
      <c r="L954" s="119"/>
      <c r="M954" s="120"/>
      <c r="N954" s="120"/>
      <c r="O954" s="120"/>
      <c r="P954" s="118"/>
      <c r="Q954" s="117"/>
      <c r="S954" s="2"/>
      <c r="T954" s="2"/>
    </row>
    <row r="955" spans="1:20" ht="15" customHeight="1">
      <c r="A955" s="163"/>
      <c r="B955" s="113"/>
      <c r="D955" s="113"/>
      <c r="F955" s="115"/>
      <c r="G955" s="116"/>
      <c r="H955" s="120"/>
      <c r="I955" s="120"/>
      <c r="J955" s="117"/>
      <c r="K955" s="118"/>
      <c r="L955" s="119"/>
      <c r="M955" s="120"/>
      <c r="N955" s="120"/>
      <c r="O955" s="120"/>
      <c r="P955" s="118"/>
      <c r="Q955" s="117"/>
      <c r="S955" s="2"/>
      <c r="T955" s="2"/>
    </row>
    <row r="956" spans="1:20" ht="15" customHeight="1">
      <c r="A956" s="163"/>
      <c r="B956" s="113"/>
      <c r="D956" s="113"/>
      <c r="F956" s="115"/>
      <c r="G956" s="116"/>
      <c r="H956" s="120"/>
      <c r="I956" s="120"/>
      <c r="J956" s="117"/>
      <c r="K956" s="118"/>
      <c r="L956" s="119"/>
      <c r="M956" s="120"/>
      <c r="N956" s="120"/>
      <c r="O956" s="120"/>
      <c r="P956" s="118"/>
      <c r="Q956" s="117"/>
      <c r="S956" s="2"/>
      <c r="T956" s="2"/>
    </row>
    <row r="957" spans="1:20" ht="15" customHeight="1">
      <c r="A957" s="163"/>
      <c r="B957" s="113"/>
      <c r="D957" s="113"/>
      <c r="F957" s="115"/>
      <c r="G957" s="116"/>
      <c r="H957" s="120"/>
      <c r="I957" s="120"/>
      <c r="J957" s="117"/>
      <c r="K957" s="118"/>
      <c r="L957" s="119"/>
      <c r="M957" s="120"/>
      <c r="N957" s="120"/>
      <c r="O957" s="120"/>
      <c r="P957" s="118"/>
      <c r="Q957" s="117"/>
      <c r="S957" s="2"/>
      <c r="T957" s="2"/>
    </row>
    <row r="958" spans="1:20" ht="15" customHeight="1">
      <c r="A958" s="163"/>
      <c r="B958" s="113"/>
      <c r="D958" s="113"/>
      <c r="F958" s="115"/>
      <c r="G958" s="116"/>
      <c r="H958" s="120"/>
      <c r="I958" s="120"/>
      <c r="J958" s="117"/>
      <c r="K958" s="118"/>
      <c r="L958" s="119"/>
      <c r="M958" s="120"/>
      <c r="N958" s="120"/>
      <c r="O958" s="120"/>
      <c r="P958" s="118"/>
      <c r="Q958" s="117"/>
      <c r="S958" s="2"/>
      <c r="T958" s="2"/>
    </row>
    <row r="959" spans="1:20" ht="15" customHeight="1">
      <c r="A959" s="163"/>
      <c r="B959" s="113"/>
      <c r="D959" s="113"/>
      <c r="F959" s="115"/>
      <c r="G959" s="116"/>
      <c r="H959" s="120"/>
      <c r="I959" s="120"/>
      <c r="J959" s="117"/>
      <c r="K959" s="118"/>
      <c r="L959" s="119"/>
      <c r="M959" s="120"/>
      <c r="N959" s="120"/>
      <c r="O959" s="120"/>
      <c r="P959" s="118"/>
      <c r="Q959" s="117"/>
      <c r="S959" s="2"/>
      <c r="T959" s="2"/>
    </row>
    <row r="960" spans="1:20" ht="15" customHeight="1">
      <c r="A960" s="163"/>
      <c r="B960" s="113"/>
      <c r="D960" s="113"/>
      <c r="F960" s="115"/>
      <c r="G960" s="116"/>
      <c r="H960" s="120"/>
      <c r="I960" s="120"/>
      <c r="J960" s="117"/>
      <c r="K960" s="118"/>
      <c r="L960" s="119"/>
      <c r="M960" s="120"/>
      <c r="N960" s="120"/>
      <c r="O960" s="120"/>
      <c r="P960" s="118"/>
      <c r="Q960" s="117"/>
      <c r="S960" s="2"/>
      <c r="T960" s="2"/>
    </row>
    <row r="961" spans="1:20" ht="15" customHeight="1">
      <c r="A961" s="163"/>
      <c r="B961" s="113"/>
      <c r="D961" s="113"/>
      <c r="F961" s="115"/>
      <c r="G961" s="116"/>
      <c r="H961" s="120"/>
      <c r="I961" s="120"/>
      <c r="J961" s="117"/>
      <c r="K961" s="118"/>
      <c r="L961" s="119"/>
      <c r="M961" s="120"/>
      <c r="N961" s="120"/>
      <c r="O961" s="120"/>
      <c r="P961" s="118"/>
      <c r="Q961" s="117"/>
      <c r="S961" s="2"/>
      <c r="T961" s="2"/>
    </row>
    <row r="962" spans="1:20" ht="15" customHeight="1">
      <c r="A962" s="163"/>
      <c r="B962" s="113"/>
      <c r="D962" s="113"/>
      <c r="F962" s="115"/>
      <c r="G962" s="116"/>
      <c r="H962" s="120"/>
      <c r="I962" s="120"/>
      <c r="J962" s="117"/>
      <c r="K962" s="118"/>
      <c r="L962" s="119"/>
      <c r="M962" s="120"/>
      <c r="N962" s="120"/>
      <c r="O962" s="120"/>
      <c r="P962" s="118"/>
      <c r="Q962" s="117"/>
      <c r="S962" s="2"/>
      <c r="T962" s="2"/>
    </row>
    <row r="963" spans="1:20" ht="15" customHeight="1">
      <c r="A963" s="163"/>
      <c r="B963" s="113"/>
      <c r="D963" s="113"/>
      <c r="F963" s="115"/>
      <c r="G963" s="116"/>
      <c r="H963" s="120"/>
      <c r="I963" s="120"/>
      <c r="J963" s="117"/>
      <c r="K963" s="118"/>
      <c r="L963" s="119"/>
      <c r="M963" s="120"/>
      <c r="N963" s="120"/>
      <c r="O963" s="120"/>
      <c r="P963" s="118"/>
      <c r="Q963" s="117"/>
      <c r="S963" s="2"/>
      <c r="T963" s="2"/>
    </row>
    <row r="964" spans="1:20" ht="15" customHeight="1">
      <c r="A964" s="163"/>
      <c r="B964" s="113"/>
      <c r="D964" s="113"/>
      <c r="F964" s="115"/>
      <c r="G964" s="116"/>
      <c r="H964" s="120"/>
      <c r="I964" s="120"/>
      <c r="J964" s="117"/>
      <c r="K964" s="118"/>
      <c r="L964" s="119"/>
      <c r="M964" s="120"/>
      <c r="N964" s="120"/>
      <c r="O964" s="120"/>
      <c r="P964" s="118"/>
      <c r="Q964" s="117"/>
      <c r="S964" s="2"/>
      <c r="T964" s="2"/>
    </row>
    <row r="965" spans="1:20" ht="15" customHeight="1">
      <c r="A965" s="163"/>
      <c r="B965" s="113"/>
      <c r="D965" s="113"/>
      <c r="F965" s="115"/>
      <c r="G965" s="116"/>
      <c r="H965" s="120"/>
      <c r="I965" s="120"/>
      <c r="J965" s="117"/>
      <c r="K965" s="118"/>
      <c r="L965" s="119"/>
      <c r="M965" s="120"/>
      <c r="N965" s="120"/>
      <c r="O965" s="120"/>
      <c r="P965" s="118"/>
      <c r="Q965" s="117"/>
      <c r="S965" s="2"/>
      <c r="T965" s="2"/>
    </row>
    <row r="966" spans="1:20" ht="15" customHeight="1">
      <c r="A966" s="163"/>
      <c r="B966" s="113"/>
      <c r="D966" s="113"/>
      <c r="F966" s="115"/>
      <c r="G966" s="116"/>
      <c r="H966" s="120"/>
      <c r="I966" s="120"/>
      <c r="J966" s="117"/>
      <c r="K966" s="118"/>
      <c r="L966" s="119"/>
      <c r="M966" s="120"/>
      <c r="N966" s="120"/>
      <c r="O966" s="120"/>
      <c r="P966" s="118"/>
      <c r="Q966" s="117"/>
      <c r="S966" s="2"/>
      <c r="T966" s="2"/>
    </row>
    <row r="967" spans="1:20" ht="15" customHeight="1">
      <c r="A967" s="163"/>
      <c r="B967" s="113"/>
      <c r="D967" s="113"/>
      <c r="F967" s="115"/>
      <c r="G967" s="116"/>
      <c r="H967" s="120"/>
      <c r="I967" s="120"/>
      <c r="J967" s="117"/>
      <c r="K967" s="118"/>
      <c r="L967" s="119"/>
      <c r="M967" s="120"/>
      <c r="N967" s="120"/>
      <c r="O967" s="120"/>
      <c r="P967" s="118"/>
      <c r="Q967" s="117"/>
      <c r="S967" s="2"/>
      <c r="T967" s="2"/>
    </row>
    <row r="968" spans="1:20" ht="15" customHeight="1">
      <c r="A968" s="163"/>
      <c r="B968" s="113"/>
      <c r="D968" s="113"/>
      <c r="F968" s="115"/>
      <c r="G968" s="116"/>
      <c r="H968" s="120"/>
      <c r="I968" s="120"/>
      <c r="J968" s="117"/>
      <c r="K968" s="118"/>
      <c r="L968" s="119"/>
      <c r="M968" s="120"/>
      <c r="N968" s="120"/>
      <c r="O968" s="120"/>
      <c r="P968" s="118"/>
      <c r="Q968" s="117"/>
      <c r="S968" s="2"/>
      <c r="T968" s="2"/>
    </row>
    <row r="969" spans="1:20" ht="15" customHeight="1">
      <c r="A969" s="163"/>
      <c r="B969" s="113"/>
      <c r="D969" s="113"/>
      <c r="F969" s="115"/>
      <c r="G969" s="116"/>
      <c r="H969" s="120"/>
      <c r="I969" s="120"/>
      <c r="J969" s="117"/>
      <c r="K969" s="118"/>
      <c r="L969" s="119"/>
      <c r="M969" s="120"/>
      <c r="N969" s="120"/>
      <c r="O969" s="120"/>
      <c r="P969" s="118"/>
      <c r="Q969" s="117"/>
      <c r="S969" s="2"/>
      <c r="T969" s="2"/>
    </row>
    <row r="970" spans="1:20" ht="15" customHeight="1">
      <c r="A970" s="163"/>
      <c r="B970" s="113"/>
      <c r="D970" s="113"/>
      <c r="F970" s="115"/>
      <c r="G970" s="116"/>
      <c r="H970" s="120"/>
      <c r="I970" s="120"/>
      <c r="J970" s="117"/>
      <c r="K970" s="118"/>
      <c r="L970" s="119"/>
      <c r="M970" s="120"/>
      <c r="N970" s="120"/>
      <c r="O970" s="120"/>
      <c r="P970" s="118"/>
      <c r="Q970" s="117"/>
      <c r="S970" s="2"/>
      <c r="T970" s="2"/>
    </row>
    <row r="971" spans="1:20" ht="15" customHeight="1">
      <c r="A971" s="163"/>
      <c r="B971" s="113"/>
      <c r="D971" s="113"/>
      <c r="F971" s="115"/>
      <c r="G971" s="116"/>
      <c r="H971" s="120"/>
      <c r="I971" s="120"/>
      <c r="J971" s="117"/>
      <c r="K971" s="118"/>
      <c r="L971" s="119"/>
      <c r="M971" s="120"/>
      <c r="N971" s="120"/>
      <c r="O971" s="120"/>
      <c r="P971" s="118"/>
      <c r="Q971" s="117"/>
      <c r="S971" s="2"/>
      <c r="T971" s="2"/>
    </row>
    <row r="972" spans="1:20" ht="15" customHeight="1">
      <c r="A972" s="163"/>
      <c r="B972" s="113"/>
      <c r="D972" s="113"/>
      <c r="F972" s="115"/>
      <c r="G972" s="116"/>
      <c r="H972" s="120"/>
      <c r="I972" s="120"/>
      <c r="J972" s="117"/>
      <c r="K972" s="118"/>
      <c r="L972" s="119"/>
      <c r="M972" s="120"/>
      <c r="N972" s="120"/>
      <c r="O972" s="120"/>
      <c r="P972" s="118"/>
      <c r="Q972" s="117"/>
      <c r="S972" s="2"/>
      <c r="T972" s="2"/>
    </row>
    <row r="973" spans="1:20" ht="15" customHeight="1">
      <c r="A973" s="163"/>
      <c r="B973" s="113"/>
      <c r="D973" s="113"/>
      <c r="F973" s="115"/>
      <c r="G973" s="116"/>
      <c r="H973" s="120"/>
      <c r="I973" s="120"/>
      <c r="J973" s="117"/>
      <c r="K973" s="118"/>
      <c r="L973" s="119"/>
      <c r="M973" s="120"/>
      <c r="N973" s="120"/>
      <c r="O973" s="120"/>
      <c r="P973" s="118"/>
      <c r="Q973" s="117"/>
      <c r="S973" s="2"/>
      <c r="T973" s="2"/>
    </row>
    <row r="974" spans="1:20" ht="15" customHeight="1">
      <c r="A974" s="163"/>
      <c r="B974" s="113"/>
      <c r="D974" s="113"/>
      <c r="F974" s="115"/>
      <c r="G974" s="116"/>
      <c r="H974" s="120"/>
      <c r="I974" s="120"/>
      <c r="J974" s="117"/>
      <c r="K974" s="118"/>
      <c r="L974" s="119"/>
      <c r="M974" s="120"/>
      <c r="N974" s="120"/>
      <c r="O974" s="120"/>
      <c r="P974" s="118"/>
      <c r="Q974" s="117"/>
      <c r="S974" s="2"/>
      <c r="T974" s="2"/>
    </row>
    <row r="975" spans="1:20" ht="15" customHeight="1">
      <c r="A975" s="163"/>
      <c r="B975" s="113"/>
      <c r="D975" s="113"/>
      <c r="F975" s="115"/>
      <c r="G975" s="116"/>
      <c r="H975" s="120"/>
      <c r="I975" s="120"/>
      <c r="J975" s="117"/>
      <c r="K975" s="118"/>
      <c r="L975" s="119"/>
      <c r="M975" s="120"/>
      <c r="N975" s="120"/>
      <c r="O975" s="120"/>
      <c r="P975" s="118"/>
      <c r="Q975" s="117"/>
      <c r="S975" s="2"/>
      <c r="T975" s="2"/>
    </row>
    <row r="976" spans="1:20" ht="15" customHeight="1">
      <c r="A976" s="163"/>
      <c r="B976" s="113"/>
      <c r="D976" s="113"/>
      <c r="F976" s="115"/>
      <c r="G976" s="116"/>
      <c r="H976" s="120"/>
      <c r="I976" s="120"/>
      <c r="J976" s="117"/>
      <c r="K976" s="118"/>
      <c r="L976" s="119"/>
      <c r="M976" s="120"/>
      <c r="N976" s="120"/>
      <c r="O976" s="120"/>
      <c r="P976" s="118"/>
      <c r="Q976" s="117"/>
      <c r="S976" s="2"/>
      <c r="T976" s="2"/>
    </row>
    <row r="977" spans="1:20" ht="15" customHeight="1">
      <c r="A977" s="163"/>
      <c r="B977" s="113"/>
      <c r="D977" s="113"/>
      <c r="F977" s="115"/>
      <c r="G977" s="116"/>
      <c r="H977" s="120"/>
      <c r="I977" s="120"/>
      <c r="J977" s="117"/>
      <c r="K977" s="118"/>
      <c r="L977" s="119"/>
      <c r="M977" s="120"/>
      <c r="N977" s="120"/>
      <c r="O977" s="120"/>
      <c r="P977" s="118"/>
      <c r="Q977" s="117"/>
      <c r="S977" s="2"/>
      <c r="T977" s="2"/>
    </row>
    <row r="978" spans="1:20" ht="15" customHeight="1">
      <c r="A978" s="163"/>
      <c r="B978" s="113"/>
      <c r="D978" s="113"/>
      <c r="F978" s="115"/>
      <c r="G978" s="116"/>
      <c r="H978" s="120"/>
      <c r="I978" s="120"/>
      <c r="J978" s="117"/>
      <c r="K978" s="118"/>
      <c r="L978" s="119"/>
      <c r="M978" s="120"/>
      <c r="N978" s="120"/>
      <c r="O978" s="120"/>
      <c r="P978" s="118"/>
      <c r="Q978" s="117"/>
      <c r="S978" s="2"/>
      <c r="T978" s="2"/>
    </row>
    <row r="979" spans="1:20" ht="15" customHeight="1">
      <c r="A979" s="163"/>
      <c r="B979" s="113"/>
      <c r="D979" s="113"/>
      <c r="F979" s="115"/>
      <c r="G979" s="116"/>
      <c r="H979" s="120"/>
      <c r="I979" s="120"/>
      <c r="J979" s="117"/>
      <c r="K979" s="118"/>
      <c r="L979" s="119"/>
      <c r="M979" s="120"/>
      <c r="N979" s="120"/>
      <c r="O979" s="120"/>
      <c r="P979" s="118"/>
      <c r="Q979" s="117"/>
      <c r="S979" s="2"/>
      <c r="T979" s="2"/>
    </row>
    <row r="980" spans="1:20" ht="15" customHeight="1">
      <c r="A980" s="163"/>
      <c r="B980" s="113"/>
      <c r="D980" s="113"/>
      <c r="F980" s="115"/>
      <c r="G980" s="116"/>
      <c r="H980" s="120"/>
      <c r="I980" s="120"/>
      <c r="J980" s="117"/>
      <c r="K980" s="118"/>
      <c r="L980" s="119"/>
      <c r="M980" s="120"/>
      <c r="N980" s="120"/>
      <c r="O980" s="120"/>
      <c r="P980" s="118"/>
      <c r="Q980" s="117"/>
      <c r="S980" s="2"/>
      <c r="T980" s="2"/>
    </row>
    <row r="981" spans="1:20" ht="15" customHeight="1">
      <c r="A981" s="163"/>
      <c r="B981" s="113"/>
      <c r="D981" s="113"/>
      <c r="F981" s="115"/>
      <c r="G981" s="116"/>
      <c r="H981" s="120"/>
      <c r="I981" s="120"/>
      <c r="J981" s="117"/>
      <c r="K981" s="118"/>
      <c r="L981" s="119"/>
      <c r="M981" s="120"/>
      <c r="N981" s="120"/>
      <c r="O981" s="120"/>
      <c r="P981" s="118"/>
      <c r="Q981" s="117"/>
      <c r="S981" s="2"/>
      <c r="T981" s="2"/>
    </row>
    <row r="982" spans="1:20" ht="15" customHeight="1">
      <c r="A982" s="163"/>
      <c r="B982" s="113"/>
      <c r="D982" s="113"/>
      <c r="F982" s="115"/>
      <c r="G982" s="116"/>
      <c r="H982" s="120"/>
      <c r="I982" s="120"/>
      <c r="J982" s="117"/>
      <c r="K982" s="118"/>
      <c r="L982" s="119"/>
      <c r="M982" s="120"/>
      <c r="N982" s="120"/>
      <c r="O982" s="120"/>
      <c r="P982" s="118"/>
      <c r="Q982" s="117"/>
      <c r="S982" s="2"/>
      <c r="T982" s="2"/>
    </row>
    <row r="983" spans="1:20" ht="15" customHeight="1">
      <c r="A983" s="163"/>
      <c r="B983" s="113"/>
      <c r="D983" s="113"/>
      <c r="F983" s="115"/>
      <c r="G983" s="116"/>
      <c r="H983" s="120"/>
      <c r="I983" s="120"/>
      <c r="J983" s="117"/>
      <c r="K983" s="118"/>
      <c r="L983" s="119"/>
      <c r="M983" s="120"/>
      <c r="N983" s="120"/>
      <c r="O983" s="120"/>
      <c r="P983" s="118"/>
      <c r="Q983" s="117"/>
      <c r="S983" s="2"/>
      <c r="T983" s="2"/>
    </row>
    <row r="984" spans="1:20" ht="15" customHeight="1">
      <c r="A984" s="163"/>
      <c r="B984" s="113"/>
      <c r="D984" s="113"/>
      <c r="F984" s="115"/>
      <c r="G984" s="116"/>
      <c r="H984" s="120"/>
      <c r="I984" s="120"/>
      <c r="J984" s="117"/>
      <c r="K984" s="118"/>
      <c r="L984" s="119"/>
      <c r="M984" s="120"/>
      <c r="N984" s="120"/>
      <c r="O984" s="120"/>
      <c r="P984" s="118"/>
      <c r="Q984" s="117"/>
      <c r="S984" s="2"/>
      <c r="T984" s="2"/>
    </row>
    <row r="985" spans="1:20" ht="15" customHeight="1">
      <c r="A985" s="163"/>
      <c r="B985" s="113"/>
      <c r="D985" s="113"/>
      <c r="F985" s="115"/>
      <c r="G985" s="116"/>
      <c r="H985" s="120"/>
      <c r="I985" s="120"/>
      <c r="J985" s="117"/>
      <c r="K985" s="118"/>
      <c r="L985" s="119"/>
      <c r="M985" s="120"/>
      <c r="N985" s="120"/>
      <c r="O985" s="120"/>
      <c r="P985" s="118"/>
      <c r="Q985" s="117"/>
      <c r="S985" s="2"/>
      <c r="T985" s="2"/>
    </row>
    <row r="986" spans="1:20" ht="15" customHeight="1">
      <c r="A986" s="163"/>
      <c r="B986" s="113"/>
      <c r="D986" s="113"/>
      <c r="F986" s="115"/>
      <c r="G986" s="116"/>
      <c r="H986" s="120"/>
      <c r="I986" s="120"/>
      <c r="J986" s="117"/>
      <c r="K986" s="118"/>
      <c r="L986" s="119"/>
      <c r="M986" s="120"/>
      <c r="N986" s="120"/>
      <c r="O986" s="120"/>
      <c r="P986" s="118"/>
      <c r="Q986" s="117"/>
      <c r="S986" s="2"/>
      <c r="T986" s="2"/>
    </row>
    <row r="987" spans="1:20" ht="15" customHeight="1">
      <c r="A987" s="163"/>
      <c r="B987" s="113"/>
      <c r="D987" s="113"/>
      <c r="F987" s="115"/>
      <c r="G987" s="116"/>
      <c r="H987" s="120"/>
      <c r="I987" s="120"/>
      <c r="J987" s="117"/>
      <c r="K987" s="118"/>
      <c r="L987" s="119"/>
      <c r="M987" s="120"/>
      <c r="N987" s="120"/>
      <c r="O987" s="120"/>
      <c r="P987" s="118"/>
      <c r="Q987" s="117"/>
      <c r="S987" s="2"/>
      <c r="T987" s="2"/>
    </row>
    <row r="988" spans="1:20" ht="15" customHeight="1">
      <c r="A988" s="163"/>
      <c r="B988" s="113"/>
      <c r="D988" s="113"/>
      <c r="F988" s="115"/>
      <c r="G988" s="116"/>
      <c r="H988" s="120"/>
      <c r="I988" s="120"/>
      <c r="J988" s="117"/>
      <c r="K988" s="118"/>
      <c r="L988" s="119"/>
      <c r="M988" s="120"/>
      <c r="N988" s="120"/>
      <c r="O988" s="120"/>
      <c r="P988" s="118"/>
      <c r="Q988" s="117"/>
      <c r="S988" s="2"/>
      <c r="T988" s="2"/>
    </row>
    <row r="989" spans="1:20" ht="15" customHeight="1">
      <c r="A989" s="163"/>
      <c r="B989" s="113"/>
      <c r="D989" s="113"/>
      <c r="F989" s="115"/>
      <c r="G989" s="116"/>
      <c r="H989" s="120"/>
      <c r="I989" s="120"/>
      <c r="J989" s="117"/>
      <c r="K989" s="118"/>
      <c r="L989" s="119"/>
      <c r="M989" s="120"/>
      <c r="N989" s="120"/>
      <c r="O989" s="120"/>
      <c r="P989" s="118"/>
      <c r="Q989" s="117"/>
      <c r="S989" s="2"/>
      <c r="T989" s="2"/>
    </row>
    <row r="990" spans="1:20" ht="15" customHeight="1">
      <c r="A990" s="163"/>
      <c r="B990" s="113"/>
      <c r="D990" s="113"/>
      <c r="F990" s="115"/>
      <c r="G990" s="116"/>
      <c r="H990" s="120"/>
      <c r="I990" s="120"/>
      <c r="J990" s="117"/>
      <c r="K990" s="118"/>
      <c r="L990" s="119"/>
      <c r="M990" s="120"/>
      <c r="N990" s="120"/>
      <c r="O990" s="120"/>
      <c r="P990" s="118"/>
      <c r="Q990" s="117"/>
      <c r="S990" s="2"/>
      <c r="T990" s="2"/>
    </row>
    <row r="991" spans="1:20" ht="15" customHeight="1">
      <c r="A991" s="163"/>
      <c r="B991" s="113"/>
      <c r="D991" s="113"/>
      <c r="F991" s="115"/>
      <c r="G991" s="116"/>
      <c r="H991" s="120"/>
      <c r="I991" s="120"/>
      <c r="J991" s="117"/>
      <c r="K991" s="118"/>
      <c r="L991" s="119"/>
      <c r="M991" s="120"/>
      <c r="N991" s="120"/>
      <c r="O991" s="120"/>
      <c r="P991" s="118"/>
      <c r="Q991" s="117"/>
      <c r="S991" s="2"/>
      <c r="T991" s="2"/>
    </row>
    <row r="992" spans="1:20" ht="15" customHeight="1">
      <c r="A992" s="163"/>
      <c r="B992" s="113"/>
      <c r="D992" s="113"/>
      <c r="F992" s="115"/>
      <c r="G992" s="116"/>
      <c r="H992" s="120"/>
      <c r="I992" s="120"/>
      <c r="J992" s="117"/>
      <c r="K992" s="118"/>
      <c r="L992" s="119"/>
      <c r="M992" s="120"/>
      <c r="N992" s="120"/>
      <c r="O992" s="120"/>
      <c r="P992" s="118"/>
      <c r="Q992" s="117"/>
      <c r="S992" s="2"/>
      <c r="T992" s="2"/>
    </row>
    <row r="993" spans="1:20" ht="15" customHeight="1">
      <c r="A993" s="163"/>
      <c r="B993" s="113"/>
      <c r="D993" s="113"/>
      <c r="F993" s="115"/>
      <c r="G993" s="116"/>
      <c r="H993" s="120"/>
      <c r="I993" s="120"/>
      <c r="J993" s="117"/>
      <c r="K993" s="118"/>
      <c r="L993" s="119"/>
      <c r="M993" s="120"/>
      <c r="N993" s="120"/>
      <c r="O993" s="120"/>
      <c r="P993" s="118"/>
      <c r="Q993" s="117"/>
      <c r="S993" s="2"/>
      <c r="T993" s="2"/>
    </row>
    <row r="994" spans="1:20" ht="15" customHeight="1">
      <c r="A994" s="163"/>
      <c r="B994" s="113"/>
      <c r="D994" s="113"/>
      <c r="F994" s="115"/>
      <c r="G994" s="116"/>
      <c r="H994" s="120"/>
      <c r="I994" s="120"/>
      <c r="J994" s="117"/>
      <c r="K994" s="118"/>
      <c r="L994" s="119"/>
      <c r="M994" s="120"/>
      <c r="N994" s="120"/>
      <c r="O994" s="120"/>
      <c r="P994" s="118"/>
      <c r="Q994" s="117"/>
      <c r="S994" s="2"/>
      <c r="T994" s="2"/>
    </row>
    <row r="995" spans="1:20" ht="15" customHeight="1">
      <c r="A995" s="163"/>
      <c r="B995" s="113"/>
      <c r="D995" s="113"/>
      <c r="F995" s="115"/>
      <c r="G995" s="116"/>
      <c r="H995" s="120"/>
      <c r="I995" s="120"/>
      <c r="J995" s="117"/>
      <c r="K995" s="118"/>
      <c r="L995" s="119"/>
      <c r="M995" s="120"/>
      <c r="N995" s="120"/>
      <c r="O995" s="120"/>
      <c r="P995" s="118"/>
      <c r="Q995" s="117"/>
      <c r="S995" s="2"/>
      <c r="T995" s="2"/>
    </row>
    <row r="996" spans="1:20" ht="15" customHeight="1">
      <c r="A996" s="163"/>
      <c r="B996" s="113"/>
      <c r="D996" s="113"/>
      <c r="F996" s="115"/>
      <c r="G996" s="116"/>
      <c r="H996" s="120"/>
      <c r="I996" s="120"/>
      <c r="J996" s="117"/>
      <c r="K996" s="118"/>
      <c r="L996" s="119"/>
      <c r="M996" s="120"/>
      <c r="N996" s="120"/>
      <c r="O996" s="120"/>
      <c r="P996" s="118"/>
      <c r="Q996" s="117"/>
      <c r="S996" s="2"/>
      <c r="T996" s="2"/>
    </row>
    <row r="997" spans="1:20" ht="15" customHeight="1">
      <c r="A997" s="163"/>
      <c r="B997" s="113"/>
      <c r="D997" s="113"/>
      <c r="F997" s="115"/>
      <c r="G997" s="116"/>
      <c r="H997" s="120"/>
      <c r="I997" s="120"/>
      <c r="J997" s="117"/>
      <c r="K997" s="118"/>
      <c r="L997" s="119"/>
      <c r="M997" s="120"/>
      <c r="N997" s="120"/>
      <c r="O997" s="120"/>
      <c r="P997" s="118"/>
      <c r="Q997" s="117"/>
      <c r="S997" s="2"/>
      <c r="T997" s="2"/>
    </row>
    <row r="998" spans="1:20" ht="15" customHeight="1">
      <c r="A998" s="163"/>
      <c r="B998" s="113"/>
      <c r="D998" s="113"/>
      <c r="F998" s="115"/>
      <c r="G998" s="116"/>
      <c r="H998" s="120"/>
      <c r="I998" s="120"/>
      <c r="J998" s="117"/>
      <c r="K998" s="118"/>
      <c r="L998" s="119"/>
      <c r="M998" s="120"/>
      <c r="N998" s="120"/>
      <c r="O998" s="120"/>
      <c r="P998" s="118"/>
      <c r="Q998" s="117"/>
      <c r="S998" s="2"/>
      <c r="T998" s="2"/>
    </row>
    <row r="999" spans="1:20" ht="15" customHeight="1">
      <c r="A999" s="163"/>
      <c r="B999" s="113"/>
      <c r="D999" s="113"/>
      <c r="F999" s="115"/>
      <c r="G999" s="116"/>
      <c r="H999" s="120"/>
      <c r="I999" s="120"/>
      <c r="J999" s="117"/>
      <c r="K999" s="118"/>
      <c r="L999" s="119"/>
      <c r="M999" s="120"/>
      <c r="N999" s="120"/>
      <c r="O999" s="120"/>
      <c r="P999" s="118"/>
      <c r="Q999" s="117"/>
      <c r="S999" s="2"/>
      <c r="T999" s="2"/>
    </row>
    <row r="1000" spans="1:20" ht="15" customHeight="1">
      <c r="A1000" s="163"/>
      <c r="B1000" s="113"/>
      <c r="D1000" s="113"/>
      <c r="F1000" s="115"/>
      <c r="G1000" s="116"/>
      <c r="H1000" s="120"/>
      <c r="I1000" s="120"/>
      <c r="J1000" s="117"/>
      <c r="K1000" s="118"/>
      <c r="L1000" s="119"/>
      <c r="M1000" s="120"/>
      <c r="N1000" s="120"/>
      <c r="O1000" s="120"/>
      <c r="P1000" s="118"/>
      <c r="Q1000" s="117"/>
      <c r="S1000" s="2"/>
      <c r="T1000" s="2"/>
    </row>
    <row r="1001" spans="1:20" ht="15" customHeight="1">
      <c r="A1001" s="163"/>
      <c r="B1001" s="113"/>
      <c r="D1001" s="113"/>
      <c r="F1001" s="115"/>
      <c r="G1001" s="116"/>
      <c r="H1001" s="120"/>
      <c r="I1001" s="120"/>
      <c r="J1001" s="117"/>
      <c r="K1001" s="118"/>
      <c r="L1001" s="119"/>
      <c r="M1001" s="120"/>
      <c r="N1001" s="120"/>
      <c r="O1001" s="120"/>
      <c r="P1001" s="118"/>
      <c r="Q1001" s="117"/>
      <c r="S1001" s="2"/>
      <c r="T1001" s="2"/>
    </row>
    <row r="1002" spans="1:20" ht="15" customHeight="1">
      <c r="A1002" s="163"/>
      <c r="B1002" s="113"/>
      <c r="D1002" s="113"/>
      <c r="F1002" s="115"/>
      <c r="G1002" s="116"/>
      <c r="H1002" s="120"/>
      <c r="I1002" s="120"/>
      <c r="J1002" s="117"/>
      <c r="K1002" s="118"/>
      <c r="L1002" s="119"/>
      <c r="M1002" s="120"/>
      <c r="N1002" s="120"/>
      <c r="O1002" s="120"/>
      <c r="P1002" s="118"/>
      <c r="Q1002" s="117"/>
      <c r="S1002" s="2"/>
      <c r="T1002" s="2"/>
    </row>
    <row r="1003" spans="1:20" ht="15" customHeight="1">
      <c r="A1003" s="163"/>
      <c r="B1003" s="113"/>
      <c r="D1003" s="113"/>
      <c r="F1003" s="115"/>
      <c r="G1003" s="116"/>
      <c r="H1003" s="120"/>
      <c r="I1003" s="120"/>
      <c r="J1003" s="117"/>
      <c r="K1003" s="118"/>
      <c r="L1003" s="119"/>
      <c r="M1003" s="120"/>
      <c r="N1003" s="120"/>
      <c r="O1003" s="120"/>
      <c r="P1003" s="118"/>
      <c r="Q1003" s="117"/>
      <c r="S1003" s="2"/>
      <c r="T1003" s="2"/>
    </row>
    <row r="1004" spans="1:20" ht="15" customHeight="1">
      <c r="A1004" s="163"/>
      <c r="B1004" s="113"/>
      <c r="D1004" s="113"/>
      <c r="F1004" s="115"/>
      <c r="G1004" s="116"/>
      <c r="H1004" s="120"/>
      <c r="I1004" s="120"/>
      <c r="J1004" s="117"/>
      <c r="K1004" s="118"/>
      <c r="L1004" s="119"/>
      <c r="M1004" s="120"/>
      <c r="N1004" s="120"/>
      <c r="O1004" s="120"/>
      <c r="P1004" s="118"/>
      <c r="Q1004" s="117"/>
      <c r="S1004" s="2"/>
      <c r="T1004" s="2"/>
    </row>
    <row r="1005" spans="1:20" ht="15" customHeight="1">
      <c r="A1005" s="163"/>
      <c r="B1005" s="113"/>
      <c r="D1005" s="113"/>
      <c r="F1005" s="115"/>
      <c r="G1005" s="116"/>
      <c r="H1005" s="120"/>
      <c r="I1005" s="120"/>
      <c r="J1005" s="117"/>
      <c r="K1005" s="118"/>
      <c r="L1005" s="119"/>
      <c r="M1005" s="120"/>
      <c r="N1005" s="120"/>
      <c r="O1005" s="120"/>
      <c r="P1005" s="118"/>
      <c r="Q1005" s="117"/>
      <c r="S1005" s="2"/>
      <c r="T1005" s="2"/>
    </row>
    <row r="1006" spans="1:20" ht="15" customHeight="1">
      <c r="A1006" s="163"/>
      <c r="B1006" s="113"/>
      <c r="D1006" s="113"/>
      <c r="F1006" s="115"/>
      <c r="G1006" s="116"/>
      <c r="H1006" s="120"/>
      <c r="I1006" s="120"/>
      <c r="J1006" s="117"/>
      <c r="K1006" s="118"/>
      <c r="L1006" s="119"/>
      <c r="M1006" s="120"/>
      <c r="N1006" s="120"/>
      <c r="O1006" s="120"/>
      <c r="P1006" s="118"/>
      <c r="Q1006" s="117"/>
      <c r="S1006" s="2"/>
      <c r="T1006" s="2"/>
    </row>
    <row r="1007" spans="1:20" ht="15" customHeight="1">
      <c r="A1007" s="163"/>
      <c r="B1007" s="113"/>
      <c r="D1007" s="113"/>
      <c r="F1007" s="115"/>
      <c r="G1007" s="116"/>
      <c r="H1007" s="120"/>
      <c r="I1007" s="120"/>
      <c r="J1007" s="117"/>
      <c r="K1007" s="118"/>
      <c r="L1007" s="119"/>
      <c r="M1007" s="120"/>
      <c r="N1007" s="120"/>
      <c r="O1007" s="120"/>
      <c r="P1007" s="118"/>
      <c r="Q1007" s="117"/>
      <c r="S1007" s="2"/>
      <c r="T1007" s="2"/>
    </row>
    <row r="1008" spans="1:20" ht="15" customHeight="1">
      <c r="A1008" s="163"/>
      <c r="B1008" s="113"/>
      <c r="D1008" s="113"/>
      <c r="F1008" s="115"/>
      <c r="G1008" s="116"/>
      <c r="H1008" s="120"/>
      <c r="I1008" s="120"/>
      <c r="J1008" s="117"/>
      <c r="K1008" s="118"/>
      <c r="L1008" s="119"/>
      <c r="M1008" s="120"/>
      <c r="N1008" s="120"/>
      <c r="O1008" s="120"/>
      <c r="P1008" s="118"/>
      <c r="Q1008" s="117"/>
      <c r="S1008" s="2"/>
      <c r="T1008" s="2"/>
    </row>
    <row r="1009" spans="1:20" ht="15" customHeight="1">
      <c r="A1009" s="163"/>
      <c r="B1009" s="113"/>
      <c r="D1009" s="113"/>
      <c r="F1009" s="115"/>
      <c r="G1009" s="116"/>
      <c r="H1009" s="120"/>
      <c r="I1009" s="120"/>
      <c r="J1009" s="117"/>
      <c r="K1009" s="118"/>
      <c r="L1009" s="119"/>
      <c r="M1009" s="120"/>
      <c r="N1009" s="120"/>
      <c r="O1009" s="120"/>
      <c r="P1009" s="118"/>
      <c r="Q1009" s="117"/>
      <c r="S1009" s="2"/>
      <c r="T1009" s="2"/>
    </row>
    <row r="1010" spans="1:20" ht="15" customHeight="1">
      <c r="A1010" s="163"/>
      <c r="B1010" s="113"/>
      <c r="D1010" s="113"/>
      <c r="F1010" s="115"/>
      <c r="G1010" s="116"/>
      <c r="H1010" s="120"/>
      <c r="I1010" s="120"/>
      <c r="J1010" s="117"/>
      <c r="K1010" s="118"/>
      <c r="L1010" s="119"/>
      <c r="M1010" s="120"/>
      <c r="N1010" s="120"/>
      <c r="O1010" s="120"/>
      <c r="P1010" s="118"/>
      <c r="Q1010" s="117"/>
      <c r="S1010" s="2"/>
      <c r="T1010" s="2"/>
    </row>
    <row r="1011" spans="1:20" ht="15" customHeight="1">
      <c r="A1011" s="163"/>
      <c r="B1011" s="113"/>
      <c r="D1011" s="113"/>
      <c r="F1011" s="115"/>
      <c r="G1011" s="116"/>
      <c r="H1011" s="120"/>
      <c r="I1011" s="120"/>
      <c r="J1011" s="117"/>
      <c r="K1011" s="118"/>
      <c r="L1011" s="119"/>
      <c r="M1011" s="120"/>
      <c r="N1011" s="120"/>
      <c r="O1011" s="120"/>
      <c r="P1011" s="118"/>
      <c r="Q1011" s="117"/>
      <c r="S1011" s="2"/>
      <c r="T1011" s="2"/>
    </row>
    <row r="1012" spans="1:20" ht="15" customHeight="1">
      <c r="A1012" s="163"/>
      <c r="B1012" s="113"/>
      <c r="D1012" s="113"/>
      <c r="F1012" s="115"/>
      <c r="G1012" s="116"/>
      <c r="H1012" s="120"/>
      <c r="I1012" s="120"/>
      <c r="J1012" s="117"/>
      <c r="K1012" s="118"/>
      <c r="L1012" s="119"/>
      <c r="M1012" s="120"/>
      <c r="N1012" s="120"/>
      <c r="O1012" s="120"/>
      <c r="P1012" s="118"/>
      <c r="Q1012" s="117"/>
      <c r="S1012" s="2"/>
      <c r="T1012" s="2"/>
    </row>
    <row r="1013" spans="1:20" ht="15" customHeight="1">
      <c r="A1013" s="163"/>
      <c r="B1013" s="113"/>
      <c r="D1013" s="113"/>
      <c r="F1013" s="115"/>
      <c r="G1013" s="116"/>
      <c r="H1013" s="120"/>
      <c r="I1013" s="120"/>
      <c r="J1013" s="117"/>
      <c r="K1013" s="118"/>
      <c r="L1013" s="119"/>
      <c r="M1013" s="120"/>
      <c r="N1013" s="120"/>
      <c r="O1013" s="120"/>
      <c r="P1013" s="118"/>
      <c r="Q1013" s="117"/>
      <c r="S1013" s="2"/>
      <c r="T1013" s="2"/>
    </row>
    <row r="1014" spans="1:20" ht="15" customHeight="1">
      <c r="A1014" s="163"/>
      <c r="B1014" s="113"/>
      <c r="D1014" s="113"/>
      <c r="F1014" s="115"/>
      <c r="G1014" s="116"/>
      <c r="H1014" s="120"/>
      <c r="I1014" s="120"/>
      <c r="J1014" s="117"/>
      <c r="K1014" s="118"/>
      <c r="L1014" s="119"/>
      <c r="M1014" s="120"/>
      <c r="N1014" s="120"/>
      <c r="O1014" s="120"/>
      <c r="P1014" s="118"/>
      <c r="Q1014" s="117"/>
      <c r="S1014" s="2"/>
      <c r="T1014" s="2"/>
    </row>
    <row r="1015" spans="1:20" ht="15" customHeight="1">
      <c r="A1015" s="163"/>
      <c r="B1015" s="113"/>
      <c r="D1015" s="113"/>
      <c r="F1015" s="115"/>
      <c r="G1015" s="116"/>
      <c r="H1015" s="120"/>
      <c r="I1015" s="120"/>
      <c r="J1015" s="117"/>
      <c r="K1015" s="118"/>
      <c r="L1015" s="119"/>
      <c r="M1015" s="120"/>
      <c r="N1015" s="120"/>
      <c r="O1015" s="120"/>
      <c r="P1015" s="118"/>
      <c r="Q1015" s="117"/>
      <c r="S1015" s="2"/>
      <c r="T1015" s="2"/>
    </row>
    <row r="1016" spans="1:20" ht="15" customHeight="1">
      <c r="A1016" s="163"/>
      <c r="B1016" s="113"/>
      <c r="D1016" s="113"/>
      <c r="F1016" s="115"/>
      <c r="G1016" s="116"/>
      <c r="H1016" s="120"/>
      <c r="I1016" s="120"/>
      <c r="J1016" s="117"/>
      <c r="K1016" s="118"/>
      <c r="L1016" s="119"/>
      <c r="M1016" s="120"/>
      <c r="N1016" s="120"/>
      <c r="O1016" s="120"/>
      <c r="P1016" s="118"/>
      <c r="Q1016" s="117"/>
      <c r="S1016" s="2"/>
      <c r="T1016" s="2"/>
    </row>
    <row r="1017" spans="1:20" ht="15" customHeight="1">
      <c r="A1017" s="163"/>
      <c r="B1017" s="113"/>
      <c r="D1017" s="113"/>
      <c r="F1017" s="115"/>
      <c r="G1017" s="116"/>
      <c r="H1017" s="120"/>
      <c r="I1017" s="120"/>
      <c r="J1017" s="117"/>
      <c r="K1017" s="118"/>
      <c r="L1017" s="119"/>
      <c r="M1017" s="120"/>
      <c r="N1017" s="120"/>
      <c r="O1017" s="120"/>
      <c r="P1017" s="118"/>
      <c r="Q1017" s="117"/>
      <c r="S1017" s="2"/>
      <c r="T1017" s="2"/>
    </row>
    <row r="1018" spans="1:20" ht="15" customHeight="1">
      <c r="A1018" s="163"/>
      <c r="B1018" s="113"/>
      <c r="D1018" s="113"/>
      <c r="F1018" s="115"/>
      <c r="G1018" s="116"/>
      <c r="H1018" s="120"/>
      <c r="I1018" s="120"/>
      <c r="J1018" s="117"/>
      <c r="K1018" s="118"/>
      <c r="L1018" s="119"/>
      <c r="M1018" s="120"/>
      <c r="N1018" s="120"/>
      <c r="O1018" s="120"/>
      <c r="P1018" s="118"/>
      <c r="Q1018" s="117"/>
      <c r="S1018" s="2"/>
      <c r="T1018" s="2"/>
    </row>
    <row r="1019" spans="1:20" ht="15" customHeight="1">
      <c r="A1019" s="163"/>
      <c r="B1019" s="113"/>
      <c r="D1019" s="113"/>
      <c r="F1019" s="115"/>
      <c r="G1019" s="116"/>
      <c r="H1019" s="120"/>
      <c r="I1019" s="120"/>
      <c r="J1019" s="117"/>
      <c r="K1019" s="118"/>
      <c r="L1019" s="119"/>
      <c r="M1019" s="120"/>
      <c r="N1019" s="120"/>
      <c r="O1019" s="120"/>
      <c r="P1019" s="118"/>
      <c r="Q1019" s="117"/>
      <c r="S1019" s="2"/>
      <c r="T1019" s="2"/>
    </row>
    <row r="1020" spans="1:20" ht="15" customHeight="1">
      <c r="A1020" s="163"/>
      <c r="B1020" s="113"/>
      <c r="D1020" s="113"/>
      <c r="F1020" s="115"/>
      <c r="G1020" s="116"/>
      <c r="H1020" s="120"/>
      <c r="I1020" s="120"/>
      <c r="J1020" s="117"/>
      <c r="K1020" s="118"/>
      <c r="L1020" s="119"/>
      <c r="M1020" s="120"/>
      <c r="N1020" s="120"/>
      <c r="O1020" s="120"/>
      <c r="P1020" s="118"/>
      <c r="Q1020" s="117"/>
      <c r="S1020" s="2"/>
      <c r="T1020" s="2"/>
    </row>
    <row r="1021" spans="1:20" ht="15" customHeight="1">
      <c r="A1021" s="163"/>
      <c r="B1021" s="113"/>
      <c r="D1021" s="113"/>
      <c r="F1021" s="115"/>
      <c r="G1021" s="116"/>
      <c r="H1021" s="120"/>
      <c r="I1021" s="120"/>
      <c r="J1021" s="117"/>
      <c r="K1021" s="118"/>
      <c r="L1021" s="119"/>
      <c r="M1021" s="120"/>
      <c r="N1021" s="120"/>
      <c r="O1021" s="120"/>
      <c r="P1021" s="118"/>
      <c r="Q1021" s="117"/>
      <c r="S1021" s="2"/>
      <c r="T1021" s="2"/>
    </row>
    <row r="1022" spans="1:20" ht="15" customHeight="1">
      <c r="A1022" s="163"/>
      <c r="B1022" s="113"/>
      <c r="D1022" s="113"/>
      <c r="F1022" s="115"/>
      <c r="G1022" s="116"/>
      <c r="H1022" s="120"/>
      <c r="I1022" s="120"/>
      <c r="J1022" s="117"/>
      <c r="K1022" s="118"/>
      <c r="L1022" s="119"/>
      <c r="M1022" s="120"/>
      <c r="N1022" s="120"/>
      <c r="O1022" s="120"/>
      <c r="P1022" s="118"/>
      <c r="Q1022" s="117"/>
      <c r="S1022" s="2"/>
      <c r="T1022" s="2"/>
    </row>
    <row r="1023" spans="1:20" ht="15" customHeight="1">
      <c r="A1023" s="163"/>
      <c r="B1023" s="113"/>
      <c r="D1023" s="113"/>
      <c r="F1023" s="115"/>
      <c r="G1023" s="116"/>
      <c r="H1023" s="120"/>
      <c r="I1023" s="120"/>
      <c r="J1023" s="117"/>
      <c r="K1023" s="118"/>
      <c r="L1023" s="119"/>
      <c r="M1023" s="120"/>
      <c r="N1023" s="120"/>
      <c r="O1023" s="120"/>
      <c r="P1023" s="118"/>
      <c r="Q1023" s="117"/>
      <c r="S1023" s="2"/>
      <c r="T1023" s="2"/>
    </row>
    <row r="1024" spans="1:20" ht="15" customHeight="1">
      <c r="A1024" s="163"/>
      <c r="B1024" s="113"/>
      <c r="D1024" s="113"/>
      <c r="F1024" s="115"/>
      <c r="G1024" s="116"/>
      <c r="H1024" s="120"/>
      <c r="I1024" s="120"/>
      <c r="J1024" s="117"/>
      <c r="K1024" s="118"/>
      <c r="L1024" s="119"/>
      <c r="M1024" s="120"/>
      <c r="N1024" s="120"/>
      <c r="O1024" s="120"/>
      <c r="P1024" s="118"/>
      <c r="Q1024" s="117"/>
      <c r="S1024" s="2"/>
      <c r="T1024" s="2"/>
    </row>
    <row r="1025" spans="1:20" ht="15" customHeight="1">
      <c r="A1025" s="163"/>
      <c r="B1025" s="113"/>
      <c r="D1025" s="113"/>
      <c r="F1025" s="115"/>
      <c r="G1025" s="116"/>
      <c r="H1025" s="120"/>
      <c r="I1025" s="120"/>
      <c r="J1025" s="117"/>
      <c r="K1025" s="118"/>
      <c r="L1025" s="119"/>
      <c r="M1025" s="120"/>
      <c r="N1025" s="120"/>
      <c r="O1025" s="120"/>
      <c r="P1025" s="118"/>
      <c r="Q1025" s="117"/>
      <c r="S1025" s="2"/>
      <c r="T1025" s="2"/>
    </row>
    <row r="1026" spans="1:20" ht="15" customHeight="1">
      <c r="A1026" s="163"/>
      <c r="B1026" s="113"/>
      <c r="D1026" s="113"/>
      <c r="F1026" s="115"/>
      <c r="G1026" s="116"/>
      <c r="H1026" s="120"/>
      <c r="I1026" s="120"/>
      <c r="J1026" s="117"/>
      <c r="K1026" s="118"/>
      <c r="L1026" s="119"/>
      <c r="M1026" s="120"/>
      <c r="N1026" s="120"/>
      <c r="O1026" s="120"/>
      <c r="P1026" s="118"/>
      <c r="Q1026" s="117"/>
      <c r="S1026" s="2"/>
      <c r="T1026" s="2"/>
    </row>
    <row r="1027" spans="1:20" ht="15" customHeight="1">
      <c r="A1027" s="163"/>
      <c r="B1027" s="113"/>
      <c r="D1027" s="113"/>
      <c r="F1027" s="115"/>
      <c r="G1027" s="116"/>
      <c r="H1027" s="120"/>
      <c r="I1027" s="120"/>
      <c r="J1027" s="117"/>
      <c r="K1027" s="118"/>
      <c r="L1027" s="119"/>
      <c r="M1027" s="120"/>
      <c r="N1027" s="120"/>
      <c r="O1027" s="120"/>
      <c r="P1027" s="118"/>
      <c r="Q1027" s="117"/>
      <c r="S1027" s="2"/>
      <c r="T1027" s="2"/>
    </row>
    <row r="1028" spans="1:20" ht="15" customHeight="1">
      <c r="A1028" s="163"/>
      <c r="B1028" s="113"/>
      <c r="D1028" s="113"/>
      <c r="F1028" s="115"/>
      <c r="G1028" s="116"/>
      <c r="H1028" s="120"/>
      <c r="I1028" s="120"/>
      <c r="J1028" s="117"/>
      <c r="K1028" s="118"/>
      <c r="L1028" s="119"/>
      <c r="M1028" s="120"/>
      <c r="N1028" s="120"/>
      <c r="O1028" s="120"/>
      <c r="P1028" s="118"/>
      <c r="Q1028" s="117"/>
      <c r="S1028" s="2"/>
      <c r="T1028" s="2"/>
    </row>
    <row r="1029" spans="1:20" ht="15" customHeight="1">
      <c r="A1029" s="163"/>
      <c r="B1029" s="113"/>
      <c r="D1029" s="113"/>
      <c r="F1029" s="115"/>
      <c r="G1029" s="116"/>
      <c r="H1029" s="120"/>
      <c r="I1029" s="120"/>
      <c r="J1029" s="117"/>
      <c r="K1029" s="118"/>
      <c r="L1029" s="119"/>
      <c r="M1029" s="120"/>
      <c r="N1029" s="120"/>
      <c r="O1029" s="120"/>
      <c r="P1029" s="118"/>
      <c r="Q1029" s="117"/>
      <c r="S1029" s="2"/>
      <c r="T1029" s="2"/>
    </row>
    <row r="1030" spans="1:20" ht="15" customHeight="1">
      <c r="A1030" s="163"/>
      <c r="B1030" s="113"/>
      <c r="D1030" s="113"/>
      <c r="F1030" s="115"/>
      <c r="G1030" s="116"/>
      <c r="H1030" s="120"/>
      <c r="I1030" s="120"/>
      <c r="J1030" s="117"/>
      <c r="K1030" s="118"/>
      <c r="L1030" s="119"/>
      <c r="M1030" s="120"/>
      <c r="N1030" s="120"/>
      <c r="O1030" s="120"/>
      <c r="P1030" s="118"/>
      <c r="Q1030" s="117"/>
      <c r="S1030" s="2"/>
      <c r="T1030" s="2"/>
    </row>
    <row r="1031" spans="1:20" ht="15" customHeight="1">
      <c r="A1031" s="163"/>
      <c r="B1031" s="113"/>
      <c r="D1031" s="113"/>
      <c r="F1031" s="115"/>
      <c r="G1031" s="116"/>
      <c r="H1031" s="120"/>
      <c r="I1031" s="120"/>
      <c r="J1031" s="117"/>
      <c r="K1031" s="118"/>
      <c r="L1031" s="119"/>
      <c r="M1031" s="120"/>
      <c r="N1031" s="120"/>
      <c r="O1031" s="120"/>
      <c r="P1031" s="118"/>
      <c r="Q1031" s="117"/>
      <c r="S1031" s="2"/>
      <c r="T1031" s="2"/>
    </row>
    <row r="1032" spans="1:20" ht="15" customHeight="1">
      <c r="A1032" s="163"/>
      <c r="B1032" s="113"/>
      <c r="D1032" s="113"/>
      <c r="F1032" s="115"/>
      <c r="G1032" s="116"/>
      <c r="H1032" s="120"/>
      <c r="I1032" s="120"/>
      <c r="J1032" s="117"/>
      <c r="K1032" s="118"/>
      <c r="L1032" s="119"/>
      <c r="M1032" s="120"/>
      <c r="N1032" s="120"/>
      <c r="O1032" s="120"/>
      <c r="P1032" s="118"/>
      <c r="Q1032" s="117"/>
      <c r="S1032" s="2"/>
      <c r="T1032" s="2"/>
    </row>
    <row r="1033" spans="1:20" ht="15" customHeight="1">
      <c r="A1033" s="163"/>
      <c r="B1033" s="113"/>
      <c r="D1033" s="113"/>
      <c r="F1033" s="115"/>
      <c r="G1033" s="116"/>
      <c r="H1033" s="120"/>
      <c r="I1033" s="120"/>
      <c r="J1033" s="117"/>
      <c r="K1033" s="118"/>
      <c r="L1033" s="119"/>
      <c r="M1033" s="120"/>
      <c r="N1033" s="120"/>
      <c r="O1033" s="120"/>
      <c r="P1033" s="118"/>
      <c r="Q1033" s="117"/>
      <c r="S1033" s="2"/>
      <c r="T1033" s="2"/>
    </row>
    <row r="1034" spans="1:20" ht="15" customHeight="1">
      <c r="A1034" s="163"/>
      <c r="B1034" s="113"/>
      <c r="D1034" s="113"/>
      <c r="F1034" s="115"/>
      <c r="G1034" s="116"/>
      <c r="H1034" s="120"/>
      <c r="I1034" s="120"/>
      <c r="J1034" s="117"/>
      <c r="K1034" s="118"/>
      <c r="L1034" s="119"/>
      <c r="M1034" s="120"/>
      <c r="N1034" s="120"/>
      <c r="O1034" s="120"/>
      <c r="P1034" s="118"/>
      <c r="Q1034" s="117"/>
      <c r="S1034" s="2"/>
      <c r="T1034" s="2"/>
    </row>
    <row r="1035" spans="1:20" ht="15" customHeight="1">
      <c r="A1035" s="163"/>
      <c r="B1035" s="113"/>
      <c r="D1035" s="113"/>
      <c r="F1035" s="115"/>
      <c r="G1035" s="116"/>
      <c r="H1035" s="120"/>
      <c r="I1035" s="120"/>
      <c r="J1035" s="117"/>
      <c r="K1035" s="118"/>
      <c r="L1035" s="119"/>
      <c r="M1035" s="120"/>
      <c r="N1035" s="120"/>
      <c r="O1035" s="120"/>
      <c r="P1035" s="118"/>
      <c r="Q1035" s="117"/>
      <c r="S1035" s="2"/>
      <c r="T1035" s="2"/>
    </row>
    <row r="1036" spans="1:20" ht="15" customHeight="1">
      <c r="A1036" s="163"/>
      <c r="B1036" s="113"/>
      <c r="D1036" s="113"/>
      <c r="F1036" s="115"/>
      <c r="G1036" s="116"/>
      <c r="H1036" s="120"/>
      <c r="I1036" s="120"/>
      <c r="J1036" s="117"/>
      <c r="K1036" s="118"/>
      <c r="L1036" s="119"/>
      <c r="M1036" s="120"/>
      <c r="N1036" s="120"/>
      <c r="O1036" s="120"/>
      <c r="P1036" s="118"/>
      <c r="Q1036" s="117"/>
      <c r="S1036" s="2"/>
      <c r="T1036" s="2"/>
    </row>
    <row r="1037" spans="1:20" ht="15" customHeight="1">
      <c r="A1037" s="163"/>
      <c r="B1037" s="113"/>
      <c r="D1037" s="113"/>
      <c r="F1037" s="115"/>
      <c r="G1037" s="116"/>
      <c r="H1037" s="120"/>
      <c r="I1037" s="120"/>
      <c r="J1037" s="117"/>
      <c r="K1037" s="118"/>
      <c r="L1037" s="119"/>
      <c r="M1037" s="120"/>
      <c r="N1037" s="120"/>
      <c r="O1037" s="120"/>
      <c r="P1037" s="118"/>
      <c r="Q1037" s="117"/>
      <c r="S1037" s="2"/>
      <c r="T1037" s="2"/>
    </row>
    <row r="1038" spans="1:20" ht="15" customHeight="1">
      <c r="A1038" s="163"/>
      <c r="B1038" s="113"/>
      <c r="D1038" s="113"/>
      <c r="F1038" s="115"/>
      <c r="G1038" s="116"/>
      <c r="H1038" s="120"/>
      <c r="I1038" s="120"/>
      <c r="J1038" s="117"/>
      <c r="K1038" s="118"/>
      <c r="L1038" s="119"/>
      <c r="M1038" s="120"/>
      <c r="N1038" s="120"/>
      <c r="O1038" s="120"/>
      <c r="P1038" s="118"/>
      <c r="Q1038" s="117"/>
      <c r="S1038" s="2"/>
      <c r="T1038" s="2"/>
    </row>
    <row r="1039" spans="1:20" ht="15" customHeight="1">
      <c r="A1039" s="163"/>
      <c r="B1039" s="113"/>
      <c r="D1039" s="113"/>
      <c r="F1039" s="115"/>
      <c r="G1039" s="116"/>
      <c r="H1039" s="120"/>
      <c r="I1039" s="120"/>
      <c r="J1039" s="117"/>
      <c r="K1039" s="118"/>
      <c r="L1039" s="119"/>
      <c r="M1039" s="120"/>
      <c r="N1039" s="120"/>
      <c r="O1039" s="120"/>
      <c r="P1039" s="118"/>
      <c r="Q1039" s="117"/>
      <c r="S1039" s="2"/>
      <c r="T1039" s="2"/>
    </row>
    <row r="1040" spans="1:20" ht="15" customHeight="1">
      <c r="A1040" s="163"/>
      <c r="B1040" s="113"/>
      <c r="D1040" s="113"/>
      <c r="F1040" s="115"/>
      <c r="G1040" s="116"/>
      <c r="H1040" s="120"/>
      <c r="I1040" s="120"/>
      <c r="J1040" s="117"/>
      <c r="K1040" s="118"/>
      <c r="L1040" s="119"/>
      <c r="M1040" s="120"/>
      <c r="N1040" s="120"/>
      <c r="O1040" s="120"/>
      <c r="P1040" s="118"/>
      <c r="Q1040" s="117"/>
      <c r="S1040" s="2"/>
      <c r="T1040" s="2"/>
    </row>
    <row r="1041" spans="1:20" ht="15" customHeight="1">
      <c r="A1041" s="163"/>
      <c r="B1041" s="113"/>
      <c r="D1041" s="113"/>
      <c r="F1041" s="115"/>
      <c r="G1041" s="116"/>
      <c r="H1041" s="120"/>
      <c r="I1041" s="120"/>
      <c r="J1041" s="117"/>
      <c r="K1041" s="118"/>
      <c r="L1041" s="119"/>
      <c r="M1041" s="120"/>
      <c r="N1041" s="120"/>
      <c r="O1041" s="120"/>
      <c r="P1041" s="118"/>
      <c r="Q1041" s="117"/>
      <c r="S1041" s="2"/>
      <c r="T1041" s="2"/>
    </row>
    <row r="1042" spans="1:20" ht="15" customHeight="1">
      <c r="A1042" s="163"/>
      <c r="B1042" s="113"/>
      <c r="D1042" s="113"/>
      <c r="F1042" s="115"/>
      <c r="G1042" s="116"/>
      <c r="H1042" s="120"/>
      <c r="I1042" s="120"/>
      <c r="J1042" s="117"/>
      <c r="K1042" s="118"/>
      <c r="L1042" s="119"/>
      <c r="M1042" s="120"/>
      <c r="N1042" s="120"/>
      <c r="O1042" s="120"/>
      <c r="P1042" s="118"/>
      <c r="Q1042" s="117"/>
      <c r="S1042" s="2"/>
      <c r="T1042" s="2"/>
    </row>
    <row r="1043" spans="1:20" ht="15" customHeight="1">
      <c r="A1043" s="163"/>
      <c r="B1043" s="113"/>
      <c r="D1043" s="113"/>
      <c r="F1043" s="115"/>
      <c r="G1043" s="116"/>
      <c r="H1043" s="120"/>
      <c r="I1043" s="120"/>
      <c r="J1043" s="117"/>
      <c r="K1043" s="118"/>
      <c r="L1043" s="119"/>
      <c r="M1043" s="120"/>
      <c r="N1043" s="120"/>
      <c r="O1043" s="120"/>
      <c r="P1043" s="118"/>
      <c r="Q1043" s="117"/>
      <c r="S1043" s="2"/>
      <c r="T1043" s="2"/>
    </row>
    <row r="1044" spans="1:20" ht="15" customHeight="1">
      <c r="A1044" s="163"/>
      <c r="B1044" s="113"/>
      <c r="D1044" s="113"/>
      <c r="F1044" s="115"/>
      <c r="G1044" s="116"/>
      <c r="H1044" s="120"/>
      <c r="I1044" s="120"/>
      <c r="J1044" s="117"/>
      <c r="K1044" s="118"/>
      <c r="L1044" s="119"/>
      <c r="M1044" s="120"/>
      <c r="N1044" s="120"/>
      <c r="O1044" s="120"/>
      <c r="P1044" s="118"/>
      <c r="Q1044" s="117"/>
      <c r="S1044" s="2"/>
      <c r="T1044" s="2"/>
    </row>
    <row r="1045" spans="1:20" ht="15" customHeight="1">
      <c r="A1045" s="163"/>
      <c r="B1045" s="113"/>
      <c r="D1045" s="113"/>
      <c r="F1045" s="115"/>
      <c r="G1045" s="116"/>
      <c r="H1045" s="120"/>
      <c r="I1045" s="120"/>
      <c r="J1045" s="117"/>
      <c r="K1045" s="118"/>
      <c r="L1045" s="119"/>
      <c r="M1045" s="120"/>
      <c r="N1045" s="120"/>
      <c r="O1045" s="120"/>
      <c r="P1045" s="118"/>
      <c r="Q1045" s="117"/>
      <c r="S1045" s="2"/>
      <c r="T1045" s="2"/>
    </row>
    <row r="1046" spans="1:20" ht="15" customHeight="1">
      <c r="A1046" s="163"/>
      <c r="B1046" s="113"/>
      <c r="D1046" s="113"/>
      <c r="F1046" s="115"/>
      <c r="G1046" s="116"/>
      <c r="H1046" s="120"/>
      <c r="I1046" s="120"/>
      <c r="J1046" s="117"/>
      <c r="K1046" s="118"/>
      <c r="L1046" s="119"/>
      <c r="M1046" s="120"/>
      <c r="N1046" s="120"/>
      <c r="O1046" s="120"/>
      <c r="P1046" s="118"/>
      <c r="Q1046" s="117"/>
      <c r="S1046" s="2"/>
      <c r="T1046" s="2"/>
    </row>
    <row r="1047" spans="1:20" ht="15" customHeight="1">
      <c r="A1047" s="163"/>
      <c r="B1047" s="113"/>
      <c r="D1047" s="113"/>
      <c r="F1047" s="115"/>
      <c r="G1047" s="116"/>
      <c r="H1047" s="120"/>
      <c r="I1047" s="120"/>
      <c r="J1047" s="117"/>
      <c r="K1047" s="118"/>
      <c r="L1047" s="119"/>
      <c r="M1047" s="120"/>
      <c r="N1047" s="120"/>
      <c r="O1047" s="120"/>
      <c r="P1047" s="118"/>
      <c r="Q1047" s="117"/>
      <c r="S1047" s="2"/>
      <c r="T1047" s="2"/>
    </row>
    <row r="1048" spans="1:20" ht="15" customHeight="1">
      <c r="A1048" s="163"/>
      <c r="B1048" s="113"/>
      <c r="D1048" s="113"/>
      <c r="F1048" s="115"/>
      <c r="G1048" s="116"/>
      <c r="H1048" s="120"/>
      <c r="I1048" s="120"/>
      <c r="J1048" s="117"/>
      <c r="K1048" s="118"/>
      <c r="L1048" s="119"/>
      <c r="M1048" s="120"/>
      <c r="N1048" s="120"/>
      <c r="O1048" s="120"/>
      <c r="P1048" s="118"/>
      <c r="Q1048" s="117"/>
      <c r="S1048" s="2"/>
      <c r="T1048" s="2"/>
    </row>
    <row r="1049" spans="1:20" ht="15" customHeight="1">
      <c r="A1049" s="163"/>
      <c r="B1049" s="113"/>
      <c r="D1049" s="113"/>
      <c r="F1049" s="115"/>
      <c r="G1049" s="116"/>
      <c r="H1049" s="120"/>
      <c r="I1049" s="120"/>
      <c r="J1049" s="117"/>
      <c r="K1049" s="118"/>
      <c r="L1049" s="119"/>
      <c r="M1049" s="120"/>
      <c r="N1049" s="120"/>
      <c r="O1049" s="120"/>
      <c r="P1049" s="118"/>
      <c r="Q1049" s="117"/>
      <c r="S1049" s="2"/>
      <c r="T1049" s="2"/>
    </row>
    <row r="1050" spans="1:20" ht="15" customHeight="1">
      <c r="A1050" s="163"/>
      <c r="B1050" s="113"/>
      <c r="D1050" s="113"/>
      <c r="F1050" s="115"/>
      <c r="G1050" s="116"/>
      <c r="H1050" s="120"/>
      <c r="I1050" s="120"/>
      <c r="J1050" s="117"/>
      <c r="K1050" s="118"/>
      <c r="L1050" s="119"/>
      <c r="M1050" s="120"/>
      <c r="N1050" s="120"/>
      <c r="O1050" s="120"/>
      <c r="P1050" s="118"/>
      <c r="Q1050" s="117"/>
      <c r="S1050" s="2"/>
      <c r="T1050" s="2"/>
    </row>
    <row r="1051" spans="1:20" ht="15" customHeight="1">
      <c r="A1051" s="163"/>
      <c r="B1051" s="113"/>
      <c r="D1051" s="113"/>
      <c r="F1051" s="115"/>
      <c r="G1051" s="116"/>
      <c r="H1051" s="120"/>
      <c r="I1051" s="120"/>
      <c r="J1051" s="117"/>
      <c r="K1051" s="118"/>
      <c r="L1051" s="119"/>
      <c r="M1051" s="120"/>
      <c r="N1051" s="120"/>
      <c r="O1051" s="120"/>
      <c r="P1051" s="118"/>
      <c r="Q1051" s="117"/>
      <c r="S1051" s="2"/>
      <c r="T1051" s="2"/>
    </row>
    <row r="1052" spans="1:20" ht="15" customHeight="1">
      <c r="A1052" s="163"/>
      <c r="B1052" s="113"/>
      <c r="D1052" s="113"/>
      <c r="F1052" s="115"/>
      <c r="G1052" s="116"/>
      <c r="H1052" s="120"/>
      <c r="I1052" s="120"/>
      <c r="J1052" s="117"/>
      <c r="K1052" s="118"/>
      <c r="L1052" s="119"/>
      <c r="M1052" s="120"/>
      <c r="N1052" s="120"/>
      <c r="O1052" s="120"/>
      <c r="P1052" s="118"/>
      <c r="Q1052" s="117"/>
      <c r="S1052" s="2"/>
      <c r="T1052" s="2"/>
    </row>
    <row r="1053" spans="1:20" ht="15" customHeight="1">
      <c r="A1053" s="163"/>
      <c r="B1053" s="113"/>
      <c r="D1053" s="113"/>
      <c r="F1053" s="115"/>
      <c r="G1053" s="116"/>
      <c r="H1053" s="120"/>
      <c r="I1053" s="120"/>
      <c r="J1053" s="117"/>
      <c r="K1053" s="118"/>
      <c r="L1053" s="119"/>
      <c r="M1053" s="120"/>
      <c r="N1053" s="120"/>
      <c r="O1053" s="120"/>
      <c r="P1053" s="118"/>
      <c r="Q1053" s="117"/>
      <c r="S1053" s="2"/>
      <c r="T1053" s="2"/>
    </row>
    <row r="1054" spans="1:20" ht="15" customHeight="1">
      <c r="A1054" s="163"/>
      <c r="B1054" s="113"/>
      <c r="D1054" s="113"/>
      <c r="F1054" s="115"/>
      <c r="G1054" s="116"/>
      <c r="H1054" s="120"/>
      <c r="I1054" s="120"/>
      <c r="J1054" s="117"/>
      <c r="K1054" s="118"/>
      <c r="L1054" s="119"/>
      <c r="M1054" s="120"/>
      <c r="N1054" s="120"/>
      <c r="O1054" s="120"/>
      <c r="P1054" s="118"/>
      <c r="Q1054" s="117"/>
      <c r="S1054" s="2"/>
      <c r="T1054" s="2"/>
    </row>
    <row r="1055" spans="1:20" ht="15" customHeight="1">
      <c r="A1055" s="163"/>
      <c r="B1055" s="113"/>
      <c r="D1055" s="113"/>
      <c r="F1055" s="115"/>
      <c r="G1055" s="116"/>
      <c r="H1055" s="120"/>
      <c r="I1055" s="120"/>
      <c r="J1055" s="117"/>
      <c r="K1055" s="118"/>
      <c r="L1055" s="119"/>
      <c r="M1055" s="120"/>
      <c r="N1055" s="120"/>
      <c r="O1055" s="120"/>
      <c r="P1055" s="118"/>
      <c r="Q1055" s="117"/>
      <c r="S1055" s="2"/>
      <c r="T1055" s="2"/>
    </row>
    <row r="1056" spans="1:20" ht="15" customHeight="1">
      <c r="A1056" s="163"/>
      <c r="B1056" s="113"/>
      <c r="D1056" s="113"/>
      <c r="F1056" s="115"/>
      <c r="G1056" s="116"/>
      <c r="H1056" s="120"/>
      <c r="I1056" s="120"/>
      <c r="J1056" s="117"/>
      <c r="K1056" s="118"/>
      <c r="L1056" s="119"/>
      <c r="M1056" s="120"/>
      <c r="N1056" s="120"/>
      <c r="O1056" s="120"/>
      <c r="P1056" s="118"/>
      <c r="Q1056" s="117"/>
      <c r="S1056" s="2"/>
      <c r="T1056" s="2"/>
    </row>
    <row r="1057" spans="1:20" ht="15" customHeight="1">
      <c r="A1057" s="163"/>
      <c r="B1057" s="113"/>
      <c r="D1057" s="113"/>
      <c r="F1057" s="115"/>
      <c r="G1057" s="116"/>
      <c r="H1057" s="120"/>
      <c r="I1057" s="120"/>
      <c r="J1057" s="117"/>
      <c r="K1057" s="118"/>
      <c r="L1057" s="119"/>
      <c r="M1057" s="120"/>
      <c r="N1057" s="120"/>
      <c r="O1057" s="120"/>
      <c r="P1057" s="118"/>
      <c r="Q1057" s="117"/>
      <c r="S1057" s="2"/>
      <c r="T1057" s="2"/>
    </row>
    <row r="1058" spans="1:20" ht="15" customHeight="1">
      <c r="A1058" s="163"/>
      <c r="B1058" s="113"/>
      <c r="D1058" s="113"/>
      <c r="F1058" s="115"/>
      <c r="G1058" s="116"/>
      <c r="H1058" s="120"/>
      <c r="I1058" s="120"/>
      <c r="J1058" s="117"/>
      <c r="K1058" s="118"/>
      <c r="L1058" s="119"/>
      <c r="M1058" s="120"/>
      <c r="N1058" s="120"/>
      <c r="O1058" s="120"/>
      <c r="P1058" s="118"/>
      <c r="Q1058" s="117"/>
      <c r="S1058" s="2"/>
      <c r="T1058" s="2"/>
    </row>
    <row r="1059" spans="1:20" ht="15" customHeight="1">
      <c r="A1059" s="163"/>
      <c r="B1059" s="113"/>
      <c r="D1059" s="113"/>
      <c r="F1059" s="115"/>
      <c r="G1059" s="116"/>
      <c r="H1059" s="120"/>
      <c r="I1059" s="120"/>
      <c r="J1059" s="117"/>
      <c r="K1059" s="118"/>
      <c r="L1059" s="119"/>
      <c r="M1059" s="120"/>
      <c r="N1059" s="120"/>
      <c r="O1059" s="120"/>
      <c r="P1059" s="118"/>
      <c r="Q1059" s="117"/>
      <c r="S1059" s="2"/>
      <c r="T1059" s="2"/>
    </row>
    <row r="1060" spans="1:20" ht="15" customHeight="1">
      <c r="A1060" s="163"/>
      <c r="B1060" s="113"/>
      <c r="D1060" s="113"/>
      <c r="F1060" s="115"/>
      <c r="G1060" s="116"/>
      <c r="H1060" s="120"/>
      <c r="I1060" s="120"/>
      <c r="J1060" s="117"/>
      <c r="K1060" s="118"/>
      <c r="L1060" s="119"/>
      <c r="M1060" s="120"/>
      <c r="N1060" s="120"/>
      <c r="O1060" s="120"/>
      <c r="P1060" s="118"/>
      <c r="Q1060" s="117"/>
      <c r="S1060" s="2"/>
      <c r="T1060" s="2"/>
    </row>
    <row r="1061" spans="1:20" ht="15" customHeight="1">
      <c r="A1061" s="163"/>
      <c r="B1061" s="113"/>
      <c r="D1061" s="113"/>
      <c r="F1061" s="115"/>
      <c r="G1061" s="116"/>
      <c r="H1061" s="120"/>
      <c r="I1061" s="120"/>
      <c r="J1061" s="117"/>
      <c r="K1061" s="118"/>
      <c r="L1061" s="119"/>
      <c r="M1061" s="120"/>
      <c r="N1061" s="120"/>
      <c r="O1061" s="120"/>
      <c r="P1061" s="118"/>
      <c r="Q1061" s="117"/>
      <c r="S1061" s="2"/>
      <c r="T1061" s="2"/>
    </row>
    <row r="1062" spans="1:20" ht="15" customHeight="1">
      <c r="A1062" s="163"/>
      <c r="B1062" s="113"/>
      <c r="D1062" s="113"/>
      <c r="F1062" s="115"/>
      <c r="G1062" s="116"/>
      <c r="H1062" s="120"/>
      <c r="I1062" s="120"/>
      <c r="J1062" s="117"/>
      <c r="K1062" s="118"/>
      <c r="L1062" s="119"/>
      <c r="M1062" s="120"/>
      <c r="N1062" s="120"/>
      <c r="O1062" s="120"/>
      <c r="P1062" s="118"/>
      <c r="Q1062" s="117"/>
      <c r="S1062" s="2"/>
      <c r="T1062" s="2"/>
    </row>
    <row r="1063" spans="1:20" ht="15" customHeight="1">
      <c r="A1063" s="163"/>
      <c r="B1063" s="113"/>
      <c r="D1063" s="113"/>
      <c r="F1063" s="115"/>
      <c r="G1063" s="116"/>
      <c r="H1063" s="120"/>
      <c r="I1063" s="120"/>
      <c r="J1063" s="117"/>
      <c r="K1063" s="118"/>
      <c r="L1063" s="119"/>
      <c r="M1063" s="120"/>
      <c r="N1063" s="120"/>
      <c r="O1063" s="120"/>
      <c r="P1063" s="118"/>
      <c r="Q1063" s="117"/>
      <c r="S1063" s="2"/>
      <c r="T1063" s="2"/>
    </row>
    <row r="1064" spans="1:20" ht="15" customHeight="1">
      <c r="A1064" s="163"/>
      <c r="B1064" s="113"/>
      <c r="D1064" s="113"/>
      <c r="F1064" s="115"/>
      <c r="G1064" s="116"/>
      <c r="H1064" s="120"/>
      <c r="I1064" s="120"/>
      <c r="J1064" s="117"/>
      <c r="K1064" s="118"/>
      <c r="L1064" s="119"/>
      <c r="M1064" s="120"/>
      <c r="N1064" s="120"/>
      <c r="O1064" s="120"/>
      <c r="P1064" s="118"/>
      <c r="Q1064" s="117"/>
      <c r="S1064" s="2"/>
      <c r="T1064" s="2"/>
    </row>
    <row r="1065" spans="1:20" ht="15" customHeight="1">
      <c r="A1065" s="163"/>
      <c r="B1065" s="113"/>
      <c r="D1065" s="113"/>
      <c r="F1065" s="115"/>
      <c r="G1065" s="116"/>
      <c r="H1065" s="120"/>
      <c r="I1065" s="120"/>
      <c r="J1065" s="117"/>
      <c r="K1065" s="118"/>
      <c r="L1065" s="119"/>
      <c r="M1065" s="120"/>
      <c r="N1065" s="120"/>
      <c r="O1065" s="120"/>
      <c r="P1065" s="118"/>
      <c r="Q1065" s="117"/>
      <c r="S1065" s="2"/>
      <c r="T1065" s="2"/>
    </row>
    <row r="1066" spans="1:20" ht="15" customHeight="1">
      <c r="A1066" s="163"/>
      <c r="B1066" s="113"/>
      <c r="D1066" s="113"/>
      <c r="F1066" s="115"/>
      <c r="G1066" s="116"/>
      <c r="H1066" s="120"/>
      <c r="I1066" s="120"/>
      <c r="J1066" s="117"/>
      <c r="K1066" s="118"/>
      <c r="L1066" s="119"/>
      <c r="M1066" s="120"/>
      <c r="N1066" s="120"/>
      <c r="O1066" s="120"/>
      <c r="P1066" s="118"/>
      <c r="Q1066" s="117"/>
      <c r="S1066" s="2"/>
      <c r="T1066" s="2"/>
    </row>
    <row r="1067" spans="1:20" ht="15" customHeight="1">
      <c r="A1067" s="163"/>
      <c r="B1067" s="113"/>
      <c r="D1067" s="113"/>
      <c r="F1067" s="115"/>
      <c r="G1067" s="116"/>
      <c r="H1067" s="120"/>
      <c r="I1067" s="120"/>
      <c r="J1067" s="117"/>
      <c r="K1067" s="118"/>
      <c r="L1067" s="119"/>
      <c r="M1067" s="120"/>
      <c r="N1067" s="120"/>
      <c r="O1067" s="120"/>
      <c r="P1067" s="118"/>
      <c r="Q1067" s="117"/>
      <c r="S1067" s="2"/>
      <c r="T1067" s="2"/>
    </row>
    <row r="1068" spans="1:20" ht="15" customHeight="1">
      <c r="A1068" s="163"/>
      <c r="B1068" s="113"/>
      <c r="D1068" s="113"/>
      <c r="F1068" s="115"/>
      <c r="G1068" s="116"/>
      <c r="H1068" s="120"/>
      <c r="I1068" s="120"/>
      <c r="J1068" s="117"/>
      <c r="K1068" s="118"/>
      <c r="L1068" s="119"/>
      <c r="M1068" s="120"/>
      <c r="N1068" s="120"/>
      <c r="O1068" s="120"/>
      <c r="P1068" s="118"/>
      <c r="Q1068" s="117"/>
      <c r="S1068" s="2"/>
      <c r="T1068" s="2"/>
    </row>
    <row r="1069" spans="1:20" ht="15" customHeight="1">
      <c r="A1069" s="163"/>
      <c r="B1069" s="113"/>
      <c r="D1069" s="113"/>
      <c r="F1069" s="115"/>
      <c r="G1069" s="116"/>
      <c r="H1069" s="120"/>
      <c r="I1069" s="120"/>
      <c r="J1069" s="117"/>
      <c r="K1069" s="118"/>
      <c r="L1069" s="119"/>
      <c r="M1069" s="120"/>
      <c r="N1069" s="120"/>
      <c r="O1069" s="120"/>
      <c r="P1069" s="118"/>
      <c r="Q1069" s="117"/>
      <c r="S1069" s="2"/>
      <c r="T1069" s="2"/>
    </row>
    <row r="1070" spans="1:20" ht="15" customHeight="1">
      <c r="A1070" s="163"/>
      <c r="B1070" s="113"/>
      <c r="D1070" s="113"/>
      <c r="F1070" s="115"/>
      <c r="G1070" s="116"/>
      <c r="H1070" s="120"/>
      <c r="I1070" s="120"/>
      <c r="J1070" s="117"/>
      <c r="K1070" s="118"/>
      <c r="L1070" s="119"/>
      <c r="M1070" s="120"/>
      <c r="N1070" s="120"/>
      <c r="O1070" s="120"/>
      <c r="P1070" s="118"/>
      <c r="Q1070" s="117"/>
      <c r="S1070" s="2"/>
      <c r="T1070" s="2"/>
    </row>
    <row r="1071" spans="1:20" ht="15" customHeight="1">
      <c r="A1071" s="163"/>
      <c r="B1071" s="113"/>
      <c r="D1071" s="113"/>
      <c r="F1071" s="115"/>
      <c r="G1071" s="116"/>
      <c r="H1071" s="120"/>
      <c r="I1071" s="120"/>
      <c r="J1071" s="117"/>
      <c r="K1071" s="118"/>
      <c r="L1071" s="119"/>
      <c r="M1071" s="120"/>
      <c r="N1071" s="120"/>
      <c r="O1071" s="120"/>
      <c r="P1071" s="118"/>
      <c r="Q1071" s="117"/>
      <c r="S1071" s="2"/>
      <c r="T1071" s="2"/>
    </row>
    <row r="1072" spans="1:20" ht="15" customHeight="1">
      <c r="A1072" s="163"/>
      <c r="B1072" s="113"/>
      <c r="D1072" s="113"/>
      <c r="F1072" s="115"/>
      <c r="G1072" s="116"/>
      <c r="H1072" s="120"/>
      <c r="I1072" s="120"/>
      <c r="J1072" s="117"/>
      <c r="K1072" s="118"/>
      <c r="L1072" s="119"/>
      <c r="M1072" s="120"/>
      <c r="N1072" s="120"/>
      <c r="O1072" s="120"/>
      <c r="P1072" s="118"/>
      <c r="Q1072" s="117"/>
      <c r="S1072" s="2"/>
      <c r="T1072" s="2"/>
    </row>
    <row r="1073" spans="1:20" ht="15" customHeight="1">
      <c r="A1073" s="163"/>
      <c r="B1073" s="113"/>
      <c r="D1073" s="113"/>
      <c r="F1073" s="115"/>
      <c r="G1073" s="116"/>
      <c r="H1073" s="120"/>
      <c r="I1073" s="120"/>
      <c r="J1073" s="117"/>
      <c r="K1073" s="118"/>
      <c r="L1073" s="119"/>
      <c r="M1073" s="120"/>
      <c r="N1073" s="120"/>
      <c r="O1073" s="120"/>
      <c r="P1073" s="118"/>
      <c r="Q1073" s="117"/>
      <c r="S1073" s="2"/>
      <c r="T1073" s="2"/>
    </row>
    <row r="1074" spans="1:20" ht="15" customHeight="1">
      <c r="A1074" s="163"/>
      <c r="B1074" s="113"/>
      <c r="D1074" s="113"/>
      <c r="F1074" s="115"/>
      <c r="G1074" s="116"/>
      <c r="H1074" s="120"/>
      <c r="I1074" s="120"/>
      <c r="J1074" s="117"/>
      <c r="K1074" s="118"/>
      <c r="L1074" s="119"/>
      <c r="M1074" s="120"/>
      <c r="N1074" s="120"/>
      <c r="O1074" s="120"/>
      <c r="P1074" s="118"/>
      <c r="Q1074" s="117"/>
      <c r="S1074" s="2"/>
      <c r="T1074" s="2"/>
    </row>
    <row r="1075" spans="1:20" ht="15" customHeight="1">
      <c r="A1075" s="163"/>
      <c r="B1075" s="113"/>
      <c r="D1075" s="113"/>
      <c r="F1075" s="115"/>
      <c r="G1075" s="116"/>
      <c r="H1075" s="120"/>
      <c r="I1075" s="120"/>
      <c r="J1075" s="117"/>
      <c r="K1075" s="118"/>
      <c r="L1075" s="119"/>
      <c r="M1075" s="120"/>
      <c r="N1075" s="120"/>
      <c r="O1075" s="120"/>
      <c r="P1075" s="118"/>
      <c r="Q1075" s="117"/>
      <c r="S1075" s="2"/>
      <c r="T1075" s="2"/>
    </row>
    <row r="1076" spans="1:20" ht="15" customHeight="1">
      <c r="A1076" s="163"/>
      <c r="B1076" s="113"/>
      <c r="D1076" s="113"/>
      <c r="F1076" s="115"/>
      <c r="G1076" s="116"/>
      <c r="H1076" s="120"/>
      <c r="I1076" s="120"/>
      <c r="J1076" s="117"/>
      <c r="K1076" s="118"/>
      <c r="L1076" s="119"/>
      <c r="M1076" s="120"/>
      <c r="N1076" s="120"/>
      <c r="O1076" s="120"/>
      <c r="P1076" s="118"/>
      <c r="Q1076" s="117"/>
      <c r="S1076" s="2"/>
      <c r="T1076" s="2"/>
    </row>
    <row r="1077" spans="1:20" ht="15" customHeight="1">
      <c r="A1077" s="163"/>
      <c r="B1077" s="113"/>
      <c r="D1077" s="113"/>
      <c r="F1077" s="115"/>
      <c r="G1077" s="116"/>
      <c r="H1077" s="120"/>
      <c r="I1077" s="120"/>
      <c r="J1077" s="117"/>
      <c r="K1077" s="118"/>
      <c r="L1077" s="119"/>
      <c r="M1077" s="120"/>
      <c r="N1077" s="120"/>
      <c r="O1077" s="120"/>
      <c r="P1077" s="118"/>
      <c r="Q1077" s="117"/>
      <c r="S1077" s="2"/>
      <c r="T1077" s="2"/>
    </row>
    <row r="1078" spans="1:20" ht="15" customHeight="1">
      <c r="A1078" s="163"/>
      <c r="B1078" s="113"/>
      <c r="D1078" s="113"/>
      <c r="F1078" s="115"/>
      <c r="G1078" s="116"/>
      <c r="H1078" s="120"/>
      <c r="I1078" s="120"/>
      <c r="J1078" s="117"/>
      <c r="K1078" s="118"/>
      <c r="L1078" s="119"/>
      <c r="M1078" s="120"/>
      <c r="N1078" s="120"/>
      <c r="O1078" s="120"/>
      <c r="P1078" s="118"/>
      <c r="Q1078" s="117"/>
      <c r="S1078" s="2"/>
      <c r="T1078" s="2"/>
    </row>
    <row r="1079" spans="1:20" ht="15" customHeight="1">
      <c r="A1079" s="163"/>
      <c r="B1079" s="113"/>
      <c r="D1079" s="113"/>
      <c r="F1079" s="115"/>
      <c r="G1079" s="116"/>
      <c r="H1079" s="120"/>
      <c r="I1079" s="120"/>
      <c r="J1079" s="117"/>
      <c r="K1079" s="118"/>
      <c r="L1079" s="119"/>
      <c r="M1079" s="120"/>
      <c r="N1079" s="120"/>
      <c r="O1079" s="120"/>
      <c r="P1079" s="118"/>
      <c r="Q1079" s="117"/>
      <c r="S1079" s="2"/>
      <c r="T1079" s="2"/>
    </row>
    <row r="1080" spans="1:20" ht="15" customHeight="1">
      <c r="A1080" s="163"/>
      <c r="B1080" s="113"/>
      <c r="D1080" s="113"/>
      <c r="F1080" s="115"/>
      <c r="G1080" s="116"/>
      <c r="H1080" s="120"/>
      <c r="I1080" s="120"/>
      <c r="J1080" s="117"/>
      <c r="K1080" s="118"/>
      <c r="L1080" s="119"/>
      <c r="M1080" s="120"/>
      <c r="N1080" s="120"/>
      <c r="O1080" s="120"/>
      <c r="P1080" s="118"/>
      <c r="Q1080" s="117"/>
      <c r="S1080" s="2"/>
      <c r="T1080" s="2"/>
    </row>
    <row r="1081" spans="1:20" ht="15" customHeight="1">
      <c r="A1081" s="163"/>
      <c r="B1081" s="113"/>
      <c r="D1081" s="113"/>
      <c r="F1081" s="115"/>
      <c r="G1081" s="116"/>
      <c r="H1081" s="120"/>
      <c r="I1081" s="120"/>
      <c r="J1081" s="117"/>
      <c r="K1081" s="118"/>
      <c r="L1081" s="119"/>
      <c r="M1081" s="120"/>
      <c r="N1081" s="120"/>
      <c r="O1081" s="120"/>
      <c r="P1081" s="118"/>
      <c r="Q1081" s="117"/>
      <c r="S1081" s="2"/>
      <c r="T1081" s="2"/>
    </row>
    <row r="1082" spans="1:20" ht="15" customHeight="1">
      <c r="A1082" s="163"/>
      <c r="B1082" s="113"/>
      <c r="D1082" s="113"/>
      <c r="F1082" s="115"/>
      <c r="G1082" s="116"/>
      <c r="H1082" s="120"/>
      <c r="I1082" s="120"/>
      <c r="J1082" s="117"/>
      <c r="K1082" s="118"/>
      <c r="L1082" s="119"/>
      <c r="M1082" s="120"/>
      <c r="N1082" s="120"/>
      <c r="O1082" s="120"/>
      <c r="P1082" s="118"/>
      <c r="Q1082" s="117"/>
      <c r="S1082" s="2"/>
      <c r="T1082" s="2"/>
    </row>
    <row r="1083" spans="1:20" ht="15" customHeight="1">
      <c r="A1083" s="163"/>
      <c r="B1083" s="113"/>
      <c r="D1083" s="113"/>
      <c r="F1083" s="115"/>
      <c r="G1083" s="116"/>
      <c r="H1083" s="120"/>
      <c r="I1083" s="120"/>
      <c r="J1083" s="117"/>
      <c r="K1083" s="118"/>
      <c r="L1083" s="119"/>
      <c r="M1083" s="120"/>
      <c r="N1083" s="120"/>
      <c r="O1083" s="120"/>
      <c r="P1083" s="118"/>
      <c r="Q1083" s="117"/>
      <c r="S1083" s="2"/>
      <c r="T1083" s="2"/>
    </row>
    <row r="1084" spans="1:20" ht="15" customHeight="1">
      <c r="A1084" s="163"/>
      <c r="B1084" s="113"/>
      <c r="D1084" s="113"/>
      <c r="F1084" s="115"/>
      <c r="G1084" s="116"/>
      <c r="H1084" s="120"/>
      <c r="I1084" s="120"/>
      <c r="J1084" s="117"/>
      <c r="K1084" s="118"/>
      <c r="L1084" s="119"/>
      <c r="M1084" s="120"/>
      <c r="N1084" s="120"/>
      <c r="O1084" s="120"/>
      <c r="P1084" s="118"/>
      <c r="Q1084" s="117"/>
      <c r="S1084" s="2"/>
      <c r="T1084" s="2"/>
    </row>
    <row r="1085" spans="1:20" ht="15" customHeight="1">
      <c r="A1085" s="163"/>
      <c r="B1085" s="113"/>
      <c r="D1085" s="113"/>
      <c r="F1085" s="115"/>
      <c r="G1085" s="116"/>
      <c r="H1085" s="120"/>
      <c r="I1085" s="120"/>
      <c r="J1085" s="117"/>
      <c r="K1085" s="118"/>
      <c r="L1085" s="119"/>
      <c r="M1085" s="120"/>
      <c r="N1085" s="120"/>
      <c r="O1085" s="120"/>
      <c r="P1085" s="118"/>
      <c r="Q1085" s="117"/>
      <c r="S1085" s="2"/>
      <c r="T1085" s="2"/>
    </row>
    <row r="1086" spans="1:20" ht="15" customHeight="1">
      <c r="A1086" s="163"/>
      <c r="B1086" s="113"/>
      <c r="D1086" s="113"/>
      <c r="F1086" s="115"/>
      <c r="G1086" s="116"/>
      <c r="H1086" s="120"/>
      <c r="I1086" s="120"/>
      <c r="J1086" s="117"/>
      <c r="K1086" s="118"/>
      <c r="L1086" s="119"/>
      <c r="M1086" s="120"/>
      <c r="N1086" s="120"/>
      <c r="O1086" s="120"/>
      <c r="P1086" s="118"/>
      <c r="Q1086" s="117"/>
      <c r="S1086" s="2"/>
      <c r="T1086" s="2"/>
    </row>
    <row r="1087" spans="1:20" ht="15" customHeight="1">
      <c r="A1087" s="163"/>
      <c r="B1087" s="113"/>
      <c r="D1087" s="113"/>
      <c r="F1087" s="115"/>
      <c r="G1087" s="116"/>
      <c r="H1087" s="120"/>
      <c r="I1087" s="120"/>
      <c r="J1087" s="117"/>
      <c r="K1087" s="118"/>
      <c r="L1087" s="119"/>
      <c r="M1087" s="120"/>
      <c r="N1087" s="120"/>
      <c r="O1087" s="120"/>
      <c r="P1087" s="118"/>
      <c r="Q1087" s="117"/>
      <c r="S1087" s="2"/>
      <c r="T1087" s="2"/>
    </row>
    <row r="1088" spans="1:20" ht="15" customHeight="1">
      <c r="A1088" s="163"/>
      <c r="B1088" s="113"/>
      <c r="D1088" s="113"/>
      <c r="F1088" s="115"/>
      <c r="G1088" s="116"/>
      <c r="H1088" s="120"/>
      <c r="I1088" s="120"/>
      <c r="J1088" s="117"/>
      <c r="K1088" s="118"/>
      <c r="L1088" s="119"/>
      <c r="M1088" s="120"/>
      <c r="N1088" s="120"/>
      <c r="O1088" s="120"/>
      <c r="P1088" s="118"/>
      <c r="Q1088" s="117"/>
      <c r="S1088" s="2"/>
      <c r="T1088" s="2"/>
    </row>
    <row r="1089" spans="1:20" ht="15" customHeight="1">
      <c r="A1089" s="163"/>
      <c r="B1089" s="113"/>
      <c r="D1089" s="113"/>
      <c r="F1089" s="115"/>
      <c r="G1089" s="116"/>
      <c r="H1089" s="120"/>
      <c r="I1089" s="120"/>
      <c r="J1089" s="117"/>
      <c r="K1089" s="118"/>
      <c r="L1089" s="119"/>
      <c r="M1089" s="120"/>
      <c r="N1089" s="120"/>
      <c r="O1089" s="120"/>
      <c r="P1089" s="118"/>
      <c r="Q1089" s="117"/>
      <c r="S1089" s="2"/>
      <c r="T1089" s="2"/>
    </row>
    <row r="1090" spans="1:20" ht="15" customHeight="1">
      <c r="A1090" s="163"/>
      <c r="B1090" s="113"/>
      <c r="D1090" s="113"/>
      <c r="F1090" s="115"/>
      <c r="G1090" s="116"/>
      <c r="H1090" s="120"/>
      <c r="I1090" s="120"/>
      <c r="J1090" s="117"/>
      <c r="K1090" s="118"/>
      <c r="L1090" s="119"/>
      <c r="M1090" s="120"/>
      <c r="N1090" s="120"/>
      <c r="O1090" s="120"/>
      <c r="P1090" s="118"/>
      <c r="Q1090" s="117"/>
      <c r="S1090" s="2"/>
      <c r="T1090" s="2"/>
    </row>
    <row r="1091" spans="1:20" ht="15" customHeight="1">
      <c r="A1091" s="163"/>
      <c r="B1091" s="113"/>
      <c r="D1091" s="113"/>
      <c r="F1091" s="115"/>
      <c r="G1091" s="116"/>
      <c r="H1091" s="120"/>
      <c r="I1091" s="120"/>
      <c r="J1091" s="117"/>
      <c r="K1091" s="118"/>
      <c r="L1091" s="119"/>
      <c r="M1091" s="120"/>
      <c r="N1091" s="120"/>
      <c r="O1091" s="120"/>
      <c r="P1091" s="118"/>
      <c r="Q1091" s="117"/>
      <c r="S1091" s="2"/>
      <c r="T1091" s="2"/>
    </row>
    <row r="1092" spans="1:20" ht="15" customHeight="1">
      <c r="A1092" s="163"/>
      <c r="B1092" s="113"/>
      <c r="D1092" s="113"/>
      <c r="F1092" s="115"/>
      <c r="G1092" s="116"/>
      <c r="H1092" s="120"/>
      <c r="I1092" s="120"/>
      <c r="J1092" s="117"/>
      <c r="K1092" s="118"/>
      <c r="L1092" s="119"/>
      <c r="M1092" s="120"/>
      <c r="N1092" s="120"/>
      <c r="O1092" s="120"/>
      <c r="P1092" s="118"/>
      <c r="Q1092" s="117"/>
      <c r="S1092" s="2"/>
      <c r="T1092" s="2"/>
    </row>
    <row r="1093" spans="1:20" ht="15" customHeight="1">
      <c r="A1093" s="163"/>
      <c r="B1093" s="113"/>
      <c r="D1093" s="113"/>
      <c r="F1093" s="115"/>
      <c r="G1093" s="116"/>
      <c r="H1093" s="120"/>
      <c r="I1093" s="120"/>
      <c r="J1093" s="117"/>
      <c r="K1093" s="118"/>
      <c r="L1093" s="119"/>
      <c r="M1093" s="120"/>
      <c r="N1093" s="120"/>
      <c r="O1093" s="120"/>
      <c r="P1093" s="118"/>
      <c r="Q1093" s="117"/>
      <c r="S1093" s="2"/>
      <c r="T1093" s="2"/>
    </row>
    <row r="1094" spans="1:20" ht="15" customHeight="1">
      <c r="A1094" s="163"/>
      <c r="B1094" s="113"/>
      <c r="D1094" s="113"/>
      <c r="F1094" s="115"/>
      <c r="G1094" s="116"/>
      <c r="H1094" s="120"/>
      <c r="I1094" s="120"/>
      <c r="J1094" s="117"/>
      <c r="K1094" s="118"/>
      <c r="L1094" s="119"/>
      <c r="M1094" s="120"/>
      <c r="N1094" s="120"/>
      <c r="O1094" s="120"/>
      <c r="P1094" s="118"/>
      <c r="Q1094" s="117"/>
      <c r="S1094" s="2"/>
      <c r="T1094" s="2"/>
    </row>
    <row r="1095" spans="1:20" ht="15" customHeight="1">
      <c r="A1095" s="163"/>
      <c r="B1095" s="113"/>
      <c r="D1095" s="113"/>
      <c r="F1095" s="115"/>
      <c r="G1095" s="116"/>
      <c r="H1095" s="120"/>
      <c r="I1095" s="120"/>
      <c r="J1095" s="117"/>
      <c r="K1095" s="118"/>
      <c r="L1095" s="119"/>
      <c r="M1095" s="120"/>
      <c r="N1095" s="120"/>
      <c r="O1095" s="120"/>
      <c r="P1095" s="118"/>
      <c r="Q1095" s="117"/>
      <c r="S1095" s="2"/>
      <c r="T1095" s="2"/>
    </row>
    <row r="1096" spans="1:20" ht="15" customHeight="1">
      <c r="A1096" s="163"/>
      <c r="B1096" s="113"/>
      <c r="D1096" s="113"/>
      <c r="F1096" s="115"/>
      <c r="G1096" s="116"/>
      <c r="H1096" s="120"/>
      <c r="I1096" s="120"/>
      <c r="J1096" s="117"/>
      <c r="K1096" s="118"/>
      <c r="L1096" s="119"/>
      <c r="M1096" s="120"/>
      <c r="N1096" s="120"/>
      <c r="O1096" s="120"/>
      <c r="P1096" s="118"/>
      <c r="Q1096" s="117"/>
      <c r="S1096" s="2"/>
      <c r="T1096" s="2"/>
    </row>
    <row r="1097" spans="1:20" ht="15" customHeight="1">
      <c r="A1097" s="163"/>
      <c r="B1097" s="113"/>
      <c r="D1097" s="113"/>
      <c r="F1097" s="115"/>
      <c r="G1097" s="116"/>
      <c r="H1097" s="120"/>
      <c r="I1097" s="120"/>
      <c r="J1097" s="117"/>
      <c r="K1097" s="118"/>
      <c r="L1097" s="119"/>
      <c r="M1097" s="120"/>
      <c r="N1097" s="120"/>
      <c r="O1097" s="120"/>
      <c r="P1097" s="118"/>
      <c r="Q1097" s="117"/>
      <c r="S1097" s="2"/>
      <c r="T1097" s="2"/>
    </row>
    <row r="1098" spans="1:20" ht="15" customHeight="1">
      <c r="A1098" s="163"/>
      <c r="B1098" s="113"/>
      <c r="D1098" s="113"/>
      <c r="F1098" s="115"/>
      <c r="G1098" s="116"/>
      <c r="H1098" s="120"/>
      <c r="I1098" s="120"/>
      <c r="J1098" s="117"/>
      <c r="K1098" s="118"/>
      <c r="L1098" s="119"/>
      <c r="M1098" s="120"/>
      <c r="N1098" s="120"/>
      <c r="O1098" s="120"/>
      <c r="P1098" s="118"/>
      <c r="Q1098" s="117"/>
      <c r="S1098" s="2"/>
      <c r="T1098" s="2"/>
    </row>
    <row r="1099" spans="1:20" ht="15" customHeight="1">
      <c r="A1099" s="163"/>
      <c r="B1099" s="113"/>
      <c r="D1099" s="113"/>
      <c r="F1099" s="115"/>
      <c r="G1099" s="116"/>
      <c r="H1099" s="120"/>
      <c r="I1099" s="120"/>
      <c r="J1099" s="117"/>
      <c r="K1099" s="118"/>
      <c r="L1099" s="119"/>
      <c r="M1099" s="120"/>
      <c r="N1099" s="120"/>
      <c r="O1099" s="120"/>
      <c r="P1099" s="118"/>
      <c r="Q1099" s="117"/>
      <c r="S1099" s="2"/>
      <c r="T1099" s="2"/>
    </row>
    <row r="1100" spans="1:20" ht="15" customHeight="1">
      <c r="A1100" s="163"/>
      <c r="B1100" s="113"/>
      <c r="D1100" s="113"/>
      <c r="F1100" s="115"/>
      <c r="G1100" s="116"/>
      <c r="H1100" s="120"/>
      <c r="I1100" s="120"/>
      <c r="J1100" s="117"/>
      <c r="K1100" s="118"/>
      <c r="L1100" s="119"/>
      <c r="M1100" s="120"/>
      <c r="N1100" s="120"/>
      <c r="O1100" s="120"/>
      <c r="P1100" s="118"/>
      <c r="Q1100" s="117"/>
      <c r="S1100" s="2"/>
      <c r="T1100" s="2"/>
    </row>
    <row r="1101" spans="1:20" ht="15" customHeight="1">
      <c r="A1101" s="163"/>
      <c r="B1101" s="113"/>
      <c r="D1101" s="113"/>
      <c r="F1101" s="115"/>
      <c r="G1101" s="116"/>
      <c r="H1101" s="120"/>
      <c r="I1101" s="120"/>
      <c r="J1101" s="117"/>
      <c r="K1101" s="118"/>
      <c r="L1101" s="119"/>
      <c r="M1101" s="120"/>
      <c r="N1101" s="120"/>
      <c r="O1101" s="120"/>
      <c r="P1101" s="118"/>
      <c r="Q1101" s="117"/>
      <c r="S1101" s="2"/>
      <c r="T1101" s="2"/>
    </row>
    <row r="1102" spans="1:20" ht="15" customHeight="1">
      <c r="A1102" s="163"/>
      <c r="B1102" s="113"/>
      <c r="D1102" s="113"/>
      <c r="F1102" s="115"/>
      <c r="G1102" s="116"/>
      <c r="H1102" s="120"/>
      <c r="I1102" s="120"/>
      <c r="J1102" s="117"/>
      <c r="K1102" s="118"/>
      <c r="L1102" s="119"/>
      <c r="M1102" s="120"/>
      <c r="N1102" s="120"/>
      <c r="O1102" s="120"/>
      <c r="P1102" s="118"/>
      <c r="Q1102" s="117"/>
      <c r="S1102" s="2"/>
      <c r="T1102" s="2"/>
    </row>
    <row r="1103" spans="1:20" ht="15" customHeight="1">
      <c r="A1103" s="163"/>
      <c r="B1103" s="113"/>
      <c r="D1103" s="113"/>
      <c r="F1103" s="115"/>
      <c r="G1103" s="116"/>
      <c r="H1103" s="120"/>
      <c r="I1103" s="120"/>
      <c r="J1103" s="117"/>
      <c r="K1103" s="118"/>
      <c r="L1103" s="119"/>
      <c r="M1103" s="120"/>
      <c r="N1103" s="120"/>
      <c r="O1103" s="120"/>
      <c r="P1103" s="118"/>
      <c r="Q1103" s="117"/>
      <c r="S1103" s="2"/>
      <c r="T1103" s="2"/>
    </row>
    <row r="1104" spans="1:20" ht="15" customHeight="1">
      <c r="A1104" s="163"/>
      <c r="B1104" s="113"/>
      <c r="D1104" s="113"/>
      <c r="F1104" s="115"/>
      <c r="G1104" s="116"/>
      <c r="H1104" s="120"/>
      <c r="I1104" s="120"/>
      <c r="J1104" s="117"/>
      <c r="K1104" s="118"/>
      <c r="L1104" s="119"/>
      <c r="M1104" s="120"/>
      <c r="N1104" s="120"/>
      <c r="O1104" s="120"/>
      <c r="P1104" s="118"/>
      <c r="Q1104" s="117"/>
      <c r="S1104" s="2"/>
      <c r="T1104" s="2"/>
    </row>
    <row r="1105" spans="1:20" ht="15" customHeight="1">
      <c r="A1105" s="163"/>
      <c r="B1105" s="113"/>
      <c r="D1105" s="113"/>
      <c r="F1105" s="115"/>
      <c r="G1105" s="116"/>
      <c r="H1105" s="120"/>
      <c r="I1105" s="120"/>
      <c r="J1105" s="117"/>
      <c r="K1105" s="118"/>
      <c r="L1105" s="119"/>
      <c r="M1105" s="120"/>
      <c r="N1105" s="120"/>
      <c r="O1105" s="120"/>
      <c r="P1105" s="118"/>
      <c r="Q1105" s="117"/>
      <c r="S1105" s="2"/>
      <c r="T1105" s="2"/>
    </row>
    <row r="1106" spans="1:20" ht="15" customHeight="1">
      <c r="A1106" s="163"/>
      <c r="B1106" s="113"/>
      <c r="D1106" s="113"/>
      <c r="F1106" s="115"/>
      <c r="G1106" s="116"/>
      <c r="H1106" s="120"/>
      <c r="I1106" s="120"/>
      <c r="J1106" s="117"/>
      <c r="K1106" s="118"/>
      <c r="L1106" s="119"/>
      <c r="M1106" s="120"/>
      <c r="N1106" s="120"/>
      <c r="O1106" s="120"/>
      <c r="P1106" s="118"/>
      <c r="Q1106" s="117"/>
      <c r="S1106" s="2"/>
      <c r="T1106" s="2"/>
    </row>
    <row r="1107" spans="1:20" ht="15" customHeight="1">
      <c r="A1107" s="163"/>
      <c r="B1107" s="113"/>
      <c r="D1107" s="113"/>
      <c r="F1107" s="115"/>
      <c r="G1107" s="116"/>
      <c r="H1107" s="120"/>
      <c r="I1107" s="120"/>
      <c r="J1107" s="117"/>
      <c r="K1107" s="118"/>
      <c r="L1107" s="119"/>
      <c r="M1107" s="120"/>
      <c r="N1107" s="120"/>
      <c r="O1107" s="120"/>
      <c r="P1107" s="118"/>
      <c r="Q1107" s="117"/>
      <c r="S1107" s="2"/>
      <c r="T1107" s="2"/>
    </row>
    <row r="1108" spans="1:20" ht="15" customHeight="1">
      <c r="A1108" s="163"/>
      <c r="B1108" s="113"/>
      <c r="D1108" s="113"/>
      <c r="F1108" s="115"/>
      <c r="G1108" s="116"/>
      <c r="H1108" s="120"/>
      <c r="I1108" s="120"/>
      <c r="J1108" s="117"/>
      <c r="K1108" s="118"/>
      <c r="L1108" s="119"/>
      <c r="M1108" s="120"/>
      <c r="N1108" s="120"/>
      <c r="O1108" s="120"/>
      <c r="P1108" s="118"/>
      <c r="Q1108" s="117"/>
      <c r="S1108" s="2"/>
      <c r="T1108" s="2"/>
    </row>
    <row r="1109" spans="1:20" ht="15" customHeight="1">
      <c r="A1109" s="163"/>
      <c r="B1109" s="113"/>
      <c r="D1109" s="113"/>
      <c r="F1109" s="115"/>
      <c r="G1109" s="116"/>
      <c r="H1109" s="120"/>
      <c r="I1109" s="120"/>
      <c r="J1109" s="117"/>
      <c r="K1109" s="118"/>
      <c r="L1109" s="119"/>
      <c r="M1109" s="120"/>
      <c r="N1109" s="120"/>
      <c r="O1109" s="120"/>
      <c r="P1109" s="118"/>
      <c r="Q1109" s="117"/>
      <c r="S1109" s="2"/>
      <c r="T1109" s="2"/>
    </row>
    <row r="1110" spans="1:20" ht="15" customHeight="1">
      <c r="A1110" s="163"/>
      <c r="B1110" s="113"/>
      <c r="D1110" s="113"/>
      <c r="F1110" s="115"/>
      <c r="G1110" s="116"/>
      <c r="H1110" s="120"/>
      <c r="I1110" s="120"/>
      <c r="J1110" s="117"/>
      <c r="K1110" s="118"/>
      <c r="L1110" s="119"/>
      <c r="M1110" s="120"/>
      <c r="N1110" s="120"/>
      <c r="O1110" s="120"/>
      <c r="P1110" s="118"/>
      <c r="Q1110" s="117"/>
      <c r="S1110" s="2"/>
      <c r="T1110" s="2"/>
    </row>
    <row r="1111" spans="1:20" ht="15" customHeight="1">
      <c r="A1111" s="163"/>
      <c r="B1111" s="113"/>
      <c r="D1111" s="113"/>
      <c r="F1111" s="115"/>
      <c r="G1111" s="116"/>
      <c r="H1111" s="120"/>
      <c r="I1111" s="120"/>
      <c r="J1111" s="117"/>
      <c r="K1111" s="118"/>
      <c r="L1111" s="119"/>
      <c r="M1111" s="120"/>
      <c r="N1111" s="120"/>
      <c r="O1111" s="120"/>
      <c r="P1111" s="118"/>
      <c r="Q1111" s="117"/>
      <c r="S1111" s="2"/>
      <c r="T1111" s="2"/>
    </row>
    <row r="1112" spans="1:20" ht="15" customHeight="1">
      <c r="A1112" s="163"/>
      <c r="B1112" s="113"/>
      <c r="D1112" s="113"/>
      <c r="F1112" s="115"/>
      <c r="G1112" s="116"/>
      <c r="H1112" s="120"/>
      <c r="I1112" s="120"/>
      <c r="J1112" s="117"/>
      <c r="K1112" s="118"/>
      <c r="L1112" s="119"/>
      <c r="M1112" s="120"/>
      <c r="N1112" s="120"/>
      <c r="O1112" s="120"/>
      <c r="P1112" s="118"/>
      <c r="Q1112" s="117"/>
      <c r="S1112" s="2"/>
      <c r="T1112" s="2"/>
    </row>
    <row r="1113" spans="1:20" ht="15" customHeight="1">
      <c r="A1113" s="163"/>
      <c r="B1113" s="113"/>
      <c r="D1113" s="113"/>
      <c r="F1113" s="115"/>
      <c r="G1113" s="116"/>
      <c r="H1113" s="120"/>
      <c r="I1113" s="120"/>
      <c r="J1113" s="117"/>
      <c r="K1113" s="118"/>
      <c r="L1113" s="119"/>
      <c r="M1113" s="120"/>
      <c r="N1113" s="120"/>
      <c r="O1113" s="120"/>
      <c r="P1113" s="118"/>
      <c r="Q1113" s="117"/>
      <c r="S1113" s="2"/>
      <c r="T1113" s="2"/>
    </row>
    <row r="1114" spans="1:20" ht="15" customHeight="1">
      <c r="A1114" s="163"/>
      <c r="B1114" s="113"/>
      <c r="D1114" s="113"/>
      <c r="F1114" s="115"/>
      <c r="G1114" s="116"/>
      <c r="H1114" s="120"/>
      <c r="I1114" s="120"/>
      <c r="J1114" s="117"/>
      <c r="K1114" s="118"/>
      <c r="L1114" s="119"/>
      <c r="M1114" s="120"/>
      <c r="N1114" s="120"/>
      <c r="O1114" s="120"/>
      <c r="P1114" s="118"/>
      <c r="Q1114" s="117"/>
      <c r="S1114" s="2"/>
      <c r="T1114" s="2"/>
    </row>
    <row r="1115" spans="1:20" ht="15" customHeight="1">
      <c r="A1115" s="163"/>
      <c r="B1115" s="113"/>
      <c r="D1115" s="113"/>
      <c r="F1115" s="115"/>
      <c r="G1115" s="116"/>
      <c r="H1115" s="120"/>
      <c r="I1115" s="120"/>
      <c r="J1115" s="117"/>
      <c r="K1115" s="118"/>
      <c r="L1115" s="119"/>
      <c r="M1115" s="120"/>
      <c r="N1115" s="120"/>
      <c r="O1115" s="120"/>
      <c r="P1115" s="118"/>
      <c r="Q1115" s="117"/>
      <c r="S1115" s="2"/>
      <c r="T1115" s="2"/>
    </row>
    <row r="1116" spans="1:20" ht="15" customHeight="1">
      <c r="A1116" s="163"/>
      <c r="B1116" s="113"/>
      <c r="D1116" s="113"/>
      <c r="F1116" s="115"/>
      <c r="G1116" s="116"/>
      <c r="H1116" s="120"/>
      <c r="I1116" s="120"/>
      <c r="J1116" s="117"/>
      <c r="K1116" s="118"/>
      <c r="L1116" s="119"/>
      <c r="M1116" s="120"/>
      <c r="N1116" s="120"/>
      <c r="O1116" s="120"/>
      <c r="P1116" s="118"/>
      <c r="Q1116" s="117"/>
      <c r="S1116" s="2"/>
      <c r="T1116" s="2"/>
    </row>
    <row r="1117" spans="1:20" ht="15" customHeight="1">
      <c r="A1117" s="163"/>
      <c r="B1117" s="113"/>
      <c r="D1117" s="113"/>
      <c r="F1117" s="115"/>
      <c r="G1117" s="116"/>
      <c r="H1117" s="120"/>
      <c r="I1117" s="120"/>
      <c r="J1117" s="117"/>
      <c r="K1117" s="118"/>
      <c r="L1117" s="119"/>
      <c r="M1117" s="120"/>
      <c r="N1117" s="120"/>
      <c r="O1117" s="120"/>
      <c r="P1117" s="118"/>
      <c r="Q1117" s="117"/>
      <c r="S1117" s="2"/>
      <c r="T1117" s="2"/>
    </row>
    <row r="1118" spans="1:20" ht="15" customHeight="1">
      <c r="A1118" s="163"/>
      <c r="B1118" s="113"/>
      <c r="D1118" s="113"/>
      <c r="F1118" s="115"/>
      <c r="G1118" s="116"/>
      <c r="H1118" s="120"/>
      <c r="I1118" s="120"/>
      <c r="J1118" s="117"/>
      <c r="K1118" s="118"/>
      <c r="L1118" s="119"/>
      <c r="M1118" s="120"/>
      <c r="N1118" s="120"/>
      <c r="O1118" s="120"/>
      <c r="P1118" s="118"/>
      <c r="Q1118" s="117"/>
      <c r="S1118" s="2"/>
      <c r="T1118" s="2"/>
    </row>
    <row r="1119" spans="1:20" ht="15" customHeight="1">
      <c r="A1119" s="163"/>
      <c r="B1119" s="113"/>
      <c r="D1119" s="113"/>
      <c r="F1119" s="115"/>
      <c r="G1119" s="116"/>
      <c r="H1119" s="120"/>
      <c r="I1119" s="120"/>
      <c r="J1119" s="117"/>
      <c r="K1119" s="118"/>
      <c r="L1119" s="119"/>
      <c r="M1119" s="120"/>
      <c r="N1119" s="120"/>
      <c r="O1119" s="120"/>
      <c r="P1119" s="118"/>
      <c r="Q1119" s="117"/>
      <c r="S1119" s="2"/>
      <c r="T1119" s="2"/>
    </row>
    <row r="1120" spans="1:20" ht="15" customHeight="1">
      <c r="A1120" s="163"/>
      <c r="B1120" s="113"/>
      <c r="D1120" s="113"/>
      <c r="F1120" s="115"/>
      <c r="G1120" s="116"/>
      <c r="H1120" s="120"/>
      <c r="I1120" s="120"/>
      <c r="J1120" s="117"/>
      <c r="K1120" s="118"/>
      <c r="L1120" s="119"/>
      <c r="M1120" s="120"/>
      <c r="N1120" s="120"/>
      <c r="O1120" s="120"/>
      <c r="P1120" s="118"/>
      <c r="Q1120" s="117"/>
      <c r="S1120" s="2"/>
      <c r="T1120" s="2"/>
    </row>
    <row r="1121" spans="1:20" ht="15" customHeight="1">
      <c r="A1121" s="163"/>
      <c r="B1121" s="113"/>
      <c r="D1121" s="113"/>
      <c r="F1121" s="115"/>
      <c r="G1121" s="116"/>
      <c r="H1121" s="120"/>
      <c r="I1121" s="120"/>
      <c r="J1121" s="117"/>
      <c r="K1121" s="118"/>
      <c r="L1121" s="119"/>
      <c r="M1121" s="120"/>
      <c r="N1121" s="120"/>
      <c r="O1121" s="120"/>
      <c r="P1121" s="118"/>
      <c r="Q1121" s="117"/>
      <c r="S1121" s="2"/>
      <c r="T1121" s="2"/>
    </row>
    <row r="1122" spans="1:20" ht="15" customHeight="1">
      <c r="A1122" s="163"/>
      <c r="B1122" s="113"/>
      <c r="D1122" s="113"/>
      <c r="F1122" s="115"/>
      <c r="G1122" s="116"/>
      <c r="H1122" s="120"/>
      <c r="I1122" s="120"/>
      <c r="J1122" s="117"/>
      <c r="K1122" s="118"/>
      <c r="L1122" s="119"/>
      <c r="M1122" s="120"/>
      <c r="N1122" s="120"/>
      <c r="O1122" s="120"/>
      <c r="P1122" s="118"/>
      <c r="Q1122" s="117"/>
      <c r="S1122" s="2"/>
      <c r="T1122" s="2"/>
    </row>
    <row r="1123" spans="1:20" ht="15" customHeight="1">
      <c r="A1123" s="163"/>
      <c r="B1123" s="113"/>
      <c r="D1123" s="113"/>
      <c r="F1123" s="115"/>
      <c r="G1123" s="116"/>
      <c r="H1123" s="120"/>
      <c r="I1123" s="120"/>
      <c r="J1123" s="117"/>
      <c r="K1123" s="118"/>
      <c r="L1123" s="119"/>
      <c r="M1123" s="120"/>
      <c r="N1123" s="120"/>
      <c r="O1123" s="120"/>
      <c r="P1123" s="118"/>
      <c r="Q1123" s="117"/>
      <c r="S1123" s="2"/>
      <c r="T1123" s="2"/>
    </row>
    <row r="1124" spans="1:20" ht="15" customHeight="1">
      <c r="A1124" s="163"/>
      <c r="B1124" s="113"/>
      <c r="D1124" s="113"/>
      <c r="F1124" s="115"/>
      <c r="G1124" s="116"/>
      <c r="H1124" s="120"/>
      <c r="I1124" s="120"/>
      <c r="J1124" s="117"/>
      <c r="K1124" s="118"/>
      <c r="L1124" s="119"/>
      <c r="M1124" s="120"/>
      <c r="N1124" s="120"/>
      <c r="O1124" s="120"/>
      <c r="P1124" s="118"/>
      <c r="Q1124" s="117"/>
      <c r="S1124" s="2"/>
      <c r="T1124" s="2"/>
    </row>
    <row r="1125" spans="1:20" ht="15" customHeight="1">
      <c r="A1125" s="163"/>
      <c r="B1125" s="113"/>
      <c r="D1125" s="113"/>
      <c r="F1125" s="115"/>
      <c r="G1125" s="116"/>
      <c r="H1125" s="120"/>
      <c r="I1125" s="120"/>
      <c r="J1125" s="117"/>
      <c r="K1125" s="118"/>
      <c r="L1125" s="119"/>
      <c r="M1125" s="120"/>
      <c r="N1125" s="120"/>
      <c r="O1125" s="120"/>
      <c r="P1125" s="118"/>
      <c r="Q1125" s="117"/>
      <c r="S1125" s="2"/>
      <c r="T1125" s="2"/>
    </row>
    <row r="1126" spans="1:20" ht="15" customHeight="1">
      <c r="A1126" s="163"/>
      <c r="B1126" s="113"/>
      <c r="D1126" s="113"/>
      <c r="F1126" s="115"/>
      <c r="G1126" s="116"/>
      <c r="H1126" s="120"/>
      <c r="I1126" s="120"/>
      <c r="J1126" s="117"/>
      <c r="K1126" s="118"/>
      <c r="L1126" s="119"/>
      <c r="M1126" s="120"/>
      <c r="N1126" s="120"/>
      <c r="O1126" s="120"/>
      <c r="P1126" s="118"/>
      <c r="Q1126" s="117"/>
      <c r="S1126" s="2"/>
      <c r="T1126" s="2"/>
    </row>
    <row r="1127" spans="1:20" ht="15" customHeight="1">
      <c r="A1127" s="163"/>
      <c r="B1127" s="113"/>
      <c r="D1127" s="113"/>
      <c r="F1127" s="115"/>
      <c r="G1127" s="116"/>
      <c r="H1127" s="120"/>
      <c r="I1127" s="120"/>
      <c r="J1127" s="117"/>
      <c r="K1127" s="118"/>
      <c r="L1127" s="119"/>
      <c r="M1127" s="120"/>
      <c r="N1127" s="120"/>
      <c r="O1127" s="120"/>
      <c r="P1127" s="118"/>
      <c r="Q1127" s="117"/>
      <c r="S1127" s="2"/>
      <c r="T1127" s="2"/>
    </row>
    <row r="1128" spans="1:20" ht="15" customHeight="1">
      <c r="A1128" s="163"/>
      <c r="B1128" s="113"/>
      <c r="D1128" s="113"/>
      <c r="F1128" s="115"/>
      <c r="G1128" s="116"/>
      <c r="H1128" s="120"/>
      <c r="I1128" s="120"/>
      <c r="J1128" s="117"/>
      <c r="K1128" s="118"/>
      <c r="L1128" s="119"/>
      <c r="M1128" s="120"/>
      <c r="N1128" s="120"/>
      <c r="O1128" s="120"/>
      <c r="P1128" s="118"/>
      <c r="Q1128" s="117"/>
      <c r="S1128" s="2"/>
      <c r="T1128" s="2"/>
    </row>
    <row r="1129" spans="1:20" ht="15" customHeight="1">
      <c r="A1129" s="163"/>
      <c r="B1129" s="113"/>
      <c r="D1129" s="113"/>
      <c r="F1129" s="115"/>
      <c r="G1129" s="116"/>
      <c r="H1129" s="120"/>
      <c r="I1129" s="120"/>
      <c r="J1129" s="117"/>
      <c r="K1129" s="118"/>
      <c r="L1129" s="119"/>
      <c r="M1129" s="120"/>
      <c r="N1129" s="120"/>
      <c r="O1129" s="120"/>
      <c r="P1129" s="118"/>
      <c r="Q1129" s="117"/>
      <c r="S1129" s="2"/>
      <c r="T1129" s="2"/>
    </row>
    <row r="1130" spans="1:20" ht="15" customHeight="1">
      <c r="A1130" s="163"/>
      <c r="B1130" s="113"/>
      <c r="D1130" s="113"/>
      <c r="F1130" s="115"/>
      <c r="G1130" s="116"/>
      <c r="H1130" s="120"/>
      <c r="I1130" s="120"/>
      <c r="J1130" s="117"/>
      <c r="K1130" s="118"/>
      <c r="L1130" s="119"/>
      <c r="M1130" s="120"/>
      <c r="N1130" s="120"/>
      <c r="O1130" s="120"/>
      <c r="P1130" s="118"/>
      <c r="Q1130" s="117"/>
      <c r="S1130" s="2"/>
      <c r="T1130" s="2"/>
    </row>
    <row r="1131" spans="1:20" ht="15" customHeight="1">
      <c r="A1131" s="163"/>
      <c r="B1131" s="113"/>
      <c r="D1131" s="113"/>
      <c r="F1131" s="115"/>
      <c r="G1131" s="116"/>
      <c r="H1131" s="120"/>
      <c r="I1131" s="120"/>
      <c r="J1131" s="117"/>
      <c r="K1131" s="118"/>
      <c r="L1131" s="119"/>
      <c r="M1131" s="120"/>
      <c r="N1131" s="120"/>
      <c r="O1131" s="120"/>
      <c r="P1131" s="118"/>
      <c r="Q1131" s="117"/>
      <c r="S1131" s="2"/>
      <c r="T1131" s="2"/>
    </row>
    <row r="1132" spans="1:20" ht="15" customHeight="1">
      <c r="A1132" s="163"/>
      <c r="B1132" s="113"/>
      <c r="D1132" s="113"/>
      <c r="F1132" s="115"/>
      <c r="G1132" s="116"/>
      <c r="H1132" s="120"/>
      <c r="I1132" s="120"/>
      <c r="J1132" s="117"/>
      <c r="K1132" s="118"/>
      <c r="L1132" s="119"/>
      <c r="M1132" s="120"/>
      <c r="N1132" s="120"/>
      <c r="O1132" s="120"/>
      <c r="P1132" s="118"/>
      <c r="Q1132" s="117"/>
      <c r="S1132" s="2"/>
      <c r="T1132" s="2"/>
    </row>
    <row r="1133" spans="1:20" ht="15" customHeight="1">
      <c r="A1133" s="163"/>
      <c r="B1133" s="113"/>
      <c r="D1133" s="113"/>
      <c r="F1133" s="115"/>
      <c r="G1133" s="116"/>
      <c r="H1133" s="120"/>
      <c r="I1133" s="120"/>
      <c r="J1133" s="117"/>
      <c r="K1133" s="118"/>
      <c r="L1133" s="119"/>
      <c r="M1133" s="120"/>
      <c r="N1133" s="120"/>
      <c r="O1133" s="120"/>
      <c r="P1133" s="118"/>
      <c r="Q1133" s="117"/>
      <c r="S1133" s="2"/>
      <c r="T1133" s="2"/>
    </row>
    <row r="1134" spans="1:20" ht="15" customHeight="1">
      <c r="A1134" s="163"/>
      <c r="B1134" s="113"/>
      <c r="D1134" s="113"/>
      <c r="F1134" s="115"/>
      <c r="G1134" s="116"/>
      <c r="H1134" s="120"/>
      <c r="I1134" s="120"/>
      <c r="J1134" s="117"/>
      <c r="K1134" s="118"/>
      <c r="L1134" s="119"/>
      <c r="M1134" s="120"/>
      <c r="N1134" s="120"/>
      <c r="O1134" s="120"/>
      <c r="P1134" s="118"/>
      <c r="Q1134" s="117"/>
      <c r="S1134" s="2"/>
      <c r="T1134" s="2"/>
    </row>
    <row r="1135" spans="1:20" ht="15" customHeight="1">
      <c r="A1135" s="163"/>
      <c r="B1135" s="113"/>
      <c r="D1135" s="113"/>
      <c r="F1135" s="115"/>
      <c r="G1135" s="116"/>
      <c r="H1135" s="120"/>
      <c r="I1135" s="120"/>
      <c r="J1135" s="117"/>
      <c r="K1135" s="118"/>
      <c r="L1135" s="119"/>
      <c r="M1135" s="120"/>
      <c r="N1135" s="120"/>
      <c r="O1135" s="120"/>
      <c r="P1135" s="118"/>
      <c r="Q1135" s="117"/>
      <c r="S1135" s="2"/>
      <c r="T1135" s="2"/>
    </row>
    <row r="1136" spans="1:20" ht="15" customHeight="1">
      <c r="A1136" s="163"/>
      <c r="B1136" s="113"/>
      <c r="D1136" s="113"/>
      <c r="F1136" s="115"/>
      <c r="G1136" s="116"/>
      <c r="H1136" s="120"/>
      <c r="I1136" s="120"/>
      <c r="J1136" s="117"/>
      <c r="K1136" s="118"/>
      <c r="L1136" s="119"/>
      <c r="M1136" s="120"/>
      <c r="N1136" s="120"/>
      <c r="O1136" s="120"/>
      <c r="P1136" s="118"/>
      <c r="Q1136" s="117"/>
      <c r="S1136" s="2"/>
      <c r="T1136" s="2"/>
    </row>
    <row r="1137" spans="1:20" ht="15" customHeight="1">
      <c r="A1137" s="163"/>
      <c r="B1137" s="113"/>
      <c r="D1137" s="113"/>
      <c r="F1137" s="115"/>
      <c r="G1137" s="116"/>
      <c r="H1137" s="120"/>
      <c r="I1137" s="120"/>
      <c r="J1137" s="117"/>
      <c r="K1137" s="118"/>
      <c r="L1137" s="119"/>
      <c r="M1137" s="120"/>
      <c r="N1137" s="120"/>
      <c r="O1137" s="120"/>
      <c r="P1137" s="118"/>
      <c r="Q1137" s="117"/>
      <c r="S1137" s="2"/>
      <c r="T1137" s="2"/>
    </row>
    <row r="1138" spans="1:20" ht="15" customHeight="1">
      <c r="A1138" s="163"/>
      <c r="B1138" s="113"/>
      <c r="D1138" s="113"/>
      <c r="F1138" s="115"/>
      <c r="G1138" s="116"/>
      <c r="H1138" s="120"/>
      <c r="I1138" s="120"/>
      <c r="J1138" s="117"/>
      <c r="K1138" s="118"/>
      <c r="L1138" s="119"/>
      <c r="M1138" s="120"/>
      <c r="N1138" s="120"/>
      <c r="O1138" s="120"/>
      <c r="P1138" s="118"/>
      <c r="Q1138" s="117"/>
      <c r="S1138" s="2"/>
      <c r="T1138" s="2"/>
    </row>
    <row r="1139" spans="1:20" ht="15" customHeight="1">
      <c r="A1139" s="163"/>
      <c r="B1139" s="113"/>
      <c r="D1139" s="113"/>
      <c r="F1139" s="115"/>
      <c r="G1139" s="116"/>
      <c r="H1139" s="120"/>
      <c r="I1139" s="120"/>
      <c r="J1139" s="117"/>
      <c r="K1139" s="118"/>
      <c r="L1139" s="119"/>
      <c r="M1139" s="120"/>
      <c r="N1139" s="120"/>
      <c r="O1139" s="120"/>
      <c r="P1139" s="118"/>
      <c r="Q1139" s="117"/>
      <c r="S1139" s="2"/>
      <c r="T1139" s="2"/>
    </row>
    <row r="1140" spans="1:20" ht="15" customHeight="1">
      <c r="A1140" s="163"/>
      <c r="B1140" s="113"/>
      <c r="D1140" s="113"/>
      <c r="F1140" s="115"/>
      <c r="G1140" s="116"/>
      <c r="H1140" s="120"/>
      <c r="I1140" s="120"/>
      <c r="J1140" s="117"/>
      <c r="K1140" s="118"/>
      <c r="L1140" s="119"/>
      <c r="M1140" s="120"/>
      <c r="N1140" s="120"/>
      <c r="O1140" s="120"/>
      <c r="P1140" s="118"/>
      <c r="Q1140" s="117"/>
      <c r="S1140" s="2"/>
      <c r="T1140" s="2"/>
    </row>
    <row r="1141" spans="1:20" ht="15" customHeight="1">
      <c r="A1141" s="163"/>
      <c r="B1141" s="113"/>
      <c r="D1141" s="113"/>
      <c r="F1141" s="115"/>
      <c r="G1141" s="116"/>
      <c r="H1141" s="120"/>
      <c r="I1141" s="120"/>
      <c r="J1141" s="117"/>
      <c r="K1141" s="118"/>
      <c r="L1141" s="119"/>
      <c r="M1141" s="120"/>
      <c r="N1141" s="120"/>
      <c r="O1141" s="120"/>
      <c r="P1141" s="118"/>
      <c r="Q1141" s="117"/>
      <c r="S1141" s="2"/>
      <c r="T1141" s="2"/>
    </row>
    <row r="1142" spans="1:20" ht="15" customHeight="1">
      <c r="A1142" s="163"/>
      <c r="B1142" s="113"/>
      <c r="D1142" s="113"/>
      <c r="F1142" s="115"/>
      <c r="G1142" s="116"/>
      <c r="H1142" s="120"/>
      <c r="I1142" s="120"/>
      <c r="J1142" s="117"/>
      <c r="K1142" s="118"/>
      <c r="L1142" s="119"/>
      <c r="M1142" s="120"/>
      <c r="N1142" s="120"/>
      <c r="O1142" s="120"/>
      <c r="P1142" s="118"/>
      <c r="Q1142" s="117"/>
      <c r="S1142" s="2"/>
      <c r="T1142" s="2"/>
    </row>
    <row r="1143" spans="1:20" ht="15" customHeight="1">
      <c r="A1143" s="163"/>
      <c r="B1143" s="113"/>
      <c r="D1143" s="113"/>
      <c r="F1143" s="115"/>
      <c r="G1143" s="116"/>
      <c r="H1143" s="120"/>
      <c r="I1143" s="120"/>
      <c r="J1143" s="117"/>
      <c r="K1143" s="118"/>
      <c r="L1143" s="119"/>
      <c r="M1143" s="120"/>
      <c r="N1143" s="120"/>
      <c r="O1143" s="120"/>
      <c r="P1143" s="118"/>
      <c r="Q1143" s="117"/>
      <c r="S1143" s="2"/>
      <c r="T1143" s="2"/>
    </row>
    <row r="1144" spans="1:20" ht="15" customHeight="1">
      <c r="A1144" s="163"/>
      <c r="B1144" s="113"/>
      <c r="D1144" s="113"/>
      <c r="F1144" s="115"/>
      <c r="G1144" s="116"/>
      <c r="H1144" s="120"/>
      <c r="I1144" s="120"/>
      <c r="J1144" s="117"/>
      <c r="K1144" s="118"/>
      <c r="L1144" s="119"/>
      <c r="M1144" s="120"/>
      <c r="N1144" s="120"/>
      <c r="O1144" s="120"/>
      <c r="P1144" s="118"/>
      <c r="Q1144" s="117"/>
      <c r="S1144" s="2"/>
      <c r="T1144" s="2"/>
    </row>
    <row r="1145" spans="1:20" ht="15" customHeight="1">
      <c r="A1145" s="163"/>
      <c r="B1145" s="113"/>
      <c r="D1145" s="113"/>
      <c r="F1145" s="115"/>
      <c r="G1145" s="116"/>
      <c r="H1145" s="120"/>
      <c r="I1145" s="120"/>
      <c r="J1145" s="117"/>
      <c r="K1145" s="118"/>
      <c r="L1145" s="119"/>
      <c r="M1145" s="120"/>
      <c r="N1145" s="120"/>
      <c r="O1145" s="120"/>
      <c r="P1145" s="118"/>
      <c r="Q1145" s="117"/>
      <c r="S1145" s="2"/>
      <c r="T1145" s="2"/>
    </row>
    <row r="1146" spans="1:20" ht="15" customHeight="1">
      <c r="A1146" s="163"/>
      <c r="B1146" s="113"/>
      <c r="D1146" s="113"/>
      <c r="F1146" s="115"/>
      <c r="G1146" s="116"/>
      <c r="H1146" s="120"/>
      <c r="I1146" s="120"/>
      <c r="J1146" s="117"/>
      <c r="K1146" s="118"/>
      <c r="L1146" s="119"/>
      <c r="M1146" s="120"/>
      <c r="N1146" s="120"/>
      <c r="O1146" s="120"/>
      <c r="P1146" s="118"/>
      <c r="Q1146" s="117"/>
      <c r="S1146" s="2"/>
      <c r="T1146" s="2"/>
    </row>
    <row r="1147" spans="1:20" ht="15" customHeight="1">
      <c r="A1147" s="163"/>
      <c r="B1147" s="113"/>
      <c r="D1147" s="113"/>
      <c r="F1147" s="115"/>
      <c r="G1147" s="116"/>
      <c r="H1147" s="120"/>
      <c r="I1147" s="120"/>
      <c r="J1147" s="117"/>
      <c r="K1147" s="118"/>
      <c r="L1147" s="119"/>
      <c r="M1147" s="120"/>
      <c r="N1147" s="120"/>
      <c r="O1147" s="120"/>
      <c r="P1147" s="118"/>
      <c r="Q1147" s="117"/>
      <c r="S1147" s="2"/>
      <c r="T1147" s="2"/>
    </row>
    <row r="1148" spans="1:20" ht="15" customHeight="1">
      <c r="A1148" s="163"/>
      <c r="B1148" s="113"/>
      <c r="D1148" s="113"/>
      <c r="F1148" s="115"/>
      <c r="G1148" s="116"/>
      <c r="H1148" s="120"/>
      <c r="I1148" s="120"/>
      <c r="J1148" s="117"/>
      <c r="K1148" s="118"/>
      <c r="L1148" s="119"/>
      <c r="M1148" s="120"/>
      <c r="N1148" s="120"/>
      <c r="O1148" s="120"/>
      <c r="P1148" s="118"/>
      <c r="Q1148" s="117"/>
      <c r="S1148" s="2"/>
      <c r="T1148" s="2"/>
    </row>
    <row r="1149" spans="1:20" ht="15" customHeight="1">
      <c r="A1149" s="163"/>
      <c r="B1149" s="113"/>
      <c r="D1149" s="113"/>
      <c r="F1149" s="115"/>
      <c r="G1149" s="116"/>
      <c r="H1149" s="120"/>
      <c r="I1149" s="120"/>
      <c r="J1149" s="117"/>
      <c r="K1149" s="118"/>
      <c r="L1149" s="119"/>
      <c r="M1149" s="120"/>
      <c r="N1149" s="120"/>
      <c r="O1149" s="120"/>
      <c r="P1149" s="118"/>
      <c r="Q1149" s="117"/>
      <c r="S1149" s="2"/>
      <c r="T1149" s="2"/>
    </row>
    <row r="1150" spans="1:20" ht="15" customHeight="1">
      <c r="A1150" s="163"/>
      <c r="B1150" s="113"/>
      <c r="D1150" s="113"/>
      <c r="F1150" s="115"/>
      <c r="G1150" s="116"/>
      <c r="H1150" s="120"/>
      <c r="I1150" s="120"/>
      <c r="J1150" s="117"/>
      <c r="K1150" s="118"/>
      <c r="L1150" s="119"/>
      <c r="M1150" s="120"/>
      <c r="N1150" s="120"/>
      <c r="O1150" s="120"/>
      <c r="P1150" s="118"/>
      <c r="Q1150" s="117"/>
      <c r="S1150" s="2"/>
      <c r="T1150" s="2"/>
    </row>
    <row r="1151" spans="1:20" ht="15" customHeight="1">
      <c r="A1151" s="163"/>
      <c r="B1151" s="113"/>
      <c r="D1151" s="113"/>
      <c r="F1151" s="115"/>
      <c r="G1151" s="116"/>
      <c r="H1151" s="120"/>
      <c r="I1151" s="120"/>
      <c r="J1151" s="117"/>
      <c r="K1151" s="118"/>
      <c r="L1151" s="119"/>
      <c r="M1151" s="120"/>
      <c r="N1151" s="120"/>
      <c r="O1151" s="120"/>
      <c r="P1151" s="118"/>
      <c r="Q1151" s="117"/>
      <c r="S1151" s="2"/>
      <c r="T1151" s="2"/>
    </row>
    <row r="1152" spans="1:20" ht="15" customHeight="1">
      <c r="A1152" s="163"/>
      <c r="B1152" s="113"/>
      <c r="D1152" s="113"/>
      <c r="F1152" s="115"/>
      <c r="G1152" s="116"/>
      <c r="H1152" s="120"/>
      <c r="I1152" s="120"/>
      <c r="J1152" s="117"/>
      <c r="K1152" s="118"/>
      <c r="L1152" s="119"/>
      <c r="M1152" s="120"/>
      <c r="N1152" s="120"/>
      <c r="O1152" s="120"/>
      <c r="P1152" s="118"/>
      <c r="Q1152" s="117"/>
      <c r="S1152" s="2"/>
      <c r="T1152" s="2"/>
    </row>
    <row r="1153" spans="1:20" ht="15" customHeight="1">
      <c r="A1153" s="163"/>
      <c r="B1153" s="113"/>
      <c r="D1153" s="113"/>
      <c r="F1153" s="115"/>
      <c r="G1153" s="116"/>
      <c r="H1153" s="120"/>
      <c r="I1153" s="120"/>
      <c r="J1153" s="117"/>
      <c r="K1153" s="118"/>
      <c r="L1153" s="119"/>
      <c r="M1153" s="120"/>
      <c r="N1153" s="120"/>
      <c r="O1153" s="120"/>
      <c r="P1153" s="118"/>
      <c r="Q1153" s="117"/>
      <c r="S1153" s="2"/>
      <c r="T1153" s="2"/>
    </row>
    <row r="1154" spans="1:20" ht="15" customHeight="1">
      <c r="A1154" s="163"/>
      <c r="B1154" s="113"/>
      <c r="D1154" s="113"/>
      <c r="F1154" s="115"/>
      <c r="G1154" s="116"/>
      <c r="H1154" s="120"/>
      <c r="I1154" s="120"/>
      <c r="J1154" s="117"/>
      <c r="K1154" s="118"/>
      <c r="L1154" s="119"/>
      <c r="M1154" s="120"/>
      <c r="N1154" s="120"/>
      <c r="O1154" s="120"/>
      <c r="P1154" s="118"/>
      <c r="Q1154" s="117"/>
      <c r="S1154" s="2"/>
      <c r="T1154" s="2"/>
    </row>
    <row r="1155" spans="1:20" ht="15" customHeight="1">
      <c r="A1155" s="163"/>
      <c r="B1155" s="113"/>
      <c r="D1155" s="113"/>
      <c r="F1155" s="115"/>
      <c r="G1155" s="116"/>
      <c r="H1155" s="120"/>
      <c r="I1155" s="120"/>
      <c r="J1155" s="117"/>
      <c r="K1155" s="118"/>
      <c r="L1155" s="119"/>
      <c r="M1155" s="120"/>
      <c r="N1155" s="120"/>
      <c r="O1155" s="120"/>
      <c r="P1155" s="118"/>
      <c r="Q1155" s="117"/>
      <c r="S1155" s="2"/>
      <c r="T1155" s="2"/>
    </row>
    <row r="1156" spans="1:20" ht="15" customHeight="1">
      <c r="A1156" s="163"/>
      <c r="B1156" s="113"/>
      <c r="D1156" s="113"/>
      <c r="F1156" s="115"/>
      <c r="G1156" s="116"/>
      <c r="H1156" s="120"/>
      <c r="I1156" s="120"/>
      <c r="J1156" s="117"/>
      <c r="K1156" s="118"/>
      <c r="L1156" s="119"/>
      <c r="M1156" s="120"/>
      <c r="N1156" s="120"/>
      <c r="O1156" s="120"/>
      <c r="P1156" s="118"/>
      <c r="Q1156" s="117"/>
      <c r="S1156" s="2"/>
      <c r="T1156" s="2"/>
    </row>
    <row r="1157" spans="1:20" ht="15" customHeight="1">
      <c r="A1157" s="163"/>
      <c r="B1157" s="113"/>
      <c r="D1157" s="113"/>
      <c r="F1157" s="115"/>
      <c r="G1157" s="116"/>
      <c r="H1157" s="120"/>
      <c r="I1157" s="120"/>
      <c r="J1157" s="117"/>
      <c r="K1157" s="118"/>
      <c r="L1157" s="119"/>
      <c r="M1157" s="120"/>
      <c r="N1157" s="120"/>
      <c r="O1157" s="120"/>
      <c r="P1157" s="118"/>
      <c r="Q1157" s="117"/>
      <c r="S1157" s="2"/>
      <c r="T1157" s="2"/>
    </row>
    <row r="1158" spans="1:20" ht="15" customHeight="1">
      <c r="A1158" s="163"/>
      <c r="B1158" s="113"/>
      <c r="D1158" s="113"/>
      <c r="F1158" s="115"/>
      <c r="G1158" s="116"/>
      <c r="H1158" s="120"/>
      <c r="I1158" s="120"/>
      <c r="J1158" s="117"/>
      <c r="K1158" s="118"/>
      <c r="L1158" s="119"/>
      <c r="M1158" s="120"/>
      <c r="N1158" s="120"/>
      <c r="O1158" s="120"/>
      <c r="P1158" s="118"/>
      <c r="Q1158" s="117"/>
      <c r="S1158" s="2"/>
      <c r="T1158" s="2"/>
    </row>
    <row r="1159" spans="1:20" ht="15" customHeight="1">
      <c r="A1159" s="163"/>
      <c r="B1159" s="113"/>
      <c r="D1159" s="113"/>
      <c r="F1159" s="115"/>
      <c r="G1159" s="116"/>
      <c r="H1159" s="120"/>
      <c r="I1159" s="120"/>
      <c r="J1159" s="117"/>
      <c r="K1159" s="118"/>
      <c r="L1159" s="119"/>
      <c r="M1159" s="120"/>
      <c r="N1159" s="120"/>
      <c r="O1159" s="120"/>
      <c r="P1159" s="118"/>
      <c r="Q1159" s="117"/>
      <c r="S1159" s="2"/>
      <c r="T1159" s="2"/>
    </row>
    <row r="1160" spans="1:20" ht="15" customHeight="1">
      <c r="A1160" s="163"/>
      <c r="B1160" s="113"/>
      <c r="D1160" s="113"/>
      <c r="F1160" s="115"/>
      <c r="G1160" s="116"/>
      <c r="H1160" s="120"/>
      <c r="I1160" s="120"/>
      <c r="J1160" s="117"/>
      <c r="K1160" s="118"/>
      <c r="L1160" s="119"/>
      <c r="M1160" s="120"/>
      <c r="N1160" s="120"/>
      <c r="O1160" s="120"/>
      <c r="P1160" s="118"/>
      <c r="Q1160" s="117"/>
      <c r="S1160" s="2"/>
      <c r="T1160" s="2"/>
    </row>
    <row r="1161" spans="1:20" ht="15" customHeight="1">
      <c r="A1161" s="163"/>
      <c r="B1161" s="113"/>
      <c r="D1161" s="113"/>
      <c r="F1161" s="115"/>
      <c r="G1161" s="116"/>
      <c r="H1161" s="120"/>
      <c r="I1161" s="120"/>
      <c r="J1161" s="117"/>
      <c r="K1161" s="118"/>
      <c r="L1161" s="119"/>
      <c r="M1161" s="120"/>
      <c r="N1161" s="120"/>
      <c r="O1161" s="120"/>
      <c r="P1161" s="118"/>
      <c r="Q1161" s="117"/>
      <c r="S1161" s="2"/>
      <c r="T1161" s="2"/>
    </row>
    <row r="1162" spans="1:20" ht="15" customHeight="1">
      <c r="A1162" s="163"/>
      <c r="B1162" s="113"/>
      <c r="D1162" s="113"/>
      <c r="F1162" s="115"/>
      <c r="G1162" s="116"/>
      <c r="H1162" s="120"/>
      <c r="I1162" s="120"/>
      <c r="J1162" s="117"/>
      <c r="K1162" s="118"/>
      <c r="L1162" s="119"/>
      <c r="M1162" s="120"/>
      <c r="N1162" s="120"/>
      <c r="O1162" s="120"/>
      <c r="P1162" s="118"/>
      <c r="Q1162" s="117"/>
      <c r="S1162" s="2"/>
      <c r="T1162" s="2"/>
    </row>
    <row r="1163" spans="1:20" ht="15" customHeight="1">
      <c r="A1163" s="163"/>
      <c r="B1163" s="113"/>
      <c r="D1163" s="113"/>
      <c r="F1163" s="115"/>
      <c r="G1163" s="116"/>
      <c r="H1163" s="120"/>
      <c r="I1163" s="120"/>
      <c r="J1163" s="117"/>
      <c r="K1163" s="118"/>
      <c r="L1163" s="119"/>
      <c r="M1163" s="120"/>
      <c r="N1163" s="120"/>
      <c r="O1163" s="120"/>
      <c r="P1163" s="118"/>
      <c r="Q1163" s="117"/>
      <c r="S1163" s="2"/>
      <c r="T1163" s="2"/>
    </row>
    <row r="1164" spans="1:20" ht="15" customHeight="1">
      <c r="A1164" s="163"/>
      <c r="B1164" s="113"/>
      <c r="D1164" s="113"/>
      <c r="F1164" s="115"/>
      <c r="G1164" s="116"/>
      <c r="H1164" s="120"/>
      <c r="I1164" s="120"/>
      <c r="J1164" s="117"/>
      <c r="K1164" s="118"/>
      <c r="L1164" s="119"/>
      <c r="M1164" s="120"/>
      <c r="N1164" s="120"/>
      <c r="O1164" s="120"/>
      <c r="P1164" s="118"/>
      <c r="Q1164" s="117"/>
      <c r="S1164" s="2"/>
      <c r="T1164" s="2"/>
    </row>
    <row r="1165" spans="1:20" ht="15" customHeight="1">
      <c r="A1165" s="163"/>
      <c r="B1165" s="113"/>
      <c r="D1165" s="113"/>
      <c r="F1165" s="115"/>
      <c r="G1165" s="116"/>
      <c r="H1165" s="120"/>
      <c r="I1165" s="120"/>
      <c r="J1165" s="117"/>
      <c r="K1165" s="118"/>
      <c r="L1165" s="119"/>
      <c r="M1165" s="120"/>
      <c r="N1165" s="120"/>
      <c r="O1165" s="120"/>
      <c r="P1165" s="118"/>
      <c r="Q1165" s="117"/>
      <c r="S1165" s="2"/>
      <c r="T1165" s="2"/>
    </row>
    <row r="1166" spans="1:20" ht="15" customHeight="1">
      <c r="A1166" s="163"/>
      <c r="B1166" s="113"/>
      <c r="D1166" s="113"/>
      <c r="F1166" s="115"/>
      <c r="G1166" s="116"/>
      <c r="H1166" s="120"/>
      <c r="I1166" s="120"/>
      <c r="J1166" s="117"/>
      <c r="K1166" s="118"/>
      <c r="L1166" s="119"/>
      <c r="M1166" s="120"/>
      <c r="N1166" s="120"/>
      <c r="O1166" s="120"/>
      <c r="P1166" s="118"/>
      <c r="Q1166" s="117"/>
      <c r="S1166" s="2"/>
      <c r="T1166" s="2"/>
    </row>
    <row r="1167" spans="1:20" ht="15" customHeight="1">
      <c r="A1167" s="163"/>
      <c r="B1167" s="113"/>
      <c r="D1167" s="113"/>
      <c r="F1167" s="115"/>
      <c r="G1167" s="116"/>
      <c r="H1167" s="120"/>
      <c r="I1167" s="120"/>
      <c r="J1167" s="117"/>
      <c r="K1167" s="118"/>
      <c r="L1167" s="119"/>
      <c r="M1167" s="120"/>
      <c r="N1167" s="120"/>
      <c r="O1167" s="120"/>
      <c r="P1167" s="118"/>
      <c r="Q1167" s="117"/>
      <c r="S1167" s="2"/>
      <c r="T1167" s="2"/>
    </row>
    <row r="1168" spans="1:20" ht="15" customHeight="1">
      <c r="A1168" s="163"/>
      <c r="B1168" s="113"/>
      <c r="D1168" s="113"/>
      <c r="F1168" s="115"/>
      <c r="G1168" s="116"/>
      <c r="H1168" s="120"/>
      <c r="I1168" s="120"/>
      <c r="J1168" s="117"/>
      <c r="K1168" s="118"/>
      <c r="L1168" s="119"/>
      <c r="M1168" s="120"/>
      <c r="N1168" s="120"/>
      <c r="O1168" s="120"/>
      <c r="P1168" s="118"/>
      <c r="Q1168" s="117"/>
      <c r="S1168" s="2"/>
      <c r="T1168" s="2"/>
    </row>
    <row r="1169" spans="1:20" ht="15" customHeight="1">
      <c r="A1169" s="163"/>
      <c r="B1169" s="113"/>
      <c r="D1169" s="113"/>
      <c r="F1169" s="115"/>
      <c r="G1169" s="116"/>
      <c r="H1169" s="120"/>
      <c r="I1169" s="120"/>
      <c r="J1169" s="117"/>
      <c r="K1169" s="118"/>
      <c r="L1169" s="119"/>
      <c r="M1169" s="120"/>
      <c r="N1169" s="120"/>
      <c r="O1169" s="120"/>
      <c r="P1169" s="118"/>
      <c r="Q1169" s="117"/>
      <c r="S1169" s="2"/>
      <c r="T1169" s="2"/>
    </row>
    <row r="1170" spans="1:20" ht="15" customHeight="1">
      <c r="A1170" s="163"/>
      <c r="B1170" s="113"/>
      <c r="D1170" s="113"/>
      <c r="F1170" s="115"/>
      <c r="G1170" s="116"/>
      <c r="H1170" s="120"/>
      <c r="I1170" s="120"/>
      <c r="J1170" s="117"/>
      <c r="K1170" s="118"/>
      <c r="L1170" s="119"/>
      <c r="M1170" s="120"/>
      <c r="N1170" s="120"/>
      <c r="O1170" s="120"/>
      <c r="P1170" s="118"/>
      <c r="Q1170" s="117"/>
      <c r="S1170" s="2"/>
      <c r="T1170" s="2"/>
    </row>
    <row r="1171" spans="1:20" ht="15" customHeight="1">
      <c r="A1171" s="163"/>
      <c r="B1171" s="113"/>
      <c r="D1171" s="113"/>
      <c r="F1171" s="115"/>
      <c r="G1171" s="116"/>
      <c r="H1171" s="120"/>
      <c r="I1171" s="120"/>
      <c r="J1171" s="117"/>
      <c r="K1171" s="118"/>
      <c r="L1171" s="119"/>
      <c r="M1171" s="120"/>
      <c r="N1171" s="120"/>
      <c r="O1171" s="120"/>
      <c r="P1171" s="118"/>
      <c r="Q1171" s="117"/>
      <c r="S1171" s="2"/>
      <c r="T1171" s="2"/>
    </row>
    <row r="1172" spans="1:20" ht="15" customHeight="1">
      <c r="A1172" s="163"/>
      <c r="B1172" s="113"/>
      <c r="D1172" s="113"/>
      <c r="F1172" s="115"/>
      <c r="G1172" s="116"/>
      <c r="H1172" s="120"/>
      <c r="I1172" s="120"/>
      <c r="J1172" s="117"/>
      <c r="K1172" s="118"/>
      <c r="L1172" s="119"/>
      <c r="M1172" s="120"/>
      <c r="N1172" s="120"/>
      <c r="O1172" s="120"/>
      <c r="P1172" s="118"/>
      <c r="Q1172" s="117"/>
      <c r="S1172" s="2"/>
      <c r="T1172" s="2"/>
    </row>
    <row r="1173" spans="1:20" ht="15" customHeight="1">
      <c r="A1173" s="163"/>
      <c r="B1173" s="113"/>
      <c r="D1173" s="113"/>
      <c r="F1173" s="115"/>
      <c r="G1173" s="116"/>
      <c r="H1173" s="120"/>
      <c r="I1173" s="120"/>
      <c r="J1173" s="117"/>
      <c r="K1173" s="118"/>
      <c r="L1173" s="119"/>
      <c r="M1173" s="120"/>
      <c r="N1173" s="120"/>
      <c r="O1173" s="120"/>
      <c r="P1173" s="118"/>
      <c r="Q1173" s="117"/>
      <c r="S1173" s="2"/>
      <c r="T1173" s="2"/>
    </row>
    <row r="1174" spans="1:20" ht="15" customHeight="1">
      <c r="A1174" s="163"/>
      <c r="B1174" s="113"/>
      <c r="D1174" s="113"/>
      <c r="F1174" s="115"/>
      <c r="G1174" s="116"/>
      <c r="H1174" s="120"/>
      <c r="I1174" s="120"/>
      <c r="J1174" s="117"/>
      <c r="K1174" s="118"/>
      <c r="L1174" s="119"/>
      <c r="M1174" s="120"/>
      <c r="N1174" s="120"/>
      <c r="O1174" s="120"/>
      <c r="P1174" s="118"/>
      <c r="Q1174" s="117"/>
      <c r="S1174" s="2"/>
      <c r="T1174" s="2"/>
    </row>
    <row r="1175" spans="1:20" ht="15" customHeight="1">
      <c r="A1175" s="163"/>
      <c r="B1175" s="113"/>
      <c r="D1175" s="113"/>
      <c r="F1175" s="115"/>
      <c r="G1175" s="116"/>
      <c r="H1175" s="120"/>
      <c r="I1175" s="120"/>
      <c r="J1175" s="117"/>
      <c r="K1175" s="118"/>
      <c r="L1175" s="119"/>
      <c r="M1175" s="120"/>
      <c r="N1175" s="120"/>
      <c r="O1175" s="120"/>
      <c r="P1175" s="118"/>
      <c r="Q1175" s="117"/>
      <c r="S1175" s="2"/>
      <c r="T1175" s="2"/>
    </row>
    <row r="1176" spans="1:20" ht="15" customHeight="1">
      <c r="A1176" s="163"/>
      <c r="B1176" s="113"/>
      <c r="D1176" s="113"/>
      <c r="F1176" s="115"/>
      <c r="G1176" s="116"/>
      <c r="H1176" s="120"/>
      <c r="I1176" s="120"/>
      <c r="J1176" s="117"/>
      <c r="K1176" s="118"/>
      <c r="L1176" s="119"/>
      <c r="M1176" s="120"/>
      <c r="N1176" s="120"/>
      <c r="O1176" s="120"/>
      <c r="P1176" s="118"/>
      <c r="Q1176" s="117"/>
      <c r="S1176" s="2"/>
      <c r="T1176" s="2"/>
    </row>
    <row r="1177" spans="1:20" ht="15" customHeight="1">
      <c r="A1177" s="163"/>
      <c r="B1177" s="113"/>
      <c r="D1177" s="113"/>
      <c r="F1177" s="115"/>
      <c r="G1177" s="116"/>
      <c r="H1177" s="120"/>
      <c r="I1177" s="120"/>
      <c r="J1177" s="117"/>
      <c r="K1177" s="118"/>
      <c r="L1177" s="119"/>
      <c r="M1177" s="120"/>
      <c r="N1177" s="120"/>
      <c r="O1177" s="120"/>
      <c r="P1177" s="118"/>
      <c r="Q1177" s="117"/>
      <c r="S1177" s="2"/>
      <c r="T1177" s="2"/>
    </row>
    <row r="1178" spans="1:20" ht="15" customHeight="1">
      <c r="A1178" s="163"/>
      <c r="B1178" s="113"/>
      <c r="D1178" s="113"/>
      <c r="F1178" s="115"/>
      <c r="G1178" s="116"/>
      <c r="H1178" s="120"/>
      <c r="I1178" s="120"/>
      <c r="J1178" s="117"/>
      <c r="K1178" s="118"/>
      <c r="L1178" s="119"/>
      <c r="M1178" s="120"/>
      <c r="N1178" s="120"/>
      <c r="O1178" s="120"/>
      <c r="P1178" s="118"/>
      <c r="Q1178" s="117"/>
      <c r="S1178" s="2"/>
      <c r="T1178" s="2"/>
    </row>
    <row r="1179" spans="1:20" ht="15" customHeight="1">
      <c r="A1179" s="163"/>
      <c r="B1179" s="113"/>
      <c r="D1179" s="113"/>
      <c r="F1179" s="115"/>
      <c r="G1179" s="116"/>
      <c r="H1179" s="120"/>
      <c r="I1179" s="120"/>
      <c r="J1179" s="117"/>
      <c r="K1179" s="118"/>
      <c r="L1179" s="119"/>
      <c r="M1179" s="120"/>
      <c r="N1179" s="120"/>
      <c r="O1179" s="120"/>
      <c r="P1179" s="118"/>
      <c r="Q1179" s="117"/>
      <c r="S1179" s="2"/>
      <c r="T1179" s="2"/>
    </row>
    <row r="1180" spans="1:20" ht="15" customHeight="1">
      <c r="A1180" s="163"/>
      <c r="B1180" s="113"/>
      <c r="D1180" s="113"/>
      <c r="F1180" s="115"/>
      <c r="G1180" s="116"/>
      <c r="H1180" s="120"/>
      <c r="I1180" s="120"/>
      <c r="J1180" s="117"/>
      <c r="K1180" s="118"/>
      <c r="L1180" s="119"/>
      <c r="M1180" s="120"/>
      <c r="N1180" s="120"/>
      <c r="O1180" s="120"/>
      <c r="P1180" s="118"/>
      <c r="Q1180" s="117"/>
      <c r="S1180" s="2"/>
      <c r="T1180" s="2"/>
    </row>
    <row r="1181" spans="1:20" ht="15" customHeight="1">
      <c r="A1181" s="163"/>
      <c r="B1181" s="113"/>
      <c r="D1181" s="113"/>
      <c r="F1181" s="115"/>
      <c r="G1181" s="116"/>
      <c r="H1181" s="120"/>
      <c r="I1181" s="120"/>
      <c r="J1181" s="117"/>
      <c r="K1181" s="118"/>
      <c r="L1181" s="119"/>
      <c r="M1181" s="120"/>
      <c r="N1181" s="120"/>
      <c r="O1181" s="120"/>
      <c r="P1181" s="118"/>
      <c r="Q1181" s="117"/>
      <c r="S1181" s="2"/>
      <c r="T1181" s="2"/>
    </row>
    <row r="1182" spans="1:20" ht="15" customHeight="1">
      <c r="A1182" s="163"/>
      <c r="B1182" s="113"/>
      <c r="D1182" s="113"/>
      <c r="F1182" s="115"/>
      <c r="G1182" s="116"/>
      <c r="H1182" s="120"/>
      <c r="I1182" s="120"/>
      <c r="J1182" s="117"/>
      <c r="K1182" s="118"/>
      <c r="L1182" s="119"/>
      <c r="M1182" s="120"/>
      <c r="N1182" s="120"/>
      <c r="O1182" s="120"/>
      <c r="P1182" s="118"/>
      <c r="Q1182" s="117"/>
      <c r="S1182" s="2"/>
      <c r="T1182" s="2"/>
    </row>
    <row r="1183" spans="1:20" ht="15" customHeight="1">
      <c r="A1183" s="163"/>
      <c r="B1183" s="113"/>
      <c r="D1183" s="113"/>
      <c r="F1183" s="115"/>
      <c r="G1183" s="116"/>
      <c r="H1183" s="120"/>
      <c r="I1183" s="120"/>
      <c r="J1183" s="117"/>
      <c r="K1183" s="118"/>
      <c r="L1183" s="119"/>
      <c r="M1183" s="120"/>
      <c r="N1183" s="120"/>
      <c r="O1183" s="120"/>
      <c r="P1183" s="118"/>
      <c r="Q1183" s="117"/>
      <c r="S1183" s="2"/>
      <c r="T1183" s="2"/>
    </row>
    <row r="1184" spans="1:20" ht="15" customHeight="1">
      <c r="A1184" s="163"/>
      <c r="B1184" s="113"/>
      <c r="D1184" s="113"/>
      <c r="F1184" s="115"/>
      <c r="G1184" s="116"/>
      <c r="H1184" s="120"/>
      <c r="I1184" s="120"/>
      <c r="J1184" s="117"/>
      <c r="K1184" s="118"/>
      <c r="L1184" s="119"/>
      <c r="M1184" s="120"/>
      <c r="N1184" s="120"/>
      <c r="O1184" s="120"/>
      <c r="P1184" s="118"/>
      <c r="Q1184" s="117"/>
      <c r="S1184" s="2"/>
      <c r="T1184" s="2"/>
    </row>
    <row r="1185" spans="1:20" ht="15" customHeight="1">
      <c r="A1185" s="163"/>
      <c r="B1185" s="113"/>
      <c r="D1185" s="113"/>
      <c r="F1185" s="115"/>
      <c r="G1185" s="116"/>
      <c r="H1185" s="120"/>
      <c r="I1185" s="120"/>
      <c r="J1185" s="117"/>
      <c r="K1185" s="118"/>
      <c r="L1185" s="119"/>
      <c r="M1185" s="120"/>
      <c r="N1185" s="120"/>
      <c r="O1185" s="120"/>
      <c r="P1185" s="118"/>
      <c r="Q1185" s="117"/>
      <c r="S1185" s="2"/>
      <c r="T1185" s="2"/>
    </row>
    <row r="1186" spans="1:20" ht="15" customHeight="1">
      <c r="A1186" s="163"/>
      <c r="B1186" s="113"/>
      <c r="D1186" s="113"/>
      <c r="F1186" s="115"/>
      <c r="G1186" s="116"/>
      <c r="H1186" s="120"/>
      <c r="I1186" s="120"/>
      <c r="J1186" s="117"/>
      <c r="K1186" s="118"/>
      <c r="L1186" s="119"/>
      <c r="M1186" s="120"/>
      <c r="N1186" s="120"/>
      <c r="O1186" s="120"/>
      <c r="P1186" s="118"/>
      <c r="Q1186" s="117"/>
      <c r="S1186" s="2"/>
      <c r="T1186" s="2"/>
    </row>
    <row r="1187" spans="1:20" ht="15" customHeight="1">
      <c r="A1187" s="163"/>
      <c r="B1187" s="113"/>
      <c r="D1187" s="113"/>
      <c r="F1187" s="115"/>
      <c r="G1187" s="116"/>
      <c r="H1187" s="120"/>
      <c r="I1187" s="120"/>
      <c r="J1187" s="117"/>
      <c r="K1187" s="118"/>
      <c r="L1187" s="119"/>
      <c r="M1187" s="120"/>
      <c r="N1187" s="120"/>
      <c r="O1187" s="120"/>
      <c r="P1187" s="118"/>
      <c r="Q1187" s="117"/>
      <c r="S1187" s="2"/>
      <c r="T1187" s="2"/>
    </row>
    <row r="1188" spans="1:20" ht="15" customHeight="1">
      <c r="A1188" s="163"/>
      <c r="B1188" s="113"/>
      <c r="D1188" s="113"/>
      <c r="F1188" s="115"/>
      <c r="G1188" s="116"/>
      <c r="H1188" s="120"/>
      <c r="I1188" s="120"/>
      <c r="J1188" s="117"/>
      <c r="K1188" s="118"/>
      <c r="L1188" s="119"/>
      <c r="M1188" s="120"/>
      <c r="N1188" s="120"/>
      <c r="O1188" s="120"/>
      <c r="P1188" s="118"/>
      <c r="Q1188" s="117"/>
      <c r="S1188" s="2"/>
      <c r="T1188" s="2"/>
    </row>
    <row r="1189" spans="1:20" ht="15" customHeight="1">
      <c r="A1189" s="163"/>
      <c r="B1189" s="113"/>
      <c r="D1189" s="113"/>
      <c r="F1189" s="115"/>
      <c r="G1189" s="116"/>
      <c r="H1189" s="120"/>
      <c r="I1189" s="120"/>
      <c r="J1189" s="117"/>
      <c r="K1189" s="118"/>
      <c r="L1189" s="119"/>
      <c r="M1189" s="120"/>
      <c r="N1189" s="120"/>
      <c r="O1189" s="120"/>
      <c r="P1189" s="118"/>
      <c r="Q1189" s="117"/>
      <c r="S1189" s="2"/>
      <c r="T1189" s="2"/>
    </row>
    <row r="1190" spans="1:20" ht="15" customHeight="1">
      <c r="A1190" s="163"/>
      <c r="B1190" s="113"/>
      <c r="D1190" s="113"/>
      <c r="F1190" s="115"/>
      <c r="G1190" s="116"/>
      <c r="H1190" s="120"/>
      <c r="I1190" s="120"/>
      <c r="J1190" s="117"/>
      <c r="K1190" s="118"/>
      <c r="L1190" s="119"/>
      <c r="M1190" s="120"/>
      <c r="N1190" s="120"/>
      <c r="O1190" s="120"/>
      <c r="P1190" s="118"/>
      <c r="Q1190" s="117"/>
      <c r="S1190" s="2"/>
      <c r="T1190" s="2"/>
    </row>
    <row r="1191" spans="1:20" ht="15" customHeight="1">
      <c r="A1191" s="163"/>
      <c r="B1191" s="113"/>
      <c r="D1191" s="113"/>
      <c r="F1191" s="115"/>
      <c r="G1191" s="116"/>
      <c r="H1191" s="120"/>
      <c r="I1191" s="120"/>
      <c r="J1191" s="117"/>
      <c r="K1191" s="118"/>
      <c r="L1191" s="119"/>
      <c r="M1191" s="120"/>
      <c r="N1191" s="120"/>
      <c r="O1191" s="120"/>
      <c r="P1191" s="118"/>
      <c r="Q1191" s="117"/>
      <c r="S1191" s="2"/>
      <c r="T1191" s="2"/>
    </row>
    <row r="1192" spans="1:20" ht="15" customHeight="1">
      <c r="A1192" s="163"/>
      <c r="B1192" s="113"/>
      <c r="D1192" s="113"/>
      <c r="F1192" s="115"/>
      <c r="G1192" s="116"/>
      <c r="H1192" s="120"/>
      <c r="I1192" s="120"/>
      <c r="J1192" s="117"/>
      <c r="K1192" s="118"/>
      <c r="L1192" s="119"/>
      <c r="M1192" s="120"/>
      <c r="N1192" s="120"/>
      <c r="O1192" s="120"/>
      <c r="P1192" s="118"/>
      <c r="Q1192" s="117"/>
      <c r="S1192" s="2"/>
      <c r="T1192" s="2"/>
    </row>
    <row r="1193" spans="1:20" ht="15" customHeight="1">
      <c r="A1193" s="163"/>
      <c r="B1193" s="113"/>
      <c r="D1193" s="113"/>
      <c r="F1193" s="115"/>
      <c r="G1193" s="116"/>
      <c r="H1193" s="120"/>
      <c r="I1193" s="120"/>
      <c r="J1193" s="117"/>
      <c r="K1193" s="118"/>
      <c r="L1193" s="119"/>
      <c r="M1193" s="120"/>
      <c r="N1193" s="120"/>
      <c r="O1193" s="120"/>
      <c r="P1193" s="118"/>
      <c r="Q1193" s="117"/>
      <c r="S1193" s="2"/>
      <c r="T1193" s="2"/>
    </row>
    <row r="1194" spans="1:20" ht="15" customHeight="1">
      <c r="A1194" s="163"/>
      <c r="B1194" s="113"/>
      <c r="D1194" s="113"/>
      <c r="F1194" s="115"/>
      <c r="G1194" s="116"/>
      <c r="H1194" s="120"/>
      <c r="I1194" s="120"/>
      <c r="J1194" s="117"/>
      <c r="K1194" s="118"/>
      <c r="L1194" s="119"/>
      <c r="M1194" s="120"/>
      <c r="N1194" s="120"/>
      <c r="O1194" s="120"/>
      <c r="P1194" s="118"/>
      <c r="Q1194" s="117"/>
      <c r="S1194" s="2"/>
      <c r="T1194" s="2"/>
    </row>
    <row r="1195" spans="1:20" ht="15" customHeight="1">
      <c r="A1195" s="163"/>
      <c r="B1195" s="113"/>
      <c r="D1195" s="113"/>
      <c r="F1195" s="115"/>
      <c r="G1195" s="116"/>
      <c r="H1195" s="120"/>
      <c r="I1195" s="120"/>
      <c r="J1195" s="117"/>
      <c r="K1195" s="118"/>
      <c r="L1195" s="119"/>
      <c r="M1195" s="120"/>
      <c r="N1195" s="120"/>
      <c r="O1195" s="120"/>
      <c r="P1195" s="118"/>
      <c r="Q1195" s="117"/>
      <c r="S1195" s="2"/>
      <c r="T1195" s="2"/>
    </row>
    <row r="1196" spans="1:20" ht="15" customHeight="1">
      <c r="A1196" s="163"/>
      <c r="B1196" s="113"/>
      <c r="D1196" s="113"/>
      <c r="F1196" s="115"/>
      <c r="G1196" s="116"/>
      <c r="H1196" s="120"/>
      <c r="I1196" s="120"/>
      <c r="J1196" s="117"/>
      <c r="K1196" s="118"/>
      <c r="L1196" s="119"/>
      <c r="M1196" s="120"/>
      <c r="N1196" s="120"/>
      <c r="O1196" s="120"/>
      <c r="P1196" s="118"/>
      <c r="Q1196" s="117"/>
      <c r="S1196" s="2"/>
      <c r="T1196" s="2"/>
    </row>
    <row r="1197" spans="1:20" ht="15" customHeight="1">
      <c r="A1197" s="163"/>
      <c r="B1197" s="113"/>
      <c r="D1197" s="113"/>
      <c r="F1197" s="115"/>
      <c r="G1197" s="116"/>
      <c r="H1197" s="120"/>
      <c r="I1197" s="120"/>
      <c r="J1197" s="117"/>
      <c r="K1197" s="118"/>
      <c r="L1197" s="119"/>
      <c r="M1197" s="120"/>
      <c r="N1197" s="120"/>
      <c r="O1197" s="120"/>
      <c r="P1197" s="118"/>
      <c r="Q1197" s="117"/>
      <c r="S1197" s="2"/>
      <c r="T1197" s="2"/>
    </row>
    <row r="1198" spans="1:20" ht="15" customHeight="1">
      <c r="A1198" s="163"/>
      <c r="B1198" s="113"/>
      <c r="D1198" s="113"/>
      <c r="F1198" s="115"/>
      <c r="G1198" s="116"/>
      <c r="H1198" s="120"/>
      <c r="I1198" s="120"/>
      <c r="J1198" s="117"/>
      <c r="K1198" s="118"/>
      <c r="L1198" s="119"/>
      <c r="M1198" s="120"/>
      <c r="N1198" s="120"/>
      <c r="O1198" s="120"/>
      <c r="P1198" s="118"/>
      <c r="Q1198" s="117"/>
      <c r="S1198" s="2"/>
      <c r="T1198" s="2"/>
    </row>
    <row r="1199" spans="1:20" ht="15" customHeight="1">
      <c r="A1199" s="163"/>
      <c r="B1199" s="113"/>
      <c r="D1199" s="113"/>
      <c r="F1199" s="115"/>
      <c r="G1199" s="116"/>
      <c r="H1199" s="120"/>
      <c r="I1199" s="120"/>
      <c r="J1199" s="117"/>
      <c r="K1199" s="118"/>
      <c r="L1199" s="119"/>
      <c r="M1199" s="120"/>
      <c r="N1199" s="120"/>
      <c r="O1199" s="120"/>
      <c r="P1199" s="118"/>
      <c r="Q1199" s="117"/>
      <c r="S1199" s="2"/>
      <c r="T1199" s="2"/>
    </row>
    <row r="1200" spans="1:20" ht="15" customHeight="1">
      <c r="A1200" s="163"/>
      <c r="B1200" s="113"/>
      <c r="D1200" s="113"/>
      <c r="F1200" s="115"/>
      <c r="G1200" s="116"/>
      <c r="H1200" s="120"/>
      <c r="I1200" s="120"/>
      <c r="J1200" s="117"/>
      <c r="K1200" s="118"/>
      <c r="L1200" s="119"/>
      <c r="M1200" s="120"/>
      <c r="N1200" s="120"/>
      <c r="O1200" s="120"/>
      <c r="P1200" s="118"/>
      <c r="Q1200" s="117"/>
      <c r="S1200" s="2"/>
      <c r="T1200" s="2"/>
    </row>
    <row r="1201" spans="1:20" ht="15" customHeight="1">
      <c r="A1201" s="163"/>
      <c r="B1201" s="113"/>
      <c r="D1201" s="113"/>
      <c r="F1201" s="115"/>
      <c r="G1201" s="116"/>
      <c r="H1201" s="120"/>
      <c r="I1201" s="120"/>
      <c r="J1201" s="117"/>
      <c r="K1201" s="118"/>
      <c r="L1201" s="119"/>
      <c r="M1201" s="120"/>
      <c r="N1201" s="120"/>
      <c r="O1201" s="120"/>
      <c r="P1201" s="118"/>
      <c r="Q1201" s="117"/>
      <c r="S1201" s="2"/>
      <c r="T1201" s="2"/>
    </row>
    <row r="1202" spans="1:20" ht="15" customHeight="1">
      <c r="A1202" s="163"/>
      <c r="B1202" s="113"/>
      <c r="D1202" s="113"/>
      <c r="F1202" s="115"/>
      <c r="G1202" s="116"/>
      <c r="H1202" s="120"/>
      <c r="I1202" s="120"/>
      <c r="J1202" s="117"/>
      <c r="K1202" s="118"/>
      <c r="L1202" s="119"/>
      <c r="M1202" s="120"/>
      <c r="N1202" s="120"/>
      <c r="O1202" s="120"/>
      <c r="P1202" s="118"/>
      <c r="Q1202" s="117"/>
      <c r="S1202" s="2"/>
      <c r="T1202" s="2"/>
    </row>
    <row r="1203" spans="1:20" ht="15" customHeight="1">
      <c r="A1203" s="163"/>
      <c r="B1203" s="113"/>
      <c r="D1203" s="113"/>
      <c r="F1203" s="115"/>
      <c r="G1203" s="116"/>
      <c r="H1203" s="120"/>
      <c r="I1203" s="120"/>
      <c r="J1203" s="117"/>
      <c r="K1203" s="118"/>
      <c r="L1203" s="119"/>
      <c r="M1203" s="120"/>
      <c r="N1203" s="120"/>
      <c r="O1203" s="120"/>
      <c r="P1203" s="118"/>
      <c r="Q1203" s="117"/>
      <c r="S1203" s="2"/>
      <c r="T1203" s="2"/>
    </row>
    <row r="1204" spans="1:20" ht="15" customHeight="1">
      <c r="A1204" s="163"/>
      <c r="B1204" s="113"/>
      <c r="D1204" s="113"/>
      <c r="F1204" s="115"/>
      <c r="G1204" s="116"/>
      <c r="H1204" s="120"/>
      <c r="I1204" s="120"/>
      <c r="J1204" s="117"/>
      <c r="K1204" s="118"/>
      <c r="L1204" s="119"/>
      <c r="M1204" s="120"/>
      <c r="N1204" s="120"/>
      <c r="O1204" s="120"/>
      <c r="P1204" s="118"/>
      <c r="Q1204" s="117"/>
      <c r="S1204" s="2"/>
      <c r="T1204" s="2"/>
    </row>
    <row r="1205" spans="1:20" ht="15" customHeight="1">
      <c r="A1205" s="163"/>
      <c r="B1205" s="113"/>
      <c r="D1205" s="113"/>
      <c r="F1205" s="115"/>
      <c r="G1205" s="116"/>
      <c r="H1205" s="120"/>
      <c r="I1205" s="120"/>
      <c r="J1205" s="117"/>
      <c r="K1205" s="118"/>
      <c r="L1205" s="119"/>
      <c r="M1205" s="120"/>
      <c r="N1205" s="120"/>
      <c r="O1205" s="120"/>
      <c r="P1205" s="118"/>
      <c r="Q1205" s="117"/>
      <c r="S1205" s="2"/>
      <c r="T1205" s="2"/>
    </row>
    <row r="1206" spans="1:20" ht="15" customHeight="1">
      <c r="A1206" s="163"/>
      <c r="B1206" s="113"/>
      <c r="D1206" s="113"/>
      <c r="F1206" s="115"/>
      <c r="G1206" s="116"/>
      <c r="H1206" s="120"/>
      <c r="I1206" s="120"/>
      <c r="J1206" s="117"/>
      <c r="K1206" s="118"/>
      <c r="L1206" s="119"/>
      <c r="M1206" s="120"/>
      <c r="N1206" s="120"/>
      <c r="O1206" s="120"/>
      <c r="P1206" s="118"/>
      <c r="Q1206" s="117"/>
      <c r="S1206" s="2"/>
      <c r="T1206" s="2"/>
    </row>
    <row r="1207" spans="1:20" ht="15" customHeight="1">
      <c r="A1207" s="163"/>
      <c r="B1207" s="113"/>
      <c r="D1207" s="113"/>
      <c r="F1207" s="115"/>
      <c r="G1207" s="116"/>
      <c r="H1207" s="120"/>
      <c r="I1207" s="120"/>
      <c r="J1207" s="117"/>
      <c r="K1207" s="118"/>
      <c r="L1207" s="119"/>
      <c r="M1207" s="120"/>
      <c r="N1207" s="120"/>
      <c r="O1207" s="120"/>
      <c r="P1207" s="118"/>
      <c r="Q1207" s="117"/>
      <c r="S1207" s="2"/>
      <c r="T1207" s="2"/>
    </row>
    <row r="1208" spans="1:20" ht="15" customHeight="1">
      <c r="A1208" s="163"/>
      <c r="B1208" s="113"/>
      <c r="D1208" s="113"/>
      <c r="F1208" s="115"/>
      <c r="G1208" s="116"/>
      <c r="H1208" s="120"/>
      <c r="I1208" s="120"/>
      <c r="J1208" s="117"/>
      <c r="K1208" s="118"/>
      <c r="L1208" s="119"/>
      <c r="M1208" s="120"/>
      <c r="N1208" s="120"/>
      <c r="O1208" s="120"/>
      <c r="P1208" s="118"/>
      <c r="Q1208" s="117"/>
      <c r="S1208" s="2"/>
      <c r="T1208" s="2"/>
    </row>
    <row r="1209" spans="1:20" ht="15" customHeight="1">
      <c r="A1209" s="163"/>
      <c r="B1209" s="113"/>
      <c r="D1209" s="113"/>
      <c r="F1209" s="115"/>
      <c r="G1209" s="116"/>
      <c r="H1209" s="120"/>
      <c r="I1209" s="120"/>
      <c r="J1209" s="117"/>
      <c r="K1209" s="118"/>
      <c r="L1209" s="119"/>
      <c r="M1209" s="120"/>
      <c r="N1209" s="120"/>
      <c r="O1209" s="120"/>
      <c r="P1209" s="118"/>
      <c r="Q1209" s="117"/>
      <c r="S1209" s="2"/>
      <c r="T1209" s="2"/>
    </row>
    <row r="1210" spans="1:20" ht="15" customHeight="1">
      <c r="A1210" s="163"/>
      <c r="B1210" s="113"/>
      <c r="D1210" s="113"/>
      <c r="F1210" s="115"/>
      <c r="G1210" s="116"/>
      <c r="H1210" s="120"/>
      <c r="I1210" s="120"/>
      <c r="J1210" s="117"/>
      <c r="K1210" s="118"/>
      <c r="L1210" s="119"/>
      <c r="M1210" s="120"/>
      <c r="N1210" s="120"/>
      <c r="O1210" s="120"/>
      <c r="P1210" s="118"/>
      <c r="Q1210" s="117"/>
      <c r="S1210" s="2"/>
      <c r="T1210" s="2"/>
    </row>
    <row r="1211" spans="1:20" ht="15" customHeight="1">
      <c r="A1211" s="163"/>
      <c r="B1211" s="113"/>
      <c r="D1211" s="113"/>
      <c r="F1211" s="115"/>
      <c r="G1211" s="116"/>
      <c r="H1211" s="120"/>
      <c r="I1211" s="120"/>
      <c r="J1211" s="117"/>
      <c r="K1211" s="118"/>
      <c r="L1211" s="119"/>
      <c r="M1211" s="120"/>
      <c r="N1211" s="120"/>
      <c r="O1211" s="120"/>
      <c r="P1211" s="118"/>
      <c r="Q1211" s="117"/>
      <c r="S1211" s="2"/>
      <c r="T1211" s="2"/>
    </row>
    <row r="1212" spans="1:20" ht="15" customHeight="1">
      <c r="A1212" s="163"/>
      <c r="B1212" s="113"/>
      <c r="D1212" s="113"/>
      <c r="F1212" s="115"/>
      <c r="G1212" s="116"/>
      <c r="H1212" s="120"/>
      <c r="I1212" s="120"/>
      <c r="J1212" s="117"/>
      <c r="K1212" s="118"/>
      <c r="L1212" s="119"/>
      <c r="M1212" s="120"/>
      <c r="N1212" s="120"/>
      <c r="O1212" s="120"/>
      <c r="P1212" s="118"/>
      <c r="Q1212" s="117"/>
      <c r="S1212" s="2"/>
      <c r="T1212" s="2"/>
    </row>
    <row r="1213" spans="1:20" ht="15" customHeight="1">
      <c r="A1213" s="163"/>
      <c r="B1213" s="113"/>
      <c r="D1213" s="113"/>
      <c r="F1213" s="115"/>
      <c r="G1213" s="116"/>
      <c r="H1213" s="120"/>
      <c r="I1213" s="120"/>
      <c r="J1213" s="117"/>
      <c r="K1213" s="118"/>
      <c r="L1213" s="119"/>
      <c r="M1213" s="120"/>
      <c r="N1213" s="120"/>
      <c r="O1213" s="120"/>
      <c r="P1213" s="118"/>
      <c r="Q1213" s="117"/>
      <c r="S1213" s="2"/>
      <c r="T1213" s="2"/>
    </row>
    <row r="1214" spans="1:20" ht="15" customHeight="1">
      <c r="A1214" s="163"/>
      <c r="B1214" s="113"/>
      <c r="D1214" s="113"/>
      <c r="F1214" s="115"/>
      <c r="G1214" s="116"/>
      <c r="H1214" s="120"/>
      <c r="I1214" s="120"/>
      <c r="J1214" s="117"/>
      <c r="K1214" s="118"/>
      <c r="L1214" s="119"/>
      <c r="M1214" s="120"/>
      <c r="N1214" s="120"/>
      <c r="O1214" s="120"/>
      <c r="P1214" s="118"/>
      <c r="Q1214" s="117"/>
      <c r="S1214" s="2"/>
      <c r="T1214" s="2"/>
    </row>
    <row r="1215" spans="1:20" ht="15" customHeight="1">
      <c r="A1215" s="163"/>
      <c r="B1215" s="113"/>
      <c r="D1215" s="113"/>
      <c r="F1215" s="115"/>
      <c r="G1215" s="116"/>
      <c r="H1215" s="120"/>
      <c r="I1215" s="120"/>
      <c r="J1215" s="117"/>
      <c r="K1215" s="118"/>
      <c r="L1215" s="119"/>
      <c r="M1215" s="120"/>
      <c r="N1215" s="120"/>
      <c r="O1215" s="120"/>
      <c r="P1215" s="118"/>
      <c r="Q1215" s="117"/>
      <c r="S1215" s="2"/>
      <c r="T1215" s="2"/>
    </row>
    <row r="1216" spans="1:20" ht="15" customHeight="1">
      <c r="A1216" s="163"/>
      <c r="B1216" s="113"/>
      <c r="D1216" s="113"/>
      <c r="F1216" s="115"/>
      <c r="G1216" s="116"/>
      <c r="H1216" s="120"/>
      <c r="I1216" s="120"/>
      <c r="J1216" s="117"/>
      <c r="K1216" s="118"/>
      <c r="L1216" s="119"/>
      <c r="M1216" s="120"/>
      <c r="N1216" s="120"/>
      <c r="O1216" s="120"/>
      <c r="P1216" s="118"/>
      <c r="Q1216" s="117"/>
      <c r="S1216" s="2"/>
      <c r="T1216" s="2"/>
    </row>
    <row r="1217" spans="1:20" ht="15" customHeight="1">
      <c r="A1217" s="163"/>
      <c r="B1217" s="113"/>
      <c r="D1217" s="113"/>
      <c r="F1217" s="115"/>
      <c r="G1217" s="116"/>
      <c r="H1217" s="120"/>
      <c r="I1217" s="120"/>
      <c r="J1217" s="117"/>
      <c r="K1217" s="118"/>
      <c r="L1217" s="119"/>
      <c r="M1217" s="120"/>
      <c r="N1217" s="120"/>
      <c r="O1217" s="120"/>
      <c r="P1217" s="118"/>
      <c r="Q1217" s="117"/>
      <c r="S1217" s="2"/>
      <c r="T1217" s="2"/>
    </row>
    <row r="1218" spans="1:20" ht="15" customHeight="1">
      <c r="A1218" s="163"/>
      <c r="B1218" s="113"/>
      <c r="D1218" s="113"/>
      <c r="F1218" s="115"/>
      <c r="G1218" s="116"/>
      <c r="H1218" s="120"/>
      <c r="I1218" s="120"/>
      <c r="J1218" s="117"/>
      <c r="K1218" s="118"/>
      <c r="L1218" s="119"/>
      <c r="M1218" s="120"/>
      <c r="N1218" s="120"/>
      <c r="O1218" s="120"/>
      <c r="P1218" s="118"/>
      <c r="Q1218" s="117"/>
      <c r="S1218" s="2"/>
      <c r="T1218" s="2"/>
    </row>
    <row r="1219" spans="1:20" ht="15" customHeight="1">
      <c r="A1219" s="163"/>
      <c r="B1219" s="113"/>
      <c r="D1219" s="113"/>
      <c r="F1219" s="115"/>
      <c r="G1219" s="116"/>
      <c r="H1219" s="120"/>
      <c r="I1219" s="120"/>
      <c r="J1219" s="117"/>
      <c r="K1219" s="118"/>
      <c r="L1219" s="119"/>
      <c r="M1219" s="120"/>
      <c r="N1219" s="120"/>
      <c r="O1219" s="120"/>
      <c r="P1219" s="118"/>
      <c r="Q1219" s="117"/>
      <c r="S1219" s="2"/>
      <c r="T1219" s="2"/>
    </row>
    <row r="1220" spans="1:20" ht="15" customHeight="1">
      <c r="A1220" s="163"/>
      <c r="B1220" s="113"/>
      <c r="D1220" s="113"/>
      <c r="F1220" s="115"/>
      <c r="G1220" s="116"/>
      <c r="H1220" s="120"/>
      <c r="I1220" s="120"/>
      <c r="J1220" s="117"/>
      <c r="K1220" s="118"/>
      <c r="L1220" s="119"/>
      <c r="M1220" s="120"/>
      <c r="N1220" s="120"/>
      <c r="O1220" s="120"/>
      <c r="P1220" s="118"/>
      <c r="Q1220" s="117"/>
      <c r="S1220" s="2"/>
      <c r="T1220" s="2"/>
    </row>
    <row r="1221" spans="1:20" ht="15" customHeight="1">
      <c r="A1221" s="163"/>
      <c r="B1221" s="113"/>
      <c r="D1221" s="113"/>
      <c r="F1221" s="115"/>
      <c r="G1221" s="116"/>
      <c r="H1221" s="120"/>
      <c r="I1221" s="120"/>
      <c r="J1221" s="117"/>
      <c r="K1221" s="118"/>
      <c r="L1221" s="119"/>
      <c r="M1221" s="120"/>
      <c r="N1221" s="120"/>
      <c r="O1221" s="120"/>
      <c r="P1221" s="118"/>
      <c r="Q1221" s="117"/>
      <c r="S1221" s="2"/>
      <c r="T1221" s="2"/>
    </row>
    <row r="1222" spans="1:20" ht="15" customHeight="1">
      <c r="A1222" s="163"/>
      <c r="B1222" s="113"/>
      <c r="D1222" s="113"/>
      <c r="F1222" s="115"/>
      <c r="G1222" s="116"/>
      <c r="H1222" s="120"/>
      <c r="I1222" s="120"/>
      <c r="J1222" s="117"/>
      <c r="K1222" s="118"/>
      <c r="L1222" s="119"/>
      <c r="M1222" s="120"/>
      <c r="N1222" s="120"/>
      <c r="O1222" s="120"/>
      <c r="P1222" s="118"/>
      <c r="Q1222" s="117"/>
      <c r="S1222" s="2"/>
      <c r="T1222" s="2"/>
    </row>
    <row r="1223" spans="1:20" ht="15" customHeight="1">
      <c r="A1223" s="163"/>
      <c r="B1223" s="113"/>
      <c r="D1223" s="113"/>
      <c r="F1223" s="115"/>
      <c r="G1223" s="116"/>
      <c r="H1223" s="120"/>
      <c r="I1223" s="120"/>
      <c r="J1223" s="117"/>
      <c r="K1223" s="118"/>
      <c r="L1223" s="119"/>
      <c r="M1223" s="120"/>
      <c r="N1223" s="120"/>
      <c r="O1223" s="120"/>
      <c r="P1223" s="118"/>
      <c r="Q1223" s="117"/>
      <c r="S1223" s="2"/>
      <c r="T1223" s="2"/>
    </row>
    <row r="1224" spans="1:20" ht="15" customHeight="1">
      <c r="A1224" s="163"/>
      <c r="B1224" s="113"/>
      <c r="D1224" s="113"/>
      <c r="F1224" s="115"/>
      <c r="G1224" s="116"/>
      <c r="H1224" s="120"/>
      <c r="I1224" s="120"/>
      <c r="J1224" s="117"/>
      <c r="K1224" s="118"/>
      <c r="L1224" s="119"/>
      <c r="M1224" s="120"/>
      <c r="N1224" s="120"/>
      <c r="O1224" s="120"/>
      <c r="P1224" s="118"/>
      <c r="Q1224" s="117"/>
      <c r="S1224" s="2"/>
      <c r="T1224" s="2"/>
    </row>
    <row r="1225" spans="1:20" ht="15" customHeight="1">
      <c r="A1225" s="163"/>
      <c r="B1225" s="113"/>
      <c r="D1225" s="113"/>
      <c r="F1225" s="115"/>
      <c r="G1225" s="116"/>
      <c r="H1225" s="120"/>
      <c r="I1225" s="120"/>
      <c r="J1225" s="117"/>
      <c r="K1225" s="118"/>
      <c r="L1225" s="119"/>
      <c r="M1225" s="120"/>
      <c r="N1225" s="120"/>
      <c r="O1225" s="120"/>
      <c r="P1225" s="118"/>
      <c r="Q1225" s="117"/>
      <c r="S1225" s="2"/>
      <c r="T1225" s="2"/>
    </row>
    <row r="1226" spans="1:20" ht="15" customHeight="1">
      <c r="A1226" s="163"/>
      <c r="B1226" s="113"/>
      <c r="D1226" s="113"/>
      <c r="F1226" s="115"/>
      <c r="G1226" s="116"/>
      <c r="H1226" s="120"/>
      <c r="I1226" s="120"/>
      <c r="J1226" s="117"/>
      <c r="K1226" s="118"/>
      <c r="L1226" s="119"/>
      <c r="M1226" s="120"/>
      <c r="N1226" s="120"/>
      <c r="O1226" s="120"/>
      <c r="P1226" s="118"/>
      <c r="Q1226" s="117"/>
      <c r="S1226" s="2"/>
      <c r="T1226" s="2"/>
    </row>
    <row r="1227" spans="1:20" ht="15" customHeight="1">
      <c r="A1227" s="163"/>
      <c r="B1227" s="113"/>
      <c r="D1227" s="113"/>
      <c r="F1227" s="115"/>
      <c r="G1227" s="116"/>
      <c r="H1227" s="120"/>
      <c r="I1227" s="120"/>
      <c r="J1227" s="117"/>
      <c r="K1227" s="118"/>
      <c r="L1227" s="119"/>
      <c r="M1227" s="120"/>
      <c r="N1227" s="120"/>
      <c r="O1227" s="120"/>
      <c r="P1227" s="118"/>
      <c r="Q1227" s="117"/>
      <c r="S1227" s="2"/>
      <c r="T1227" s="2"/>
    </row>
    <row r="1228" spans="1:20" ht="15" customHeight="1">
      <c r="A1228" s="163"/>
      <c r="B1228" s="113"/>
      <c r="D1228" s="113"/>
      <c r="F1228" s="115"/>
      <c r="G1228" s="116"/>
      <c r="H1228" s="120"/>
      <c r="I1228" s="120"/>
      <c r="J1228" s="117"/>
      <c r="K1228" s="118"/>
      <c r="L1228" s="119"/>
      <c r="M1228" s="120"/>
      <c r="N1228" s="120"/>
      <c r="O1228" s="120"/>
      <c r="P1228" s="118"/>
      <c r="Q1228" s="117"/>
      <c r="S1228" s="2"/>
      <c r="T1228" s="2"/>
    </row>
    <row r="1229" spans="1:20" ht="15" customHeight="1">
      <c r="A1229" s="163"/>
      <c r="B1229" s="113"/>
      <c r="D1229" s="113"/>
      <c r="F1229" s="115"/>
      <c r="G1229" s="116"/>
      <c r="H1229" s="120"/>
      <c r="I1229" s="120"/>
      <c r="J1229" s="117"/>
      <c r="K1229" s="118"/>
      <c r="L1229" s="119"/>
      <c r="M1229" s="120"/>
      <c r="N1229" s="120"/>
      <c r="O1229" s="120"/>
      <c r="P1229" s="118"/>
      <c r="Q1229" s="117"/>
      <c r="S1229" s="2"/>
      <c r="T1229" s="2"/>
    </row>
    <row r="1230" spans="1:20" ht="15" customHeight="1">
      <c r="A1230" s="163"/>
      <c r="B1230" s="113"/>
      <c r="D1230" s="113"/>
      <c r="F1230" s="115"/>
      <c r="G1230" s="116"/>
      <c r="H1230" s="120"/>
      <c r="I1230" s="120"/>
      <c r="J1230" s="117"/>
      <c r="K1230" s="118"/>
      <c r="L1230" s="119"/>
      <c r="M1230" s="120"/>
      <c r="N1230" s="120"/>
      <c r="O1230" s="120"/>
      <c r="P1230" s="118"/>
      <c r="Q1230" s="117"/>
      <c r="S1230" s="2"/>
      <c r="T1230" s="2"/>
    </row>
    <row r="1231" spans="1:20" ht="15" customHeight="1">
      <c r="A1231" s="163"/>
      <c r="B1231" s="113"/>
      <c r="D1231" s="113"/>
      <c r="F1231" s="115"/>
      <c r="G1231" s="116"/>
      <c r="H1231" s="120"/>
      <c r="I1231" s="120"/>
      <c r="J1231" s="117"/>
      <c r="K1231" s="118"/>
      <c r="L1231" s="119"/>
      <c r="M1231" s="120"/>
      <c r="N1231" s="120"/>
      <c r="O1231" s="120"/>
      <c r="P1231" s="118"/>
      <c r="Q1231" s="117"/>
      <c r="S1231" s="2"/>
      <c r="T1231" s="2"/>
    </row>
    <row r="1232" spans="1:20" ht="15" customHeight="1">
      <c r="A1232" s="163"/>
      <c r="B1232" s="113"/>
      <c r="D1232" s="113"/>
      <c r="F1232" s="115"/>
      <c r="G1232" s="116"/>
      <c r="H1232" s="120"/>
      <c r="I1232" s="120"/>
      <c r="J1232" s="117"/>
      <c r="K1232" s="118"/>
      <c r="L1232" s="119"/>
      <c r="M1232" s="120"/>
      <c r="N1232" s="120"/>
      <c r="O1232" s="120"/>
      <c r="P1232" s="118"/>
      <c r="Q1232" s="117"/>
      <c r="S1232" s="2"/>
      <c r="T1232" s="2"/>
    </row>
    <row r="1233" spans="1:20" ht="15" customHeight="1">
      <c r="A1233" s="163"/>
      <c r="B1233" s="113"/>
      <c r="D1233" s="113"/>
      <c r="F1233" s="115"/>
      <c r="G1233" s="116"/>
      <c r="H1233" s="120"/>
      <c r="I1233" s="120"/>
      <c r="J1233" s="117"/>
      <c r="K1233" s="118"/>
      <c r="L1233" s="119"/>
      <c r="M1233" s="120"/>
      <c r="N1233" s="120"/>
      <c r="O1233" s="120"/>
      <c r="P1233" s="118"/>
      <c r="Q1233" s="117"/>
      <c r="S1233" s="2"/>
      <c r="T1233" s="2"/>
    </row>
    <row r="1234" spans="1:20" ht="15" customHeight="1">
      <c r="A1234" s="163"/>
      <c r="B1234" s="113"/>
      <c r="D1234" s="113"/>
      <c r="F1234" s="115"/>
      <c r="G1234" s="116"/>
      <c r="H1234" s="120"/>
      <c r="I1234" s="120"/>
      <c r="J1234" s="117"/>
      <c r="K1234" s="118"/>
      <c r="L1234" s="119"/>
      <c r="M1234" s="120"/>
      <c r="N1234" s="120"/>
      <c r="O1234" s="120"/>
      <c r="P1234" s="118"/>
      <c r="Q1234" s="117"/>
      <c r="S1234" s="2"/>
      <c r="T1234" s="2"/>
    </row>
    <row r="1235" spans="1:20" ht="15" customHeight="1">
      <c r="A1235" s="163"/>
      <c r="B1235" s="113"/>
      <c r="D1235" s="113"/>
      <c r="F1235" s="115"/>
      <c r="G1235" s="116"/>
      <c r="H1235" s="120"/>
      <c r="I1235" s="120"/>
      <c r="J1235" s="117"/>
      <c r="K1235" s="118"/>
      <c r="L1235" s="119"/>
      <c r="M1235" s="120"/>
      <c r="N1235" s="120"/>
      <c r="O1235" s="120"/>
      <c r="P1235" s="118"/>
      <c r="Q1235" s="117"/>
      <c r="S1235" s="2"/>
      <c r="T1235" s="2"/>
    </row>
    <row r="1236" spans="1:20" ht="15" customHeight="1">
      <c r="A1236" s="163"/>
      <c r="B1236" s="113"/>
      <c r="D1236" s="113"/>
      <c r="F1236" s="115"/>
      <c r="G1236" s="116"/>
      <c r="H1236" s="120"/>
      <c r="I1236" s="120"/>
      <c r="J1236" s="117"/>
      <c r="K1236" s="118"/>
      <c r="L1236" s="119"/>
      <c r="M1236" s="120"/>
      <c r="N1236" s="120"/>
      <c r="O1236" s="120"/>
      <c r="P1236" s="118"/>
      <c r="Q1236" s="117"/>
      <c r="S1236" s="2"/>
      <c r="T1236" s="2"/>
    </row>
    <row r="1237" spans="1:20" ht="15" customHeight="1">
      <c r="A1237" s="163"/>
      <c r="B1237" s="113"/>
      <c r="D1237" s="113"/>
      <c r="F1237" s="115"/>
      <c r="G1237" s="116"/>
      <c r="H1237" s="120"/>
      <c r="I1237" s="120"/>
      <c r="J1237" s="117"/>
      <c r="K1237" s="118"/>
      <c r="L1237" s="119"/>
      <c r="M1237" s="120"/>
      <c r="N1237" s="120"/>
      <c r="O1237" s="120"/>
      <c r="P1237" s="118"/>
      <c r="Q1237" s="117"/>
      <c r="S1237" s="2"/>
      <c r="T1237" s="2"/>
    </row>
    <row r="1238" spans="1:20" ht="15" customHeight="1">
      <c r="A1238" s="163"/>
      <c r="B1238" s="113"/>
      <c r="D1238" s="113"/>
      <c r="F1238" s="115"/>
      <c r="G1238" s="116"/>
      <c r="H1238" s="120"/>
      <c r="I1238" s="120"/>
      <c r="J1238" s="117"/>
      <c r="K1238" s="118"/>
      <c r="L1238" s="119"/>
      <c r="M1238" s="120"/>
      <c r="N1238" s="120"/>
      <c r="O1238" s="120"/>
      <c r="P1238" s="118"/>
      <c r="Q1238" s="117"/>
      <c r="S1238" s="2"/>
      <c r="T1238" s="2"/>
    </row>
    <row r="1239" spans="1:20" ht="15" customHeight="1">
      <c r="A1239" s="163"/>
      <c r="B1239" s="113"/>
      <c r="D1239" s="113"/>
      <c r="F1239" s="115"/>
      <c r="G1239" s="116"/>
      <c r="H1239" s="120"/>
      <c r="I1239" s="120"/>
      <c r="J1239" s="117"/>
      <c r="K1239" s="118"/>
      <c r="L1239" s="119"/>
      <c r="M1239" s="120"/>
      <c r="N1239" s="120"/>
      <c r="O1239" s="120"/>
      <c r="P1239" s="118"/>
      <c r="Q1239" s="117"/>
      <c r="S1239" s="2"/>
      <c r="T1239" s="2"/>
    </row>
    <row r="1240" spans="1:20" ht="15" customHeight="1">
      <c r="A1240" s="163"/>
      <c r="B1240" s="113"/>
      <c r="D1240" s="113"/>
      <c r="F1240" s="115"/>
      <c r="G1240" s="116"/>
      <c r="H1240" s="120"/>
      <c r="I1240" s="120"/>
      <c r="J1240" s="117"/>
      <c r="K1240" s="118"/>
      <c r="L1240" s="119"/>
      <c r="M1240" s="120"/>
      <c r="N1240" s="120"/>
      <c r="O1240" s="120"/>
      <c r="P1240" s="118"/>
      <c r="Q1240" s="117"/>
      <c r="S1240" s="2"/>
      <c r="T1240" s="2"/>
    </row>
    <row r="1241" spans="1:20" ht="15" customHeight="1">
      <c r="A1241" s="163"/>
      <c r="B1241" s="113"/>
      <c r="D1241" s="113"/>
      <c r="F1241" s="115"/>
      <c r="G1241" s="116"/>
      <c r="H1241" s="120"/>
      <c r="I1241" s="120"/>
      <c r="J1241" s="117"/>
      <c r="K1241" s="118"/>
      <c r="L1241" s="119"/>
      <c r="M1241" s="120"/>
      <c r="N1241" s="120"/>
      <c r="O1241" s="120"/>
      <c r="P1241" s="118"/>
      <c r="Q1241" s="117"/>
      <c r="S1241" s="2"/>
      <c r="T1241" s="2"/>
    </row>
    <row r="1242" spans="1:20" ht="15" customHeight="1">
      <c r="A1242" s="163"/>
      <c r="B1242" s="113"/>
      <c r="D1242" s="113"/>
      <c r="F1242" s="115"/>
      <c r="G1242" s="116"/>
      <c r="H1242" s="120"/>
      <c r="I1242" s="120"/>
      <c r="J1242" s="117"/>
      <c r="K1242" s="118"/>
      <c r="L1242" s="119"/>
      <c r="M1242" s="120"/>
      <c r="N1242" s="120"/>
      <c r="O1242" s="120"/>
      <c r="P1242" s="118"/>
      <c r="Q1242" s="117"/>
      <c r="S1242" s="2"/>
      <c r="T1242" s="2"/>
    </row>
    <row r="1243" spans="1:20" ht="15" customHeight="1">
      <c r="A1243" s="163"/>
      <c r="B1243" s="113"/>
      <c r="D1243" s="113"/>
      <c r="F1243" s="115"/>
      <c r="G1243" s="116"/>
      <c r="H1243" s="120"/>
      <c r="I1243" s="120"/>
      <c r="J1243" s="117"/>
      <c r="K1243" s="118"/>
      <c r="L1243" s="119"/>
      <c r="M1243" s="120"/>
      <c r="N1243" s="120"/>
      <c r="O1243" s="120"/>
      <c r="P1243" s="118"/>
      <c r="Q1243" s="117"/>
      <c r="S1243" s="2"/>
      <c r="T1243" s="2"/>
    </row>
    <row r="1244" spans="1:20" ht="15" customHeight="1">
      <c r="A1244" s="163"/>
      <c r="B1244" s="113"/>
      <c r="D1244" s="113"/>
      <c r="F1244" s="115"/>
      <c r="G1244" s="116"/>
      <c r="H1244" s="120"/>
      <c r="I1244" s="120"/>
      <c r="J1244" s="117"/>
      <c r="K1244" s="118"/>
      <c r="L1244" s="119"/>
      <c r="M1244" s="120"/>
      <c r="N1244" s="120"/>
      <c r="O1244" s="120"/>
      <c r="P1244" s="118"/>
      <c r="Q1244" s="117"/>
      <c r="S1244" s="2"/>
      <c r="T1244" s="2"/>
    </row>
    <row r="1245" spans="1:20" ht="15" customHeight="1">
      <c r="A1245" s="163"/>
      <c r="B1245" s="113"/>
      <c r="D1245" s="113"/>
      <c r="F1245" s="115"/>
      <c r="G1245" s="116"/>
      <c r="H1245" s="120"/>
      <c r="I1245" s="120"/>
      <c r="J1245" s="117"/>
      <c r="K1245" s="118"/>
      <c r="L1245" s="119"/>
      <c r="M1245" s="120"/>
      <c r="N1245" s="120"/>
      <c r="O1245" s="120"/>
      <c r="P1245" s="118"/>
      <c r="Q1245" s="117"/>
      <c r="S1245" s="2"/>
      <c r="T1245" s="2"/>
    </row>
    <row r="1246" spans="1:20" ht="15" customHeight="1">
      <c r="A1246" s="163"/>
      <c r="B1246" s="113"/>
      <c r="D1246" s="113"/>
      <c r="F1246" s="115"/>
      <c r="G1246" s="116"/>
      <c r="H1246" s="120"/>
      <c r="I1246" s="120"/>
      <c r="J1246" s="117"/>
      <c r="K1246" s="118"/>
      <c r="L1246" s="119"/>
      <c r="M1246" s="120"/>
      <c r="N1246" s="120"/>
      <c r="O1246" s="120"/>
      <c r="P1246" s="118"/>
      <c r="Q1246" s="117"/>
      <c r="S1246" s="2"/>
      <c r="T1246" s="2"/>
    </row>
    <row r="1247" spans="1:20" ht="15" customHeight="1">
      <c r="A1247" s="163"/>
      <c r="B1247" s="113"/>
      <c r="D1247" s="113"/>
      <c r="F1247" s="115"/>
      <c r="G1247" s="116"/>
      <c r="H1247" s="120"/>
      <c r="I1247" s="120"/>
      <c r="J1247" s="117"/>
      <c r="K1247" s="118"/>
      <c r="L1247" s="119"/>
      <c r="M1247" s="120"/>
      <c r="N1247" s="120"/>
      <c r="O1247" s="120"/>
      <c r="P1247" s="118"/>
      <c r="Q1247" s="117"/>
      <c r="S1247" s="2"/>
      <c r="T1247" s="2"/>
    </row>
    <row r="1248" spans="1:20" ht="15" customHeight="1">
      <c r="A1248" s="163"/>
      <c r="B1248" s="113"/>
      <c r="D1248" s="113"/>
      <c r="F1248" s="115"/>
      <c r="G1248" s="116"/>
      <c r="H1248" s="120"/>
      <c r="I1248" s="120"/>
      <c r="J1248" s="117"/>
      <c r="K1248" s="118"/>
      <c r="L1248" s="119"/>
      <c r="M1248" s="120"/>
      <c r="N1248" s="120"/>
      <c r="O1248" s="120"/>
      <c r="P1248" s="118"/>
      <c r="Q1248" s="117"/>
      <c r="S1248" s="2"/>
      <c r="T1248" s="2"/>
    </row>
    <row r="1249" spans="1:20" ht="15" customHeight="1">
      <c r="A1249" s="163"/>
      <c r="B1249" s="113"/>
      <c r="D1249" s="113"/>
      <c r="F1249" s="115"/>
      <c r="G1249" s="116"/>
      <c r="H1249" s="120"/>
      <c r="I1249" s="120"/>
      <c r="J1249" s="117"/>
      <c r="K1249" s="118"/>
      <c r="L1249" s="119"/>
      <c r="M1249" s="120"/>
      <c r="N1249" s="120"/>
      <c r="O1249" s="120"/>
      <c r="P1249" s="118"/>
      <c r="Q1249" s="117"/>
      <c r="S1249" s="2"/>
      <c r="T1249" s="2"/>
    </row>
    <row r="1250" spans="1:20" ht="15" customHeight="1">
      <c r="A1250" s="163"/>
      <c r="B1250" s="113"/>
      <c r="D1250" s="113"/>
      <c r="F1250" s="115"/>
      <c r="G1250" s="116"/>
      <c r="H1250" s="120"/>
      <c r="I1250" s="120"/>
      <c r="J1250" s="117"/>
      <c r="K1250" s="118"/>
      <c r="L1250" s="119"/>
      <c r="M1250" s="120"/>
      <c r="N1250" s="120"/>
      <c r="O1250" s="120"/>
      <c r="P1250" s="118"/>
      <c r="Q1250" s="117"/>
      <c r="S1250" s="2"/>
      <c r="T1250" s="2"/>
    </row>
    <row r="1251" spans="1:20" ht="15" customHeight="1">
      <c r="A1251" s="163"/>
      <c r="B1251" s="113"/>
      <c r="D1251" s="113"/>
      <c r="F1251" s="115"/>
      <c r="G1251" s="116"/>
      <c r="H1251" s="120"/>
      <c r="I1251" s="120"/>
      <c r="J1251" s="117"/>
      <c r="K1251" s="118"/>
      <c r="L1251" s="119"/>
      <c r="M1251" s="120"/>
      <c r="N1251" s="120"/>
      <c r="O1251" s="120"/>
      <c r="P1251" s="118"/>
      <c r="Q1251" s="117"/>
      <c r="S1251" s="2"/>
      <c r="T1251" s="2"/>
    </row>
    <row r="1252" spans="1:20" ht="15" customHeight="1">
      <c r="A1252" s="163"/>
      <c r="B1252" s="113"/>
      <c r="D1252" s="113"/>
      <c r="F1252" s="115"/>
      <c r="G1252" s="116"/>
      <c r="H1252" s="120"/>
      <c r="I1252" s="120"/>
      <c r="J1252" s="117"/>
      <c r="K1252" s="118"/>
      <c r="L1252" s="119"/>
      <c r="M1252" s="120"/>
      <c r="N1252" s="120"/>
      <c r="O1252" s="120"/>
      <c r="P1252" s="118"/>
      <c r="Q1252" s="117"/>
      <c r="S1252" s="2"/>
      <c r="T1252" s="2"/>
    </row>
    <row r="1253" spans="1:20" ht="15" customHeight="1">
      <c r="A1253" s="163"/>
      <c r="B1253" s="113"/>
      <c r="D1253" s="113"/>
      <c r="F1253" s="115"/>
      <c r="G1253" s="116"/>
      <c r="H1253" s="120"/>
      <c r="I1253" s="120"/>
      <c r="J1253" s="117"/>
      <c r="K1253" s="118"/>
      <c r="L1253" s="119"/>
      <c r="M1253" s="120"/>
      <c r="N1253" s="120"/>
      <c r="O1253" s="120"/>
      <c r="P1253" s="118"/>
      <c r="Q1253" s="117"/>
      <c r="S1253" s="2"/>
      <c r="T1253" s="2"/>
    </row>
    <row r="1254" spans="1:20" ht="15" customHeight="1">
      <c r="A1254" s="163"/>
      <c r="B1254" s="113"/>
      <c r="D1254" s="113"/>
      <c r="F1254" s="115"/>
      <c r="G1254" s="116"/>
      <c r="H1254" s="120"/>
      <c r="I1254" s="120"/>
      <c r="J1254" s="117"/>
      <c r="K1254" s="118"/>
      <c r="L1254" s="119"/>
      <c r="M1254" s="120"/>
      <c r="N1254" s="120"/>
      <c r="O1254" s="120"/>
      <c r="P1254" s="118"/>
      <c r="Q1254" s="117"/>
      <c r="S1254" s="2"/>
      <c r="T1254" s="2"/>
    </row>
    <row r="1255" spans="1:20" ht="15" customHeight="1">
      <c r="A1255" s="163"/>
      <c r="B1255" s="113"/>
      <c r="D1255" s="113"/>
      <c r="F1255" s="115"/>
      <c r="G1255" s="116"/>
      <c r="H1255" s="120"/>
      <c r="I1255" s="120"/>
      <c r="J1255" s="117"/>
      <c r="K1255" s="118"/>
      <c r="L1255" s="119"/>
      <c r="M1255" s="120"/>
      <c r="N1255" s="120"/>
      <c r="O1255" s="120"/>
      <c r="P1255" s="118"/>
      <c r="Q1255" s="117"/>
      <c r="S1255" s="2"/>
      <c r="T1255" s="2"/>
    </row>
    <row r="1256" spans="1:20" ht="15" customHeight="1">
      <c r="A1256" s="163"/>
      <c r="B1256" s="113"/>
      <c r="D1256" s="113"/>
      <c r="F1256" s="115"/>
      <c r="G1256" s="116"/>
      <c r="H1256" s="120"/>
      <c r="I1256" s="120"/>
      <c r="J1256" s="117"/>
      <c r="K1256" s="118"/>
      <c r="L1256" s="119"/>
      <c r="M1256" s="120"/>
      <c r="N1256" s="120"/>
      <c r="O1256" s="120"/>
      <c r="P1256" s="118"/>
      <c r="Q1256" s="117"/>
      <c r="S1256" s="2"/>
      <c r="T1256" s="2"/>
    </row>
    <row r="1257" spans="1:20" ht="15" customHeight="1">
      <c r="A1257" s="163"/>
      <c r="B1257" s="113"/>
      <c r="D1257" s="113"/>
      <c r="F1257" s="115"/>
      <c r="G1257" s="116"/>
      <c r="H1257" s="120"/>
      <c r="I1257" s="120"/>
      <c r="J1257" s="117"/>
      <c r="K1257" s="118"/>
      <c r="L1257" s="119"/>
      <c r="M1257" s="120"/>
      <c r="N1257" s="120"/>
      <c r="O1257" s="120"/>
      <c r="P1257" s="118"/>
      <c r="Q1257" s="117"/>
      <c r="S1257" s="2"/>
      <c r="T1257" s="2"/>
    </row>
    <row r="1258" spans="1:20" ht="15" customHeight="1">
      <c r="A1258" s="163"/>
      <c r="B1258" s="113"/>
      <c r="D1258" s="113"/>
      <c r="F1258" s="115"/>
      <c r="G1258" s="116"/>
      <c r="H1258" s="120"/>
      <c r="I1258" s="120"/>
      <c r="J1258" s="117"/>
      <c r="K1258" s="118"/>
      <c r="L1258" s="119"/>
      <c r="M1258" s="120"/>
      <c r="N1258" s="120"/>
      <c r="O1258" s="120"/>
      <c r="P1258" s="118"/>
      <c r="Q1258" s="117"/>
      <c r="S1258" s="2"/>
      <c r="T1258" s="2"/>
    </row>
    <row r="1259" spans="1:20" ht="15" customHeight="1">
      <c r="A1259" s="163"/>
      <c r="B1259" s="113"/>
      <c r="D1259" s="113"/>
      <c r="F1259" s="115"/>
      <c r="G1259" s="116"/>
      <c r="H1259" s="120"/>
      <c r="I1259" s="120"/>
      <c r="J1259" s="117"/>
      <c r="K1259" s="118"/>
      <c r="L1259" s="119"/>
      <c r="M1259" s="120"/>
      <c r="N1259" s="120"/>
      <c r="O1259" s="120"/>
      <c r="P1259" s="118"/>
      <c r="Q1259" s="117"/>
      <c r="S1259" s="2"/>
      <c r="T1259" s="2"/>
    </row>
    <row r="1260" spans="1:20" ht="15" customHeight="1">
      <c r="A1260" s="163"/>
      <c r="B1260" s="113"/>
      <c r="D1260" s="113"/>
      <c r="F1260" s="115"/>
      <c r="G1260" s="116"/>
      <c r="H1260" s="120"/>
      <c r="I1260" s="120"/>
      <c r="J1260" s="117"/>
      <c r="K1260" s="118"/>
      <c r="L1260" s="119"/>
      <c r="M1260" s="120"/>
      <c r="N1260" s="120"/>
      <c r="O1260" s="120"/>
      <c r="P1260" s="118"/>
      <c r="Q1260" s="117"/>
      <c r="S1260" s="2"/>
      <c r="T1260" s="2"/>
    </row>
    <row r="1261" spans="1:20" ht="15" customHeight="1">
      <c r="A1261" s="163"/>
      <c r="B1261" s="113"/>
      <c r="D1261" s="113"/>
      <c r="F1261" s="115"/>
      <c r="G1261" s="116"/>
      <c r="H1261" s="120"/>
      <c r="I1261" s="120"/>
      <c r="J1261" s="117"/>
      <c r="K1261" s="118"/>
      <c r="L1261" s="119"/>
      <c r="M1261" s="120"/>
      <c r="N1261" s="120"/>
      <c r="O1261" s="120"/>
      <c r="P1261" s="118"/>
      <c r="Q1261" s="117"/>
      <c r="S1261" s="2"/>
      <c r="T1261" s="2"/>
    </row>
    <row r="1262" spans="1:20" ht="15" customHeight="1">
      <c r="A1262" s="163"/>
      <c r="B1262" s="113"/>
      <c r="D1262" s="113"/>
      <c r="F1262" s="115"/>
      <c r="G1262" s="116"/>
      <c r="H1262" s="120"/>
      <c r="I1262" s="120"/>
      <c r="J1262" s="117"/>
      <c r="K1262" s="118"/>
      <c r="L1262" s="119"/>
      <c r="M1262" s="120"/>
      <c r="N1262" s="120"/>
      <c r="O1262" s="120"/>
      <c r="P1262" s="118"/>
      <c r="Q1262" s="117"/>
      <c r="S1262" s="2"/>
      <c r="T1262" s="2"/>
    </row>
    <row r="1263" spans="1:20" ht="15" customHeight="1">
      <c r="A1263" s="163"/>
      <c r="B1263" s="113"/>
      <c r="D1263" s="113"/>
      <c r="F1263" s="115"/>
      <c r="G1263" s="116"/>
      <c r="H1263" s="120"/>
      <c r="I1263" s="120"/>
      <c r="J1263" s="117"/>
      <c r="K1263" s="118"/>
      <c r="L1263" s="119"/>
      <c r="M1263" s="120"/>
      <c r="N1263" s="120"/>
      <c r="O1263" s="120"/>
      <c r="P1263" s="118"/>
      <c r="Q1263" s="117"/>
      <c r="S1263" s="2"/>
      <c r="T1263" s="2"/>
    </row>
    <row r="1264" spans="1:20" ht="15" customHeight="1">
      <c r="A1264" s="163"/>
      <c r="B1264" s="113"/>
      <c r="D1264" s="113"/>
      <c r="F1264" s="115"/>
      <c r="G1264" s="116"/>
      <c r="H1264" s="120"/>
      <c r="I1264" s="120"/>
      <c r="J1264" s="117"/>
      <c r="K1264" s="118"/>
      <c r="L1264" s="119"/>
      <c r="M1264" s="120"/>
      <c r="N1264" s="120"/>
      <c r="O1264" s="120"/>
      <c r="P1264" s="118"/>
      <c r="Q1264" s="117"/>
      <c r="S1264" s="2"/>
      <c r="T1264" s="2"/>
    </row>
    <row r="1265" spans="1:20" ht="15" customHeight="1">
      <c r="A1265" s="163"/>
      <c r="B1265" s="113"/>
      <c r="D1265" s="113"/>
      <c r="F1265" s="115"/>
      <c r="G1265" s="116"/>
      <c r="H1265" s="120"/>
      <c r="I1265" s="120"/>
      <c r="J1265" s="117"/>
      <c r="K1265" s="118"/>
      <c r="L1265" s="119"/>
      <c r="M1265" s="120"/>
      <c r="N1265" s="120"/>
      <c r="O1265" s="120"/>
      <c r="P1265" s="118"/>
      <c r="Q1265" s="117"/>
      <c r="S1265" s="2"/>
      <c r="T1265" s="2"/>
    </row>
    <row r="1266" spans="1:20" ht="15" customHeight="1">
      <c r="A1266" s="163"/>
      <c r="B1266" s="113"/>
      <c r="D1266" s="113"/>
      <c r="F1266" s="115"/>
      <c r="G1266" s="116"/>
      <c r="H1266" s="120"/>
      <c r="I1266" s="120"/>
      <c r="J1266" s="117"/>
      <c r="K1266" s="118"/>
      <c r="L1266" s="119"/>
      <c r="M1266" s="120"/>
      <c r="N1266" s="120"/>
      <c r="O1266" s="120"/>
      <c r="P1266" s="118"/>
      <c r="Q1266" s="117"/>
      <c r="S1266" s="2"/>
      <c r="T1266" s="2"/>
    </row>
    <row r="1267" spans="1:20" ht="15" customHeight="1">
      <c r="A1267" s="163"/>
      <c r="B1267" s="113"/>
      <c r="D1267" s="113"/>
      <c r="F1267" s="115"/>
      <c r="G1267" s="116"/>
      <c r="H1267" s="120"/>
      <c r="I1267" s="120"/>
      <c r="J1267" s="117"/>
      <c r="K1267" s="118"/>
      <c r="L1267" s="119"/>
      <c r="M1267" s="120"/>
      <c r="N1267" s="120"/>
      <c r="O1267" s="120"/>
      <c r="P1267" s="118"/>
      <c r="Q1267" s="117"/>
      <c r="S1267" s="2"/>
      <c r="T1267" s="2"/>
    </row>
    <row r="1268" spans="1:20" ht="15" customHeight="1">
      <c r="A1268" s="163"/>
      <c r="B1268" s="113"/>
      <c r="D1268" s="113"/>
      <c r="F1268" s="115"/>
      <c r="G1268" s="116"/>
      <c r="H1268" s="120"/>
      <c r="I1268" s="120"/>
      <c r="J1268" s="117"/>
      <c r="K1268" s="118"/>
      <c r="L1268" s="119"/>
      <c r="M1268" s="120"/>
      <c r="N1268" s="120"/>
      <c r="O1268" s="120"/>
      <c r="P1268" s="118"/>
      <c r="Q1268" s="117"/>
      <c r="S1268" s="2"/>
      <c r="T1268" s="2"/>
    </row>
    <row r="1269" spans="1:20" ht="15" customHeight="1">
      <c r="A1269" s="163"/>
      <c r="B1269" s="113"/>
      <c r="D1269" s="113"/>
      <c r="F1269" s="115"/>
      <c r="G1269" s="116"/>
      <c r="H1269" s="120"/>
      <c r="I1269" s="120"/>
      <c r="J1269" s="117"/>
      <c r="K1269" s="118"/>
      <c r="L1269" s="119"/>
      <c r="M1269" s="120"/>
      <c r="N1269" s="120"/>
      <c r="O1269" s="120"/>
      <c r="P1269" s="118"/>
      <c r="Q1269" s="117"/>
      <c r="S1269" s="2"/>
      <c r="T1269" s="2"/>
    </row>
    <row r="1270" spans="1:20" ht="15" customHeight="1">
      <c r="A1270" s="163"/>
      <c r="B1270" s="113"/>
      <c r="D1270" s="113"/>
      <c r="F1270" s="115"/>
      <c r="G1270" s="116"/>
      <c r="H1270" s="120"/>
      <c r="I1270" s="120"/>
      <c r="J1270" s="117"/>
      <c r="K1270" s="118"/>
      <c r="L1270" s="119"/>
      <c r="M1270" s="120"/>
      <c r="N1270" s="120"/>
      <c r="O1270" s="120"/>
      <c r="P1270" s="118"/>
      <c r="Q1270" s="117"/>
      <c r="S1270" s="2"/>
      <c r="T1270" s="2"/>
    </row>
    <row r="1271" spans="1:20" ht="15" customHeight="1">
      <c r="A1271" s="163"/>
      <c r="B1271" s="113"/>
      <c r="D1271" s="113"/>
      <c r="F1271" s="115"/>
      <c r="G1271" s="116"/>
      <c r="H1271" s="120"/>
      <c r="I1271" s="120"/>
      <c r="J1271" s="117"/>
      <c r="K1271" s="118"/>
      <c r="L1271" s="119"/>
      <c r="M1271" s="120"/>
      <c r="N1271" s="120"/>
      <c r="O1271" s="120"/>
      <c r="P1271" s="118"/>
      <c r="Q1271" s="117"/>
      <c r="S1271" s="2"/>
      <c r="T1271" s="2"/>
    </row>
    <row r="1272" spans="1:20" ht="15" customHeight="1">
      <c r="A1272" s="163"/>
      <c r="B1272" s="113"/>
      <c r="D1272" s="113"/>
      <c r="F1272" s="115"/>
      <c r="G1272" s="116"/>
      <c r="H1272" s="120"/>
      <c r="I1272" s="120"/>
      <c r="J1272" s="117"/>
      <c r="K1272" s="118"/>
      <c r="L1272" s="119"/>
      <c r="M1272" s="120"/>
      <c r="N1272" s="120"/>
      <c r="O1272" s="120"/>
      <c r="P1272" s="118"/>
      <c r="Q1272" s="117"/>
      <c r="S1272" s="2"/>
      <c r="T1272" s="2"/>
    </row>
    <row r="1273" spans="1:20" ht="15" customHeight="1">
      <c r="A1273" s="163"/>
      <c r="B1273" s="113"/>
      <c r="D1273" s="113"/>
      <c r="F1273" s="115"/>
      <c r="G1273" s="116"/>
      <c r="H1273" s="120"/>
      <c r="I1273" s="120"/>
      <c r="J1273" s="117"/>
      <c r="K1273" s="118"/>
      <c r="L1273" s="119"/>
      <c r="M1273" s="120"/>
      <c r="N1273" s="120"/>
      <c r="O1273" s="120"/>
      <c r="P1273" s="118"/>
      <c r="Q1273" s="117"/>
      <c r="S1273" s="2"/>
      <c r="T1273" s="2"/>
    </row>
    <row r="1274" spans="1:20" ht="15" customHeight="1">
      <c r="A1274" s="163"/>
      <c r="B1274" s="113"/>
      <c r="D1274" s="113"/>
      <c r="F1274" s="115"/>
      <c r="G1274" s="116"/>
      <c r="H1274" s="120"/>
      <c r="I1274" s="120"/>
      <c r="J1274" s="117"/>
      <c r="K1274" s="118"/>
      <c r="L1274" s="119"/>
      <c r="M1274" s="120"/>
      <c r="N1274" s="120"/>
      <c r="O1274" s="120"/>
      <c r="P1274" s="118"/>
      <c r="Q1274" s="117"/>
      <c r="S1274" s="2"/>
      <c r="T1274" s="2"/>
    </row>
    <row r="1275" spans="1:20" ht="15" customHeight="1">
      <c r="A1275" s="163"/>
      <c r="B1275" s="113"/>
      <c r="D1275" s="113"/>
      <c r="F1275" s="115"/>
      <c r="G1275" s="116"/>
      <c r="H1275" s="120"/>
      <c r="I1275" s="120"/>
      <c r="J1275" s="117"/>
      <c r="K1275" s="118"/>
      <c r="L1275" s="119"/>
      <c r="M1275" s="120"/>
      <c r="N1275" s="120"/>
      <c r="O1275" s="120"/>
      <c r="P1275" s="118"/>
      <c r="Q1275" s="117"/>
      <c r="S1275" s="2"/>
      <c r="T1275" s="2"/>
    </row>
    <row r="1276" spans="1:20" ht="15" customHeight="1">
      <c r="A1276" s="163"/>
      <c r="B1276" s="113"/>
      <c r="D1276" s="113"/>
      <c r="F1276" s="115"/>
      <c r="G1276" s="116"/>
      <c r="H1276" s="120"/>
      <c r="I1276" s="120"/>
      <c r="J1276" s="117"/>
      <c r="K1276" s="118"/>
      <c r="L1276" s="119"/>
      <c r="M1276" s="120"/>
      <c r="N1276" s="120"/>
      <c r="O1276" s="120"/>
      <c r="P1276" s="118"/>
      <c r="Q1276" s="117"/>
      <c r="S1276" s="2"/>
      <c r="T1276" s="2"/>
    </row>
    <row r="1277" spans="1:20" ht="15" customHeight="1">
      <c r="A1277" s="163"/>
      <c r="B1277" s="113"/>
      <c r="D1277" s="113"/>
      <c r="F1277" s="115"/>
      <c r="G1277" s="116"/>
      <c r="H1277" s="120"/>
      <c r="I1277" s="120"/>
      <c r="J1277" s="117"/>
      <c r="K1277" s="118"/>
      <c r="L1277" s="119"/>
      <c r="M1277" s="120"/>
      <c r="N1277" s="120"/>
      <c r="O1277" s="120"/>
      <c r="P1277" s="118"/>
      <c r="Q1277" s="117"/>
      <c r="S1277" s="2"/>
      <c r="T1277" s="2"/>
    </row>
    <row r="1278" spans="1:20" ht="15" customHeight="1">
      <c r="A1278" s="163"/>
      <c r="B1278" s="113"/>
      <c r="D1278" s="113"/>
      <c r="F1278" s="115"/>
      <c r="G1278" s="116"/>
      <c r="H1278" s="120"/>
      <c r="I1278" s="120"/>
      <c r="J1278" s="117"/>
      <c r="K1278" s="118"/>
      <c r="L1278" s="119"/>
      <c r="M1278" s="120"/>
      <c r="N1278" s="120"/>
      <c r="O1278" s="120"/>
      <c r="P1278" s="118"/>
      <c r="Q1278" s="117"/>
      <c r="S1278" s="2"/>
      <c r="T1278" s="2"/>
    </row>
    <row r="1279" spans="1:20" ht="15" customHeight="1">
      <c r="A1279" s="163"/>
      <c r="B1279" s="113"/>
      <c r="D1279" s="113"/>
      <c r="F1279" s="115"/>
      <c r="G1279" s="116"/>
      <c r="H1279" s="120"/>
      <c r="I1279" s="120"/>
      <c r="J1279" s="117"/>
      <c r="K1279" s="118"/>
      <c r="L1279" s="119"/>
      <c r="M1279" s="120"/>
      <c r="N1279" s="120"/>
      <c r="O1279" s="120"/>
      <c r="P1279" s="118"/>
      <c r="Q1279" s="117"/>
      <c r="S1279" s="2"/>
      <c r="T1279" s="2"/>
    </row>
    <row r="1280" spans="1:20" ht="15" customHeight="1">
      <c r="A1280" s="163"/>
      <c r="B1280" s="113"/>
      <c r="D1280" s="113"/>
      <c r="F1280" s="115"/>
      <c r="G1280" s="116"/>
      <c r="H1280" s="120"/>
      <c r="I1280" s="120"/>
      <c r="J1280" s="117"/>
      <c r="K1280" s="118"/>
      <c r="L1280" s="119"/>
      <c r="M1280" s="120"/>
      <c r="N1280" s="120"/>
      <c r="O1280" s="120"/>
      <c r="P1280" s="118"/>
      <c r="Q1280" s="117"/>
      <c r="S1280" s="2"/>
      <c r="T1280" s="2"/>
    </row>
    <row r="1281" spans="1:20" ht="15" customHeight="1">
      <c r="A1281" s="163"/>
      <c r="B1281" s="113"/>
      <c r="D1281" s="113"/>
      <c r="F1281" s="115"/>
      <c r="G1281" s="116"/>
      <c r="H1281" s="120"/>
      <c r="I1281" s="120"/>
      <c r="J1281" s="117"/>
      <c r="K1281" s="118"/>
      <c r="L1281" s="119"/>
      <c r="M1281" s="120"/>
      <c r="N1281" s="120"/>
      <c r="O1281" s="120"/>
      <c r="P1281" s="118"/>
      <c r="Q1281" s="117"/>
      <c r="S1281" s="2"/>
      <c r="T1281" s="2"/>
    </row>
    <row r="1282" spans="1:20" ht="15" customHeight="1">
      <c r="A1282" s="163"/>
      <c r="B1282" s="113"/>
      <c r="D1282" s="113"/>
      <c r="F1282" s="115"/>
      <c r="G1282" s="116"/>
      <c r="H1282" s="120"/>
      <c r="I1282" s="120"/>
      <c r="J1282" s="117"/>
      <c r="K1282" s="118"/>
      <c r="L1282" s="119"/>
      <c r="M1282" s="120"/>
      <c r="N1282" s="120"/>
      <c r="O1282" s="120"/>
      <c r="P1282" s="118"/>
      <c r="Q1282" s="117"/>
      <c r="S1282" s="2"/>
      <c r="T1282" s="2"/>
    </row>
    <row r="1283" spans="1:20" ht="15" customHeight="1">
      <c r="A1283" s="163"/>
      <c r="B1283" s="113"/>
      <c r="D1283" s="113"/>
      <c r="F1283" s="115"/>
      <c r="G1283" s="116"/>
      <c r="H1283" s="120"/>
      <c r="I1283" s="120"/>
      <c r="J1283" s="117"/>
      <c r="K1283" s="118"/>
      <c r="L1283" s="119"/>
      <c r="M1283" s="120"/>
      <c r="N1283" s="120"/>
      <c r="O1283" s="120"/>
      <c r="P1283" s="118"/>
      <c r="Q1283" s="117"/>
      <c r="S1283" s="2"/>
      <c r="T1283" s="2"/>
    </row>
    <row r="1284" spans="1:20" ht="15" customHeight="1">
      <c r="A1284" s="163"/>
      <c r="B1284" s="113"/>
      <c r="D1284" s="113"/>
      <c r="F1284" s="115"/>
      <c r="G1284" s="116"/>
      <c r="H1284" s="120"/>
      <c r="I1284" s="120"/>
      <c r="J1284" s="117"/>
      <c r="K1284" s="118"/>
      <c r="L1284" s="119"/>
      <c r="M1284" s="120"/>
      <c r="N1284" s="120"/>
      <c r="O1284" s="120"/>
      <c r="P1284" s="118"/>
      <c r="Q1284" s="117"/>
      <c r="S1284" s="2"/>
      <c r="T1284" s="2"/>
    </row>
    <row r="1285" spans="1:20" ht="15" customHeight="1">
      <c r="A1285" s="163"/>
      <c r="B1285" s="113"/>
      <c r="D1285" s="113"/>
      <c r="F1285" s="115"/>
      <c r="G1285" s="116"/>
      <c r="H1285" s="120"/>
      <c r="I1285" s="120"/>
      <c r="J1285" s="117"/>
      <c r="K1285" s="118"/>
      <c r="L1285" s="119"/>
      <c r="M1285" s="120"/>
      <c r="N1285" s="120"/>
      <c r="O1285" s="120"/>
      <c r="P1285" s="118"/>
      <c r="Q1285" s="117"/>
      <c r="S1285" s="2"/>
      <c r="T1285" s="2"/>
    </row>
    <row r="1286" spans="1:20" ht="15" customHeight="1">
      <c r="A1286" s="163"/>
      <c r="B1286" s="113"/>
      <c r="D1286" s="113"/>
      <c r="F1286" s="115"/>
      <c r="G1286" s="116"/>
      <c r="H1286" s="120"/>
      <c r="I1286" s="120"/>
      <c r="J1286" s="117"/>
      <c r="K1286" s="118"/>
      <c r="L1286" s="119"/>
      <c r="M1286" s="120"/>
      <c r="N1286" s="120"/>
      <c r="O1286" s="120"/>
      <c r="P1286" s="118"/>
      <c r="Q1286" s="117"/>
      <c r="S1286" s="2"/>
      <c r="T1286" s="2"/>
    </row>
    <row r="1287" spans="1:20" ht="15" customHeight="1">
      <c r="A1287" s="163"/>
      <c r="B1287" s="113"/>
      <c r="D1287" s="113"/>
      <c r="F1287" s="115"/>
      <c r="G1287" s="116"/>
      <c r="H1287" s="120"/>
      <c r="I1287" s="120"/>
      <c r="J1287" s="117"/>
      <c r="K1287" s="118"/>
      <c r="L1287" s="119"/>
      <c r="M1287" s="120"/>
      <c r="N1287" s="120"/>
      <c r="O1287" s="120"/>
      <c r="P1287" s="118"/>
      <c r="Q1287" s="117"/>
      <c r="S1287" s="2"/>
      <c r="T1287" s="2"/>
    </row>
    <row r="1288" spans="1:20" ht="15" customHeight="1">
      <c r="A1288" s="163"/>
      <c r="B1288" s="113"/>
      <c r="D1288" s="113"/>
      <c r="F1288" s="115"/>
      <c r="G1288" s="116"/>
      <c r="H1288" s="120"/>
      <c r="I1288" s="120"/>
      <c r="J1288" s="117"/>
      <c r="K1288" s="118"/>
      <c r="L1288" s="119"/>
      <c r="M1288" s="120"/>
      <c r="N1288" s="120"/>
      <c r="O1288" s="120"/>
      <c r="P1288" s="118"/>
      <c r="Q1288" s="117"/>
      <c r="S1288" s="2"/>
      <c r="T1288" s="2"/>
    </row>
    <row r="1289" spans="1:20" ht="15" customHeight="1">
      <c r="A1289" s="163"/>
      <c r="B1289" s="113"/>
      <c r="D1289" s="113"/>
      <c r="F1289" s="115"/>
      <c r="G1289" s="116"/>
      <c r="H1289" s="120"/>
      <c r="I1289" s="120"/>
      <c r="J1289" s="117"/>
      <c r="K1289" s="118"/>
      <c r="L1289" s="119"/>
      <c r="M1289" s="120"/>
      <c r="N1289" s="120"/>
      <c r="O1289" s="120"/>
      <c r="P1289" s="118"/>
      <c r="Q1289" s="117"/>
      <c r="S1289" s="2"/>
      <c r="T1289" s="2"/>
    </row>
    <row r="1290" spans="1:20" ht="15" customHeight="1">
      <c r="A1290" s="163"/>
      <c r="B1290" s="113"/>
      <c r="D1290" s="113"/>
      <c r="F1290" s="115"/>
      <c r="G1290" s="116"/>
      <c r="H1290" s="120"/>
      <c r="I1290" s="120"/>
      <c r="J1290" s="117"/>
      <c r="K1290" s="118"/>
      <c r="L1290" s="119"/>
      <c r="M1290" s="120"/>
      <c r="N1290" s="120"/>
      <c r="O1290" s="120"/>
      <c r="P1290" s="118"/>
      <c r="Q1290" s="117"/>
      <c r="S1290" s="2"/>
      <c r="T1290" s="2"/>
    </row>
    <row r="1291" spans="1:20" ht="15" customHeight="1">
      <c r="A1291" s="163"/>
      <c r="B1291" s="113"/>
      <c r="D1291" s="113"/>
      <c r="F1291" s="115"/>
      <c r="G1291" s="116"/>
      <c r="H1291" s="120"/>
      <c r="I1291" s="120"/>
      <c r="J1291" s="117"/>
      <c r="K1291" s="118"/>
      <c r="L1291" s="119"/>
      <c r="M1291" s="120"/>
      <c r="N1291" s="120"/>
      <c r="O1291" s="120"/>
      <c r="P1291" s="118"/>
      <c r="Q1291" s="117"/>
      <c r="S1291" s="2"/>
      <c r="T1291" s="2"/>
    </row>
    <row r="1292" spans="1:20" ht="15" customHeight="1">
      <c r="A1292" s="163"/>
      <c r="B1292" s="113"/>
      <c r="D1292" s="113"/>
      <c r="F1292" s="115"/>
      <c r="G1292" s="116"/>
      <c r="H1292" s="120"/>
      <c r="I1292" s="120"/>
      <c r="J1292" s="117"/>
      <c r="K1292" s="118"/>
      <c r="L1292" s="119"/>
      <c r="M1292" s="120"/>
      <c r="N1292" s="120"/>
      <c r="O1292" s="120"/>
      <c r="P1292" s="118"/>
      <c r="Q1292" s="117"/>
      <c r="S1292" s="2"/>
      <c r="T1292" s="2"/>
    </row>
    <row r="1293" spans="1:20" ht="15" customHeight="1">
      <c r="A1293" s="163"/>
      <c r="B1293" s="113"/>
      <c r="D1293" s="113"/>
      <c r="F1293" s="115"/>
      <c r="G1293" s="116"/>
      <c r="H1293" s="120"/>
      <c r="I1293" s="120"/>
      <c r="J1293" s="117"/>
      <c r="K1293" s="118"/>
      <c r="L1293" s="119"/>
      <c r="M1293" s="120"/>
      <c r="N1293" s="120"/>
      <c r="O1293" s="120"/>
      <c r="P1293" s="118"/>
      <c r="Q1293" s="117"/>
      <c r="S1293" s="2"/>
      <c r="T1293" s="2"/>
    </row>
    <row r="1294" spans="1:20" ht="15" customHeight="1">
      <c r="A1294" s="163"/>
      <c r="B1294" s="113"/>
      <c r="D1294" s="113"/>
      <c r="F1294" s="115"/>
      <c r="G1294" s="116"/>
      <c r="H1294" s="120"/>
      <c r="I1294" s="120"/>
      <c r="J1294" s="117"/>
      <c r="K1294" s="118"/>
      <c r="L1294" s="119"/>
      <c r="M1294" s="120"/>
      <c r="N1294" s="120"/>
      <c r="O1294" s="120"/>
      <c r="P1294" s="118"/>
      <c r="Q1294" s="117"/>
      <c r="S1294" s="2"/>
      <c r="T1294" s="2"/>
    </row>
    <row r="1295" spans="1:20" ht="15" customHeight="1">
      <c r="A1295" s="163"/>
      <c r="B1295" s="113"/>
      <c r="D1295" s="113"/>
      <c r="F1295" s="115"/>
      <c r="G1295" s="116"/>
      <c r="H1295" s="120"/>
      <c r="I1295" s="120"/>
      <c r="J1295" s="117"/>
      <c r="K1295" s="118"/>
      <c r="L1295" s="119"/>
      <c r="M1295" s="120"/>
      <c r="N1295" s="120"/>
      <c r="O1295" s="120"/>
      <c r="P1295" s="118"/>
      <c r="Q1295" s="117"/>
      <c r="S1295" s="2"/>
      <c r="T1295" s="2"/>
    </row>
    <row r="1296" spans="1:20" ht="15" customHeight="1">
      <c r="A1296" s="163"/>
      <c r="B1296" s="113"/>
      <c r="D1296" s="113"/>
      <c r="F1296" s="115"/>
      <c r="G1296" s="116"/>
      <c r="H1296" s="120"/>
      <c r="I1296" s="120"/>
      <c r="J1296" s="117"/>
      <c r="K1296" s="118"/>
      <c r="L1296" s="119"/>
      <c r="M1296" s="120"/>
      <c r="N1296" s="120"/>
      <c r="O1296" s="120"/>
      <c r="P1296" s="118"/>
      <c r="Q1296" s="117"/>
      <c r="S1296" s="2"/>
      <c r="T1296" s="2"/>
    </row>
    <row r="1297" spans="1:20" ht="15" customHeight="1">
      <c r="A1297" s="163"/>
      <c r="B1297" s="113"/>
      <c r="D1297" s="113"/>
      <c r="F1297" s="115"/>
      <c r="G1297" s="116"/>
      <c r="H1297" s="120"/>
      <c r="I1297" s="120"/>
      <c r="J1297" s="117"/>
      <c r="K1297" s="118"/>
      <c r="L1297" s="119"/>
      <c r="M1297" s="120"/>
      <c r="N1297" s="120"/>
      <c r="O1297" s="120"/>
      <c r="P1297" s="118"/>
      <c r="Q1297" s="117"/>
      <c r="S1297" s="2"/>
      <c r="T1297" s="2"/>
    </row>
    <row r="1298" spans="1:20" ht="15" customHeight="1">
      <c r="A1298" s="163"/>
      <c r="B1298" s="113"/>
      <c r="D1298" s="113"/>
      <c r="F1298" s="115"/>
      <c r="G1298" s="116"/>
      <c r="H1298" s="120"/>
      <c r="I1298" s="120"/>
      <c r="J1298" s="117"/>
      <c r="K1298" s="118"/>
      <c r="L1298" s="119"/>
      <c r="M1298" s="120"/>
      <c r="N1298" s="120"/>
      <c r="O1298" s="120"/>
      <c r="P1298" s="118"/>
      <c r="Q1298" s="117"/>
      <c r="S1298" s="2"/>
      <c r="T1298" s="2"/>
    </row>
    <row r="1299" spans="1:20" ht="15" customHeight="1">
      <c r="A1299" s="163"/>
      <c r="B1299" s="113"/>
      <c r="D1299" s="113"/>
      <c r="F1299" s="115"/>
      <c r="G1299" s="116"/>
      <c r="H1299" s="120"/>
      <c r="I1299" s="120"/>
      <c r="J1299" s="117"/>
      <c r="K1299" s="118"/>
      <c r="L1299" s="119"/>
      <c r="M1299" s="120"/>
      <c r="N1299" s="120"/>
      <c r="O1299" s="120"/>
      <c r="P1299" s="118"/>
      <c r="Q1299" s="117"/>
      <c r="S1299" s="2"/>
      <c r="T1299" s="2"/>
    </row>
    <row r="1300" spans="1:20" ht="15" customHeight="1">
      <c r="A1300" s="163"/>
      <c r="B1300" s="113"/>
      <c r="D1300" s="113"/>
      <c r="F1300" s="115"/>
      <c r="G1300" s="116"/>
      <c r="H1300" s="120"/>
      <c r="I1300" s="120"/>
      <c r="J1300" s="117"/>
      <c r="K1300" s="118"/>
      <c r="L1300" s="119"/>
      <c r="M1300" s="120"/>
      <c r="N1300" s="120"/>
      <c r="O1300" s="120"/>
      <c r="P1300" s="118"/>
      <c r="Q1300" s="117"/>
      <c r="S1300" s="2"/>
      <c r="T1300" s="2"/>
    </row>
    <row r="1301" spans="1:20" ht="15" customHeight="1">
      <c r="A1301" s="163"/>
      <c r="B1301" s="113"/>
      <c r="D1301" s="113"/>
      <c r="F1301" s="115"/>
      <c r="G1301" s="116"/>
      <c r="H1301" s="120"/>
      <c r="I1301" s="120"/>
      <c r="J1301" s="117"/>
      <c r="K1301" s="118"/>
      <c r="L1301" s="119"/>
      <c r="M1301" s="120"/>
      <c r="N1301" s="120"/>
      <c r="O1301" s="120"/>
      <c r="P1301" s="118"/>
      <c r="Q1301" s="117"/>
      <c r="S1301" s="2"/>
      <c r="T1301" s="2"/>
    </row>
    <row r="1302" spans="1:20" ht="15" customHeight="1">
      <c r="A1302" s="163"/>
      <c r="B1302" s="113"/>
      <c r="D1302" s="113"/>
      <c r="F1302" s="115"/>
      <c r="G1302" s="116"/>
      <c r="H1302" s="120"/>
      <c r="I1302" s="120"/>
      <c r="J1302" s="117"/>
      <c r="K1302" s="118"/>
      <c r="L1302" s="119"/>
      <c r="M1302" s="120"/>
      <c r="N1302" s="120"/>
      <c r="O1302" s="120"/>
      <c r="P1302" s="118"/>
      <c r="Q1302" s="117"/>
      <c r="S1302" s="2"/>
      <c r="T1302" s="2"/>
    </row>
    <row r="1303" spans="1:20" ht="15" customHeight="1">
      <c r="A1303" s="163"/>
      <c r="B1303" s="113"/>
      <c r="D1303" s="113"/>
      <c r="F1303" s="115"/>
      <c r="G1303" s="116"/>
      <c r="H1303" s="120"/>
      <c r="I1303" s="120"/>
      <c r="J1303" s="117"/>
      <c r="K1303" s="118"/>
      <c r="L1303" s="119"/>
      <c r="M1303" s="120"/>
      <c r="N1303" s="120"/>
      <c r="O1303" s="120"/>
      <c r="P1303" s="118"/>
      <c r="Q1303" s="117"/>
      <c r="S1303" s="2"/>
      <c r="T1303" s="2"/>
    </row>
    <row r="1304" spans="1:20" ht="15" customHeight="1">
      <c r="A1304" s="163"/>
      <c r="B1304" s="113"/>
      <c r="D1304" s="113"/>
      <c r="F1304" s="115"/>
      <c r="G1304" s="116"/>
      <c r="H1304" s="120"/>
      <c r="I1304" s="120"/>
      <c r="J1304" s="117"/>
      <c r="K1304" s="118"/>
      <c r="L1304" s="119"/>
      <c r="M1304" s="120"/>
      <c r="N1304" s="120"/>
      <c r="O1304" s="120"/>
      <c r="P1304" s="118"/>
      <c r="Q1304" s="117"/>
      <c r="S1304" s="2"/>
      <c r="T1304" s="2"/>
    </row>
    <row r="1305" spans="1:20" ht="15" customHeight="1">
      <c r="A1305" s="163"/>
      <c r="B1305" s="113"/>
      <c r="D1305" s="113"/>
      <c r="F1305" s="115"/>
      <c r="G1305" s="116"/>
      <c r="H1305" s="120"/>
      <c r="I1305" s="120"/>
      <c r="J1305" s="117"/>
      <c r="K1305" s="118"/>
      <c r="L1305" s="119"/>
      <c r="M1305" s="120"/>
      <c r="N1305" s="120"/>
      <c r="O1305" s="120"/>
      <c r="P1305" s="118"/>
      <c r="Q1305" s="117"/>
      <c r="S1305" s="2"/>
      <c r="T1305" s="2"/>
    </row>
    <row r="1306" spans="1:20" ht="15" customHeight="1">
      <c r="A1306" s="163"/>
      <c r="B1306" s="113"/>
      <c r="D1306" s="113"/>
      <c r="F1306" s="115"/>
      <c r="G1306" s="116"/>
      <c r="H1306" s="120"/>
      <c r="I1306" s="120"/>
      <c r="J1306" s="117"/>
      <c r="K1306" s="118"/>
      <c r="L1306" s="119"/>
      <c r="M1306" s="120"/>
      <c r="N1306" s="120"/>
      <c r="O1306" s="120"/>
      <c r="P1306" s="118"/>
      <c r="Q1306" s="117"/>
      <c r="S1306" s="2"/>
      <c r="T1306" s="2"/>
    </row>
    <row r="1307" spans="1:20" ht="15" customHeight="1">
      <c r="A1307" s="163"/>
      <c r="B1307" s="113"/>
      <c r="D1307" s="113"/>
      <c r="F1307" s="115"/>
      <c r="G1307" s="116"/>
      <c r="H1307" s="120"/>
      <c r="I1307" s="120"/>
      <c r="J1307" s="117"/>
      <c r="K1307" s="118"/>
      <c r="L1307" s="119"/>
      <c r="M1307" s="120"/>
      <c r="N1307" s="120"/>
      <c r="O1307" s="120"/>
      <c r="P1307" s="118"/>
      <c r="Q1307" s="117"/>
      <c r="S1307" s="2"/>
      <c r="T1307" s="2"/>
    </row>
    <row r="1308" spans="1:20" ht="15" customHeight="1">
      <c r="A1308" s="163"/>
      <c r="B1308" s="113"/>
      <c r="D1308" s="113"/>
      <c r="F1308" s="115"/>
      <c r="G1308" s="116"/>
      <c r="H1308" s="120"/>
      <c r="I1308" s="120"/>
      <c r="J1308" s="117"/>
      <c r="K1308" s="118"/>
      <c r="L1308" s="119"/>
      <c r="M1308" s="120"/>
      <c r="N1308" s="120"/>
      <c r="O1308" s="120"/>
      <c r="P1308" s="118"/>
      <c r="Q1308" s="117"/>
      <c r="S1308" s="2"/>
      <c r="T1308" s="2"/>
    </row>
    <row r="1309" spans="1:20" ht="15" customHeight="1">
      <c r="A1309" s="163"/>
      <c r="B1309" s="113"/>
      <c r="D1309" s="113"/>
      <c r="F1309" s="115"/>
      <c r="G1309" s="116"/>
      <c r="H1309" s="120"/>
      <c r="I1309" s="120"/>
      <c r="J1309" s="117"/>
      <c r="K1309" s="118"/>
      <c r="L1309" s="119"/>
      <c r="M1309" s="120"/>
      <c r="N1309" s="120"/>
      <c r="O1309" s="120"/>
      <c r="P1309" s="118"/>
      <c r="Q1309" s="117"/>
      <c r="S1309" s="2"/>
      <c r="T1309" s="2"/>
    </row>
    <row r="1310" spans="1:20" ht="15" customHeight="1">
      <c r="A1310" s="163"/>
      <c r="B1310" s="113"/>
      <c r="D1310" s="113"/>
      <c r="F1310" s="115"/>
      <c r="G1310" s="116"/>
      <c r="H1310" s="120"/>
      <c r="I1310" s="120"/>
      <c r="J1310" s="117"/>
      <c r="K1310" s="118"/>
      <c r="L1310" s="119"/>
      <c r="M1310" s="120"/>
      <c r="N1310" s="120"/>
      <c r="O1310" s="120"/>
      <c r="P1310" s="118"/>
      <c r="Q1310" s="117"/>
      <c r="S1310" s="2"/>
      <c r="T1310" s="2"/>
    </row>
    <row r="1311" spans="1:20" ht="15" customHeight="1">
      <c r="A1311" s="163"/>
      <c r="B1311" s="113"/>
      <c r="D1311" s="113"/>
      <c r="F1311" s="115"/>
      <c r="G1311" s="116"/>
      <c r="H1311" s="120"/>
      <c r="I1311" s="120"/>
      <c r="J1311" s="117"/>
      <c r="K1311" s="118"/>
      <c r="L1311" s="119"/>
      <c r="M1311" s="120"/>
      <c r="N1311" s="120"/>
      <c r="O1311" s="120"/>
      <c r="P1311" s="118"/>
      <c r="Q1311" s="117"/>
      <c r="S1311" s="2"/>
      <c r="T1311" s="2"/>
    </row>
    <row r="1312" spans="1:20" ht="15" customHeight="1">
      <c r="A1312" s="163"/>
      <c r="B1312" s="113"/>
      <c r="D1312" s="113"/>
      <c r="F1312" s="115"/>
      <c r="G1312" s="116"/>
      <c r="H1312" s="120"/>
      <c r="I1312" s="120"/>
      <c r="J1312" s="117"/>
      <c r="K1312" s="118"/>
      <c r="L1312" s="119"/>
      <c r="M1312" s="120"/>
      <c r="N1312" s="120"/>
      <c r="O1312" s="120"/>
      <c r="P1312" s="118"/>
      <c r="Q1312" s="117"/>
      <c r="S1312" s="2"/>
      <c r="T1312" s="2"/>
    </row>
    <row r="1313" spans="1:20" ht="15" customHeight="1">
      <c r="A1313" s="163"/>
      <c r="B1313" s="113"/>
      <c r="D1313" s="113"/>
      <c r="F1313" s="115"/>
      <c r="G1313" s="116"/>
      <c r="H1313" s="120"/>
      <c r="I1313" s="120"/>
      <c r="J1313" s="117"/>
      <c r="K1313" s="118"/>
      <c r="L1313" s="119"/>
      <c r="M1313" s="120"/>
      <c r="N1313" s="120"/>
      <c r="O1313" s="120"/>
      <c r="P1313" s="118"/>
      <c r="Q1313" s="117"/>
      <c r="S1313" s="2"/>
      <c r="T1313" s="2"/>
    </row>
    <row r="1314" spans="1:20" ht="15" customHeight="1">
      <c r="A1314" s="163"/>
      <c r="B1314" s="113"/>
      <c r="D1314" s="113"/>
      <c r="F1314" s="115"/>
      <c r="G1314" s="116"/>
      <c r="H1314" s="120"/>
      <c r="I1314" s="120"/>
      <c r="J1314" s="117"/>
      <c r="K1314" s="118"/>
      <c r="L1314" s="119"/>
      <c r="M1314" s="120"/>
      <c r="N1314" s="120"/>
      <c r="O1314" s="120"/>
      <c r="P1314" s="118"/>
      <c r="Q1314" s="117"/>
      <c r="S1314" s="2"/>
      <c r="T1314" s="2"/>
    </row>
    <row r="1315" spans="1:20" ht="15" customHeight="1">
      <c r="A1315" s="163"/>
      <c r="B1315" s="113"/>
      <c r="D1315" s="113"/>
      <c r="F1315" s="115"/>
      <c r="G1315" s="116"/>
      <c r="H1315" s="120"/>
      <c r="I1315" s="120"/>
      <c r="J1315" s="117"/>
      <c r="K1315" s="118"/>
      <c r="L1315" s="119"/>
      <c r="M1315" s="120"/>
      <c r="N1315" s="120"/>
      <c r="O1315" s="120"/>
      <c r="P1315" s="118"/>
      <c r="Q1315" s="117"/>
      <c r="S1315" s="2"/>
      <c r="T1315" s="2"/>
    </row>
    <row r="1316" spans="1:20" ht="15" customHeight="1">
      <c r="A1316" s="163"/>
      <c r="B1316" s="113"/>
      <c r="D1316" s="113"/>
      <c r="F1316" s="115"/>
      <c r="G1316" s="116"/>
      <c r="H1316" s="120"/>
      <c r="I1316" s="120"/>
      <c r="J1316" s="117"/>
      <c r="K1316" s="118"/>
      <c r="L1316" s="119"/>
      <c r="M1316" s="120"/>
      <c r="N1316" s="120"/>
      <c r="O1316" s="120"/>
      <c r="P1316" s="118"/>
      <c r="Q1316" s="117"/>
      <c r="S1316" s="2"/>
      <c r="T1316" s="2"/>
    </row>
    <row r="1317" spans="1:20" ht="15" customHeight="1">
      <c r="A1317" s="163"/>
      <c r="B1317" s="113"/>
      <c r="D1317" s="113"/>
      <c r="F1317" s="115"/>
      <c r="G1317" s="116"/>
      <c r="H1317" s="120"/>
      <c r="I1317" s="120"/>
      <c r="J1317" s="117"/>
      <c r="K1317" s="118"/>
      <c r="L1317" s="119"/>
      <c r="M1317" s="120"/>
      <c r="N1317" s="120"/>
      <c r="O1317" s="120"/>
      <c r="P1317" s="118"/>
      <c r="Q1317" s="117"/>
      <c r="S1317" s="2"/>
      <c r="T1317" s="2"/>
    </row>
    <row r="1318" spans="1:20" ht="15" customHeight="1">
      <c r="A1318" s="163"/>
      <c r="B1318" s="113"/>
      <c r="D1318" s="113"/>
      <c r="F1318" s="115"/>
      <c r="G1318" s="116"/>
      <c r="H1318" s="120"/>
      <c r="I1318" s="120"/>
      <c r="J1318" s="117"/>
      <c r="K1318" s="118"/>
      <c r="L1318" s="119"/>
      <c r="M1318" s="120"/>
      <c r="N1318" s="120"/>
      <c r="O1318" s="120"/>
      <c r="P1318" s="118"/>
      <c r="Q1318" s="117"/>
      <c r="S1318" s="2"/>
      <c r="T1318" s="2"/>
    </row>
    <row r="1319" spans="1:20" ht="15" customHeight="1">
      <c r="A1319" s="163"/>
      <c r="B1319" s="113"/>
      <c r="D1319" s="113"/>
      <c r="F1319" s="115"/>
      <c r="G1319" s="116"/>
      <c r="H1319" s="120"/>
      <c r="I1319" s="120"/>
      <c r="J1319" s="117"/>
      <c r="K1319" s="118"/>
      <c r="L1319" s="119"/>
      <c r="M1319" s="120"/>
      <c r="N1319" s="120"/>
      <c r="O1319" s="120"/>
      <c r="P1319" s="118"/>
      <c r="Q1319" s="117"/>
      <c r="S1319" s="2"/>
      <c r="T1319" s="2"/>
    </row>
    <row r="1320" spans="1:20" ht="15" customHeight="1">
      <c r="A1320" s="163"/>
      <c r="B1320" s="113"/>
      <c r="D1320" s="113"/>
      <c r="F1320" s="115"/>
      <c r="G1320" s="116"/>
      <c r="H1320" s="120"/>
      <c r="I1320" s="120"/>
      <c r="J1320" s="117"/>
      <c r="K1320" s="118"/>
      <c r="L1320" s="119"/>
      <c r="M1320" s="120"/>
      <c r="N1320" s="120"/>
      <c r="O1320" s="120"/>
      <c r="P1320" s="118"/>
      <c r="Q1320" s="117"/>
      <c r="S1320" s="2"/>
      <c r="T1320" s="2"/>
    </row>
    <row r="1321" spans="1:20" ht="15" customHeight="1">
      <c r="A1321" s="163"/>
      <c r="B1321" s="113"/>
      <c r="D1321" s="113"/>
      <c r="F1321" s="115"/>
      <c r="G1321" s="116"/>
      <c r="H1321" s="120"/>
      <c r="I1321" s="120"/>
      <c r="J1321" s="117"/>
      <c r="K1321" s="118"/>
      <c r="L1321" s="119"/>
      <c r="M1321" s="120"/>
      <c r="N1321" s="120"/>
      <c r="O1321" s="120"/>
      <c r="P1321" s="118"/>
      <c r="Q1321" s="117"/>
      <c r="S1321" s="2"/>
      <c r="T1321" s="2"/>
    </row>
    <row r="1322" spans="1:20" ht="15" customHeight="1">
      <c r="A1322" s="163"/>
      <c r="B1322" s="113"/>
      <c r="D1322" s="113"/>
      <c r="F1322" s="115"/>
      <c r="G1322" s="116"/>
      <c r="H1322" s="120"/>
      <c r="I1322" s="120"/>
      <c r="J1322" s="117"/>
      <c r="K1322" s="118"/>
      <c r="L1322" s="119"/>
      <c r="M1322" s="120"/>
      <c r="N1322" s="120"/>
      <c r="O1322" s="120"/>
      <c r="P1322" s="118"/>
      <c r="Q1322" s="117"/>
      <c r="S1322" s="2"/>
      <c r="T1322" s="2"/>
    </row>
    <row r="1323" spans="1:20" ht="15" customHeight="1">
      <c r="A1323" s="163"/>
      <c r="B1323" s="113"/>
      <c r="D1323" s="113"/>
      <c r="F1323" s="115"/>
      <c r="G1323" s="116"/>
      <c r="H1323" s="120"/>
      <c r="I1323" s="120"/>
      <c r="J1323" s="117"/>
      <c r="K1323" s="118"/>
      <c r="L1323" s="119"/>
      <c r="M1323" s="120"/>
      <c r="N1323" s="120"/>
      <c r="O1323" s="120"/>
      <c r="P1323" s="118"/>
      <c r="Q1323" s="117"/>
      <c r="S1323" s="2"/>
      <c r="T1323" s="2"/>
    </row>
    <row r="1324" spans="1:20" ht="15" customHeight="1">
      <c r="A1324" s="163"/>
      <c r="B1324" s="113"/>
      <c r="D1324" s="113"/>
      <c r="F1324" s="115"/>
      <c r="G1324" s="116"/>
      <c r="H1324" s="120"/>
      <c r="I1324" s="120"/>
      <c r="J1324" s="117"/>
      <c r="K1324" s="118"/>
      <c r="L1324" s="119"/>
      <c r="M1324" s="120"/>
      <c r="N1324" s="120"/>
      <c r="O1324" s="120"/>
      <c r="P1324" s="118"/>
      <c r="Q1324" s="117"/>
      <c r="S1324" s="2"/>
      <c r="T1324" s="2"/>
    </row>
    <row r="1325" spans="1:20" ht="15" customHeight="1">
      <c r="A1325" s="163"/>
      <c r="B1325" s="113"/>
      <c r="D1325" s="113"/>
      <c r="F1325" s="115"/>
      <c r="G1325" s="116"/>
      <c r="H1325" s="120"/>
      <c r="I1325" s="120"/>
      <c r="J1325" s="117"/>
      <c r="K1325" s="118"/>
      <c r="L1325" s="119"/>
      <c r="M1325" s="120"/>
      <c r="N1325" s="120"/>
      <c r="O1325" s="120"/>
      <c r="P1325" s="118"/>
      <c r="Q1325" s="117"/>
      <c r="S1325" s="2"/>
      <c r="T1325" s="2"/>
    </row>
    <row r="1326" spans="1:20" ht="15" customHeight="1">
      <c r="A1326" s="163"/>
      <c r="B1326" s="113"/>
      <c r="D1326" s="113"/>
      <c r="F1326" s="115"/>
      <c r="G1326" s="116"/>
      <c r="H1326" s="120"/>
      <c r="I1326" s="120"/>
      <c r="J1326" s="117"/>
      <c r="K1326" s="118"/>
      <c r="L1326" s="119"/>
      <c r="M1326" s="120"/>
      <c r="N1326" s="120"/>
      <c r="O1326" s="120"/>
      <c r="P1326" s="118"/>
      <c r="Q1326" s="117"/>
      <c r="S1326" s="2"/>
      <c r="T1326" s="2"/>
    </row>
    <row r="1327" spans="1:20" ht="15" customHeight="1">
      <c r="A1327" s="163"/>
      <c r="B1327" s="113"/>
      <c r="D1327" s="113"/>
      <c r="F1327" s="115"/>
      <c r="G1327" s="116"/>
      <c r="H1327" s="120"/>
      <c r="I1327" s="120"/>
      <c r="J1327" s="117"/>
      <c r="K1327" s="118"/>
      <c r="L1327" s="119"/>
      <c r="M1327" s="120"/>
      <c r="N1327" s="120"/>
      <c r="O1327" s="120"/>
      <c r="P1327" s="118"/>
      <c r="Q1327" s="117"/>
      <c r="S1327" s="2"/>
      <c r="T1327" s="2"/>
    </row>
    <row r="1328" spans="1:20" ht="15" customHeight="1">
      <c r="A1328" s="163"/>
      <c r="B1328" s="113"/>
      <c r="D1328" s="113"/>
      <c r="F1328" s="115"/>
      <c r="G1328" s="116"/>
      <c r="H1328" s="120"/>
      <c r="I1328" s="120"/>
      <c r="J1328" s="117"/>
      <c r="K1328" s="118"/>
      <c r="L1328" s="119"/>
      <c r="M1328" s="120"/>
      <c r="N1328" s="120"/>
      <c r="O1328" s="120"/>
      <c r="P1328" s="118"/>
      <c r="Q1328" s="117"/>
      <c r="S1328" s="2"/>
      <c r="T1328" s="2"/>
    </row>
    <row r="1329" spans="1:20" ht="15" customHeight="1">
      <c r="A1329" s="163"/>
      <c r="B1329" s="113"/>
      <c r="D1329" s="113"/>
      <c r="F1329" s="115"/>
      <c r="G1329" s="116"/>
      <c r="H1329" s="120"/>
      <c r="I1329" s="120"/>
      <c r="J1329" s="117"/>
      <c r="K1329" s="118"/>
      <c r="L1329" s="119"/>
      <c r="M1329" s="120"/>
      <c r="N1329" s="120"/>
      <c r="O1329" s="120"/>
      <c r="P1329" s="118"/>
      <c r="Q1329" s="117"/>
      <c r="S1329" s="2"/>
      <c r="T1329" s="2"/>
    </row>
    <row r="1330" spans="1:20" ht="15" customHeight="1">
      <c r="A1330" s="163"/>
      <c r="B1330" s="113"/>
      <c r="D1330" s="113"/>
      <c r="F1330" s="115"/>
      <c r="G1330" s="116"/>
      <c r="H1330" s="120"/>
      <c r="I1330" s="120"/>
      <c r="J1330" s="117"/>
      <c r="K1330" s="118"/>
      <c r="L1330" s="119"/>
      <c r="M1330" s="120"/>
      <c r="N1330" s="120"/>
      <c r="O1330" s="120"/>
      <c r="P1330" s="118"/>
      <c r="Q1330" s="117"/>
      <c r="S1330" s="2"/>
      <c r="T1330" s="2"/>
    </row>
    <row r="1331" spans="1:20" ht="15" customHeight="1">
      <c r="A1331" s="163"/>
      <c r="B1331" s="113"/>
      <c r="D1331" s="113"/>
      <c r="F1331" s="115"/>
      <c r="G1331" s="116"/>
      <c r="H1331" s="120"/>
      <c r="I1331" s="120"/>
      <c r="J1331" s="117"/>
      <c r="K1331" s="118"/>
      <c r="L1331" s="119"/>
      <c r="M1331" s="120"/>
      <c r="N1331" s="120"/>
      <c r="O1331" s="120"/>
      <c r="P1331" s="118"/>
      <c r="Q1331" s="117"/>
      <c r="S1331" s="2"/>
      <c r="T1331" s="2"/>
    </row>
    <row r="1332" spans="1:20" ht="15" customHeight="1">
      <c r="A1332" s="163"/>
      <c r="B1332" s="113"/>
      <c r="D1332" s="113"/>
      <c r="F1332" s="115"/>
      <c r="G1332" s="116"/>
      <c r="H1332" s="120"/>
      <c r="I1332" s="120"/>
      <c r="J1332" s="117"/>
      <c r="K1332" s="118"/>
      <c r="L1332" s="119"/>
      <c r="M1332" s="120"/>
      <c r="N1332" s="120"/>
      <c r="O1332" s="120"/>
      <c r="P1332" s="118"/>
      <c r="Q1332" s="117"/>
      <c r="S1332" s="2"/>
      <c r="T1332" s="2"/>
    </row>
    <row r="1333" spans="1:20" ht="15" customHeight="1">
      <c r="A1333" s="163"/>
      <c r="B1333" s="113"/>
      <c r="D1333" s="113"/>
      <c r="F1333" s="115"/>
      <c r="G1333" s="116"/>
      <c r="H1333" s="120"/>
      <c r="I1333" s="120"/>
      <c r="J1333" s="117"/>
      <c r="K1333" s="118"/>
      <c r="L1333" s="119"/>
      <c r="M1333" s="120"/>
      <c r="N1333" s="120"/>
      <c r="O1333" s="120"/>
      <c r="P1333" s="118"/>
      <c r="Q1333" s="117"/>
      <c r="S1333" s="2"/>
      <c r="T1333" s="2"/>
    </row>
    <row r="1334" spans="1:20" ht="15" customHeight="1">
      <c r="A1334" s="163"/>
      <c r="B1334" s="113"/>
      <c r="D1334" s="113"/>
      <c r="F1334" s="115"/>
      <c r="G1334" s="116"/>
      <c r="H1334" s="120"/>
      <c r="I1334" s="120"/>
      <c r="J1334" s="117"/>
      <c r="K1334" s="118"/>
      <c r="L1334" s="119"/>
      <c r="M1334" s="120"/>
      <c r="N1334" s="120"/>
      <c r="O1334" s="120"/>
      <c r="P1334" s="118"/>
      <c r="Q1334" s="117"/>
      <c r="S1334" s="2"/>
      <c r="T1334" s="2"/>
    </row>
    <row r="1335" spans="1:20" ht="15" customHeight="1">
      <c r="A1335" s="163"/>
      <c r="B1335" s="113"/>
      <c r="D1335" s="113"/>
      <c r="F1335" s="115"/>
      <c r="G1335" s="116"/>
      <c r="H1335" s="120"/>
      <c r="I1335" s="120"/>
      <c r="J1335" s="117"/>
      <c r="K1335" s="118"/>
      <c r="L1335" s="119"/>
      <c r="M1335" s="120"/>
      <c r="N1335" s="120"/>
      <c r="O1335" s="120"/>
      <c r="P1335" s="118"/>
      <c r="Q1335" s="117"/>
      <c r="S1335" s="2"/>
      <c r="T1335" s="2"/>
    </row>
    <row r="1336" spans="1:20" ht="15" customHeight="1">
      <c r="A1336" s="163"/>
      <c r="B1336" s="113"/>
      <c r="D1336" s="113"/>
      <c r="F1336" s="115"/>
      <c r="G1336" s="116"/>
      <c r="H1336" s="120"/>
      <c r="I1336" s="120"/>
      <c r="J1336" s="117"/>
      <c r="K1336" s="118"/>
      <c r="L1336" s="119"/>
      <c r="M1336" s="120"/>
      <c r="N1336" s="120"/>
      <c r="O1336" s="120"/>
      <c r="P1336" s="118"/>
      <c r="Q1336" s="117"/>
      <c r="S1336" s="2"/>
      <c r="T1336" s="2"/>
    </row>
    <row r="1337" spans="1:20" ht="15" customHeight="1">
      <c r="A1337" s="163"/>
      <c r="B1337" s="113"/>
      <c r="D1337" s="113"/>
      <c r="F1337" s="115"/>
      <c r="G1337" s="116"/>
      <c r="H1337" s="120"/>
      <c r="I1337" s="120"/>
      <c r="J1337" s="117"/>
      <c r="K1337" s="118"/>
      <c r="L1337" s="119"/>
      <c r="M1337" s="120"/>
      <c r="N1337" s="120"/>
      <c r="O1337" s="120"/>
      <c r="P1337" s="118"/>
      <c r="Q1337" s="117"/>
      <c r="S1337" s="2"/>
      <c r="T1337" s="2"/>
    </row>
    <row r="1338" spans="1:20" ht="15" customHeight="1">
      <c r="A1338" s="163"/>
      <c r="B1338" s="113"/>
      <c r="D1338" s="113"/>
      <c r="F1338" s="115"/>
      <c r="G1338" s="116"/>
      <c r="H1338" s="120"/>
      <c r="I1338" s="120"/>
      <c r="J1338" s="117"/>
      <c r="K1338" s="118"/>
      <c r="L1338" s="119"/>
      <c r="M1338" s="120"/>
      <c r="N1338" s="120"/>
      <c r="O1338" s="120"/>
      <c r="P1338" s="118"/>
      <c r="Q1338" s="117"/>
      <c r="S1338" s="2"/>
      <c r="T1338" s="2"/>
    </row>
    <row r="1339" spans="1:20" ht="15" customHeight="1">
      <c r="A1339" s="163"/>
      <c r="B1339" s="113"/>
      <c r="D1339" s="113"/>
      <c r="F1339" s="115"/>
      <c r="G1339" s="116"/>
      <c r="H1339" s="120"/>
      <c r="I1339" s="120"/>
      <c r="J1339" s="117"/>
      <c r="K1339" s="118"/>
      <c r="L1339" s="119"/>
      <c r="M1339" s="120"/>
      <c r="N1339" s="120"/>
      <c r="O1339" s="120"/>
      <c r="P1339" s="118"/>
      <c r="Q1339" s="117"/>
      <c r="S1339" s="2"/>
      <c r="T1339" s="2"/>
    </row>
    <row r="1340" spans="1:20" ht="15" customHeight="1">
      <c r="A1340" s="163"/>
      <c r="B1340" s="113"/>
      <c r="D1340" s="113"/>
      <c r="F1340" s="115"/>
      <c r="G1340" s="116"/>
      <c r="H1340" s="120"/>
      <c r="I1340" s="120"/>
      <c r="J1340" s="117"/>
      <c r="K1340" s="118"/>
      <c r="L1340" s="119"/>
      <c r="M1340" s="120"/>
      <c r="N1340" s="120"/>
      <c r="O1340" s="120"/>
      <c r="P1340" s="118"/>
      <c r="Q1340" s="117"/>
      <c r="S1340" s="2"/>
      <c r="T1340" s="2"/>
    </row>
    <row r="1341" spans="1:20" ht="15" customHeight="1">
      <c r="A1341" s="163"/>
      <c r="B1341" s="113"/>
      <c r="D1341" s="113"/>
      <c r="F1341" s="115"/>
      <c r="G1341" s="116"/>
      <c r="H1341" s="120"/>
      <c r="I1341" s="120"/>
      <c r="J1341" s="117"/>
      <c r="K1341" s="118"/>
      <c r="L1341" s="119"/>
      <c r="M1341" s="120"/>
      <c r="N1341" s="120"/>
      <c r="O1341" s="120"/>
      <c r="P1341" s="118"/>
      <c r="Q1341" s="117"/>
      <c r="S1341" s="2"/>
      <c r="T1341" s="2"/>
    </row>
    <row r="1342" spans="1:20" ht="15" customHeight="1">
      <c r="A1342" s="163"/>
      <c r="B1342" s="113"/>
      <c r="D1342" s="113"/>
      <c r="F1342" s="115"/>
      <c r="G1342" s="116"/>
      <c r="H1342" s="120"/>
      <c r="I1342" s="120"/>
      <c r="J1342" s="117"/>
      <c r="K1342" s="118"/>
      <c r="L1342" s="119"/>
      <c r="M1342" s="120"/>
      <c r="N1342" s="120"/>
      <c r="O1342" s="120"/>
      <c r="P1342" s="118"/>
      <c r="Q1342" s="117"/>
      <c r="S1342" s="2"/>
      <c r="T1342" s="2"/>
    </row>
    <row r="1343" spans="1:20" ht="15" customHeight="1">
      <c r="A1343" s="163"/>
      <c r="B1343" s="113"/>
      <c r="D1343" s="113"/>
      <c r="F1343" s="115"/>
      <c r="G1343" s="116"/>
      <c r="H1343" s="120"/>
      <c r="I1343" s="120"/>
      <c r="J1343" s="117"/>
      <c r="K1343" s="118"/>
      <c r="L1343" s="119"/>
      <c r="M1343" s="120"/>
      <c r="N1343" s="120"/>
      <c r="O1343" s="120"/>
      <c r="P1343" s="118"/>
      <c r="Q1343" s="117"/>
      <c r="S1343" s="2"/>
      <c r="T1343" s="2"/>
    </row>
    <row r="1344" spans="1:20" ht="15" customHeight="1">
      <c r="A1344" s="163"/>
      <c r="B1344" s="113"/>
      <c r="D1344" s="113"/>
      <c r="F1344" s="115"/>
      <c r="G1344" s="116"/>
      <c r="H1344" s="120"/>
      <c r="I1344" s="120"/>
      <c r="J1344" s="117"/>
      <c r="K1344" s="118"/>
      <c r="L1344" s="119"/>
      <c r="M1344" s="120"/>
      <c r="N1344" s="120"/>
      <c r="O1344" s="120"/>
      <c r="P1344" s="118"/>
      <c r="Q1344" s="117"/>
      <c r="S1344" s="2"/>
      <c r="T1344" s="2"/>
    </row>
    <row r="1345" spans="1:20" ht="15" customHeight="1">
      <c r="A1345" s="163"/>
      <c r="B1345" s="113"/>
      <c r="D1345" s="113"/>
      <c r="F1345" s="115"/>
      <c r="G1345" s="116"/>
      <c r="H1345" s="120"/>
      <c r="I1345" s="120"/>
      <c r="J1345" s="117"/>
      <c r="K1345" s="118"/>
      <c r="L1345" s="119"/>
      <c r="M1345" s="120"/>
      <c r="N1345" s="120"/>
      <c r="O1345" s="120"/>
      <c r="P1345" s="118"/>
      <c r="Q1345" s="117"/>
      <c r="S1345" s="2"/>
      <c r="T1345" s="2"/>
    </row>
    <row r="1346" spans="1:20" ht="15" customHeight="1">
      <c r="A1346" s="163"/>
      <c r="B1346" s="113"/>
      <c r="D1346" s="113"/>
      <c r="F1346" s="115"/>
      <c r="G1346" s="116"/>
      <c r="H1346" s="120"/>
      <c r="I1346" s="120"/>
      <c r="J1346" s="117"/>
      <c r="K1346" s="118"/>
      <c r="L1346" s="119"/>
      <c r="M1346" s="120"/>
      <c r="N1346" s="120"/>
      <c r="O1346" s="120"/>
      <c r="P1346" s="118"/>
      <c r="Q1346" s="117"/>
      <c r="S1346" s="2"/>
      <c r="T1346" s="2"/>
    </row>
    <row r="1347" spans="1:20" ht="15" customHeight="1">
      <c r="A1347" s="163"/>
      <c r="B1347" s="113"/>
      <c r="D1347" s="113"/>
      <c r="F1347" s="115"/>
      <c r="G1347" s="116"/>
      <c r="H1347" s="120"/>
      <c r="I1347" s="120"/>
      <c r="J1347" s="117"/>
      <c r="K1347" s="118"/>
      <c r="L1347" s="119"/>
      <c r="M1347" s="120"/>
      <c r="N1347" s="120"/>
      <c r="O1347" s="120"/>
      <c r="P1347" s="118"/>
      <c r="Q1347" s="117"/>
      <c r="S1347" s="2"/>
      <c r="T1347" s="2"/>
    </row>
    <row r="1348" spans="1:20" ht="15" customHeight="1">
      <c r="A1348" s="163"/>
      <c r="B1348" s="113"/>
      <c r="D1348" s="113"/>
      <c r="F1348" s="115"/>
      <c r="G1348" s="116"/>
      <c r="H1348" s="120"/>
      <c r="I1348" s="120"/>
      <c r="J1348" s="117"/>
      <c r="K1348" s="118"/>
      <c r="L1348" s="119"/>
      <c r="M1348" s="120"/>
      <c r="N1348" s="120"/>
      <c r="O1348" s="120"/>
      <c r="P1348" s="118"/>
      <c r="Q1348" s="117"/>
      <c r="S1348" s="2"/>
      <c r="T1348" s="2"/>
    </row>
    <row r="1349" spans="1:20" ht="15" customHeight="1">
      <c r="A1349" s="163"/>
      <c r="B1349" s="113"/>
      <c r="D1349" s="113"/>
      <c r="F1349" s="115"/>
      <c r="G1349" s="116"/>
      <c r="H1349" s="120"/>
      <c r="I1349" s="120"/>
      <c r="J1349" s="117"/>
      <c r="K1349" s="118"/>
      <c r="L1349" s="119"/>
      <c r="M1349" s="120"/>
      <c r="N1349" s="120"/>
      <c r="O1349" s="120"/>
      <c r="P1349" s="118"/>
      <c r="Q1349" s="117"/>
      <c r="S1349" s="2"/>
      <c r="T1349" s="2"/>
    </row>
    <row r="1350" spans="1:20" ht="15" customHeight="1">
      <c r="A1350" s="163"/>
      <c r="B1350" s="113"/>
      <c r="D1350" s="113"/>
      <c r="F1350" s="115"/>
      <c r="G1350" s="116"/>
      <c r="H1350" s="120"/>
      <c r="I1350" s="120"/>
      <c r="J1350" s="117"/>
      <c r="K1350" s="118"/>
      <c r="L1350" s="119"/>
      <c r="M1350" s="120"/>
      <c r="N1350" s="120"/>
      <c r="O1350" s="120"/>
      <c r="P1350" s="118"/>
      <c r="Q1350" s="117"/>
      <c r="S1350" s="2"/>
      <c r="T1350" s="2"/>
    </row>
    <row r="1351" spans="1:20" ht="15" customHeight="1">
      <c r="A1351" s="163"/>
      <c r="B1351" s="113"/>
      <c r="D1351" s="113"/>
      <c r="F1351" s="115"/>
      <c r="G1351" s="116"/>
      <c r="H1351" s="120"/>
      <c r="I1351" s="120"/>
      <c r="J1351" s="117"/>
      <c r="K1351" s="118"/>
      <c r="L1351" s="119"/>
      <c r="M1351" s="120"/>
      <c r="N1351" s="120"/>
      <c r="O1351" s="120"/>
      <c r="P1351" s="118"/>
      <c r="Q1351" s="117"/>
      <c r="S1351" s="2"/>
      <c r="T1351" s="2"/>
    </row>
    <row r="1352" spans="1:20" ht="15" customHeight="1">
      <c r="A1352" s="163"/>
      <c r="B1352" s="113"/>
      <c r="D1352" s="113"/>
      <c r="F1352" s="115"/>
      <c r="G1352" s="116"/>
      <c r="H1352" s="120"/>
      <c r="I1352" s="120"/>
      <c r="J1352" s="117"/>
      <c r="K1352" s="118"/>
      <c r="L1352" s="119"/>
      <c r="M1352" s="120"/>
      <c r="N1352" s="120"/>
      <c r="O1352" s="120"/>
      <c r="P1352" s="118"/>
      <c r="Q1352" s="117"/>
      <c r="S1352" s="2"/>
      <c r="T1352" s="2"/>
    </row>
    <row r="1353" spans="1:20" ht="15" customHeight="1">
      <c r="A1353" s="163"/>
      <c r="B1353" s="113"/>
      <c r="D1353" s="113"/>
      <c r="F1353" s="115"/>
      <c r="G1353" s="116"/>
      <c r="H1353" s="120"/>
      <c r="I1353" s="120"/>
      <c r="J1353" s="117"/>
      <c r="K1353" s="118"/>
      <c r="L1353" s="119"/>
      <c r="M1353" s="120"/>
      <c r="N1353" s="120"/>
      <c r="O1353" s="120"/>
      <c r="P1353" s="118"/>
      <c r="Q1353" s="117"/>
      <c r="S1353" s="2"/>
      <c r="T1353" s="2"/>
    </row>
    <row r="1354" spans="1:20" ht="15" customHeight="1">
      <c r="A1354" s="163"/>
      <c r="B1354" s="113"/>
      <c r="D1354" s="113"/>
      <c r="F1354" s="115"/>
      <c r="G1354" s="116"/>
      <c r="H1354" s="120"/>
      <c r="I1354" s="120"/>
      <c r="J1354" s="117"/>
      <c r="K1354" s="118"/>
      <c r="L1354" s="119"/>
      <c r="M1354" s="120"/>
      <c r="N1354" s="120"/>
      <c r="O1354" s="120"/>
      <c r="P1354" s="118"/>
      <c r="Q1354" s="117"/>
      <c r="S1354" s="2"/>
      <c r="T1354" s="2"/>
    </row>
    <row r="1355" spans="1:20" ht="15" customHeight="1">
      <c r="A1355" s="163"/>
      <c r="B1355" s="113"/>
      <c r="D1355" s="113"/>
      <c r="F1355" s="115"/>
      <c r="G1355" s="116"/>
      <c r="H1355" s="120"/>
      <c r="I1355" s="120"/>
      <c r="J1355" s="117"/>
      <c r="K1355" s="118"/>
      <c r="L1355" s="119"/>
      <c r="M1355" s="120"/>
      <c r="N1355" s="120"/>
      <c r="O1355" s="120"/>
      <c r="P1355" s="118"/>
      <c r="Q1355" s="117"/>
      <c r="S1355" s="2"/>
      <c r="T1355" s="2"/>
    </row>
    <row r="1356" spans="1:20" ht="15" customHeight="1">
      <c r="A1356" s="163"/>
      <c r="B1356" s="113"/>
      <c r="D1356" s="113"/>
      <c r="F1356" s="115"/>
      <c r="G1356" s="116"/>
      <c r="H1356" s="120"/>
      <c r="I1356" s="120"/>
      <c r="J1356" s="117"/>
      <c r="K1356" s="118"/>
      <c r="L1356" s="119"/>
      <c r="M1356" s="120"/>
      <c r="N1356" s="120"/>
      <c r="O1356" s="120"/>
      <c r="P1356" s="118"/>
      <c r="Q1356" s="117"/>
      <c r="S1356" s="2"/>
      <c r="T1356" s="2"/>
    </row>
    <row r="1357" spans="1:20" ht="15" customHeight="1">
      <c r="A1357" s="163"/>
      <c r="B1357" s="113"/>
      <c r="D1357" s="113"/>
      <c r="F1357" s="115"/>
      <c r="G1357" s="116"/>
      <c r="H1357" s="120"/>
      <c r="I1357" s="120"/>
      <c r="J1357" s="117"/>
      <c r="K1357" s="118"/>
      <c r="L1357" s="119"/>
      <c r="M1357" s="120"/>
      <c r="N1357" s="120"/>
      <c r="O1357" s="120"/>
      <c r="P1357" s="118"/>
      <c r="Q1357" s="117"/>
      <c r="S1357" s="2"/>
      <c r="T1357" s="2"/>
    </row>
    <row r="1358" spans="1:20" ht="15" customHeight="1">
      <c r="A1358" s="163"/>
      <c r="B1358" s="113"/>
      <c r="D1358" s="113"/>
      <c r="F1358" s="115"/>
      <c r="G1358" s="116"/>
      <c r="H1358" s="120"/>
      <c r="I1358" s="120"/>
      <c r="J1358" s="117"/>
      <c r="K1358" s="118"/>
      <c r="L1358" s="119"/>
      <c r="M1358" s="120"/>
      <c r="N1358" s="120"/>
      <c r="O1358" s="120"/>
      <c r="P1358" s="118"/>
      <c r="Q1358" s="117"/>
      <c r="S1358" s="2"/>
      <c r="T1358" s="2"/>
    </row>
    <row r="1359" spans="1:20" ht="15" customHeight="1">
      <c r="A1359" s="163"/>
      <c r="B1359" s="113"/>
      <c r="D1359" s="113"/>
      <c r="F1359" s="115"/>
      <c r="G1359" s="116"/>
      <c r="H1359" s="120"/>
      <c r="I1359" s="120"/>
      <c r="J1359" s="117"/>
      <c r="K1359" s="118"/>
      <c r="L1359" s="119"/>
      <c r="M1359" s="120"/>
      <c r="N1359" s="120"/>
      <c r="O1359" s="120"/>
      <c r="P1359" s="118"/>
      <c r="Q1359" s="117"/>
      <c r="S1359" s="2"/>
      <c r="T1359" s="2"/>
    </row>
    <row r="1360" spans="1:20" ht="15" customHeight="1">
      <c r="A1360" s="163"/>
      <c r="B1360" s="113"/>
      <c r="D1360" s="113"/>
      <c r="F1360" s="115"/>
      <c r="G1360" s="116"/>
      <c r="H1360" s="120"/>
      <c r="I1360" s="120"/>
      <c r="J1360" s="117"/>
      <c r="K1360" s="118"/>
      <c r="L1360" s="119"/>
      <c r="M1360" s="120"/>
      <c r="N1360" s="120"/>
      <c r="O1360" s="120"/>
      <c r="P1360" s="118"/>
      <c r="Q1360" s="117"/>
      <c r="S1360" s="2"/>
      <c r="T1360" s="2"/>
    </row>
    <row r="1361" spans="1:20" ht="15" customHeight="1">
      <c r="A1361" s="163"/>
      <c r="B1361" s="113"/>
      <c r="D1361" s="113"/>
      <c r="F1361" s="115"/>
      <c r="G1361" s="116"/>
      <c r="H1361" s="120"/>
      <c r="I1361" s="120"/>
      <c r="J1361" s="117"/>
      <c r="K1361" s="118"/>
      <c r="L1361" s="119"/>
      <c r="M1361" s="120"/>
      <c r="N1361" s="120"/>
      <c r="O1361" s="120"/>
      <c r="P1361" s="118"/>
      <c r="Q1361" s="117"/>
      <c r="S1361" s="2"/>
      <c r="T1361" s="2"/>
    </row>
    <row r="1362" spans="1:20" ht="15" customHeight="1">
      <c r="A1362" s="163"/>
      <c r="B1362" s="113"/>
      <c r="D1362" s="113"/>
      <c r="F1362" s="115"/>
      <c r="G1362" s="116"/>
      <c r="H1362" s="120"/>
      <c r="I1362" s="120"/>
      <c r="J1362" s="117"/>
      <c r="K1362" s="118"/>
      <c r="L1362" s="119"/>
      <c r="M1362" s="120"/>
      <c r="N1362" s="120"/>
      <c r="O1362" s="120"/>
      <c r="P1362" s="118"/>
      <c r="Q1362" s="117"/>
      <c r="S1362" s="2"/>
      <c r="T1362" s="2"/>
    </row>
    <row r="1363" spans="1:20" ht="15" customHeight="1">
      <c r="A1363" s="163"/>
      <c r="B1363" s="113"/>
      <c r="D1363" s="113"/>
      <c r="F1363" s="115"/>
      <c r="G1363" s="116"/>
      <c r="H1363" s="120"/>
      <c r="I1363" s="120"/>
      <c r="J1363" s="117"/>
      <c r="K1363" s="118"/>
      <c r="L1363" s="119"/>
      <c r="M1363" s="120"/>
      <c r="N1363" s="120"/>
      <c r="O1363" s="120"/>
      <c r="P1363" s="118"/>
      <c r="Q1363" s="117"/>
      <c r="S1363" s="2"/>
      <c r="T1363" s="2"/>
    </row>
    <row r="1364" spans="1:20" ht="15" customHeight="1">
      <c r="A1364" s="163"/>
      <c r="B1364" s="113"/>
      <c r="D1364" s="113"/>
      <c r="F1364" s="115"/>
      <c r="G1364" s="116"/>
      <c r="H1364" s="120"/>
      <c r="I1364" s="120"/>
      <c r="J1364" s="117"/>
      <c r="K1364" s="118"/>
      <c r="L1364" s="119"/>
      <c r="M1364" s="120"/>
      <c r="N1364" s="120"/>
      <c r="O1364" s="120"/>
      <c r="P1364" s="118"/>
      <c r="Q1364" s="117"/>
      <c r="S1364" s="2"/>
      <c r="T1364" s="2"/>
    </row>
    <row r="1365" spans="1:20" ht="15" customHeight="1">
      <c r="A1365" s="163"/>
      <c r="B1365" s="113"/>
      <c r="D1365" s="113"/>
      <c r="F1365" s="115"/>
      <c r="G1365" s="116"/>
      <c r="H1365" s="120"/>
      <c r="I1365" s="120"/>
      <c r="J1365" s="117"/>
      <c r="K1365" s="118"/>
      <c r="L1365" s="119"/>
      <c r="M1365" s="120"/>
      <c r="N1365" s="120"/>
      <c r="O1365" s="120"/>
      <c r="P1365" s="118"/>
      <c r="Q1365" s="117"/>
      <c r="S1365" s="2"/>
      <c r="T1365" s="2"/>
    </row>
    <row r="1366" spans="1:20" ht="15" customHeight="1">
      <c r="A1366" s="163"/>
      <c r="B1366" s="113"/>
      <c r="D1366" s="113"/>
      <c r="F1366" s="115"/>
      <c r="G1366" s="116"/>
      <c r="H1366" s="120"/>
      <c r="I1366" s="120"/>
      <c r="J1366" s="117"/>
      <c r="K1366" s="118"/>
      <c r="L1366" s="119"/>
      <c r="M1366" s="120"/>
      <c r="N1366" s="120"/>
      <c r="O1366" s="120"/>
      <c r="P1366" s="118"/>
      <c r="Q1366" s="117"/>
      <c r="S1366" s="2"/>
      <c r="T1366" s="2"/>
    </row>
    <row r="1367" spans="1:20" ht="15" customHeight="1">
      <c r="A1367" s="163"/>
      <c r="B1367" s="113"/>
      <c r="D1367" s="113"/>
      <c r="F1367" s="115"/>
      <c r="G1367" s="116"/>
      <c r="H1367" s="120"/>
      <c r="I1367" s="120"/>
      <c r="J1367" s="117"/>
      <c r="K1367" s="118"/>
      <c r="L1367" s="119"/>
      <c r="M1367" s="120"/>
      <c r="N1367" s="120"/>
      <c r="O1367" s="120"/>
      <c r="P1367" s="118"/>
      <c r="Q1367" s="117"/>
      <c r="S1367" s="2"/>
      <c r="T1367" s="2"/>
    </row>
    <row r="1368" spans="1:20" ht="15" customHeight="1">
      <c r="A1368" s="163"/>
      <c r="B1368" s="113"/>
      <c r="D1368" s="113"/>
      <c r="F1368" s="115"/>
      <c r="G1368" s="116"/>
      <c r="H1368" s="120"/>
      <c r="I1368" s="120"/>
      <c r="J1368" s="117"/>
      <c r="K1368" s="118"/>
      <c r="L1368" s="119"/>
      <c r="M1368" s="120"/>
      <c r="N1368" s="120"/>
      <c r="O1368" s="120"/>
      <c r="P1368" s="118"/>
      <c r="Q1368" s="117"/>
      <c r="S1368" s="2"/>
      <c r="T1368" s="2"/>
    </row>
    <row r="1369" spans="1:20" ht="15" customHeight="1">
      <c r="A1369" s="163"/>
      <c r="B1369" s="113"/>
      <c r="D1369" s="113"/>
      <c r="F1369" s="115"/>
      <c r="G1369" s="116"/>
      <c r="H1369" s="120"/>
      <c r="I1369" s="120"/>
      <c r="J1369" s="117"/>
      <c r="K1369" s="118"/>
      <c r="L1369" s="119"/>
      <c r="M1369" s="120"/>
      <c r="N1369" s="120"/>
      <c r="O1369" s="120"/>
      <c r="P1369" s="118"/>
      <c r="Q1369" s="117"/>
      <c r="S1369" s="2"/>
      <c r="T1369" s="2"/>
    </row>
    <row r="1370" spans="1:20" ht="15" customHeight="1">
      <c r="A1370" s="163"/>
      <c r="B1370" s="113"/>
      <c r="D1370" s="113"/>
      <c r="F1370" s="115"/>
      <c r="G1370" s="116"/>
      <c r="H1370" s="120"/>
      <c r="I1370" s="120"/>
      <c r="J1370" s="117"/>
      <c r="K1370" s="118"/>
      <c r="L1370" s="119"/>
      <c r="M1370" s="120"/>
      <c r="N1370" s="120"/>
      <c r="O1370" s="120"/>
      <c r="P1370" s="118"/>
      <c r="Q1370" s="117"/>
      <c r="S1370" s="2"/>
      <c r="T1370" s="2"/>
    </row>
    <row r="1371" spans="1:20" ht="15" customHeight="1">
      <c r="A1371" s="163"/>
      <c r="B1371" s="113"/>
      <c r="D1371" s="113"/>
      <c r="F1371" s="115"/>
      <c r="G1371" s="116"/>
      <c r="H1371" s="120"/>
      <c r="I1371" s="120"/>
      <c r="J1371" s="117"/>
      <c r="K1371" s="118"/>
      <c r="L1371" s="119"/>
      <c r="M1371" s="120"/>
      <c r="N1371" s="120"/>
      <c r="O1371" s="120"/>
      <c r="P1371" s="118"/>
      <c r="Q1371" s="117"/>
      <c r="S1371" s="2"/>
      <c r="T1371" s="2"/>
    </row>
    <row r="1372" spans="1:20" ht="15" customHeight="1">
      <c r="A1372" s="163"/>
      <c r="B1372" s="113"/>
      <c r="D1372" s="113"/>
      <c r="F1372" s="115"/>
      <c r="G1372" s="116"/>
      <c r="H1372" s="120"/>
      <c r="I1372" s="120"/>
      <c r="J1372" s="117"/>
      <c r="K1372" s="118"/>
      <c r="L1372" s="119"/>
      <c r="M1372" s="120"/>
      <c r="N1372" s="120"/>
      <c r="O1372" s="120"/>
      <c r="P1372" s="118"/>
      <c r="Q1372" s="117"/>
      <c r="S1372" s="2"/>
      <c r="T1372" s="2"/>
    </row>
    <row r="1373" spans="1:20" ht="15" customHeight="1">
      <c r="A1373" s="163"/>
      <c r="B1373" s="113"/>
      <c r="D1373" s="113"/>
      <c r="F1373" s="115"/>
      <c r="G1373" s="116"/>
      <c r="H1373" s="120"/>
      <c r="I1373" s="120"/>
      <c r="J1373" s="117"/>
      <c r="K1373" s="118"/>
      <c r="L1373" s="119"/>
      <c r="M1373" s="120"/>
      <c r="N1373" s="120"/>
      <c r="O1373" s="120"/>
      <c r="P1373" s="118"/>
      <c r="Q1373" s="117"/>
      <c r="S1373" s="2"/>
      <c r="T1373" s="2"/>
    </row>
    <row r="1374" spans="1:20" ht="15" customHeight="1">
      <c r="A1374" s="163"/>
      <c r="B1374" s="113"/>
      <c r="D1374" s="113"/>
      <c r="F1374" s="115"/>
      <c r="G1374" s="116"/>
      <c r="H1374" s="120"/>
      <c r="I1374" s="120"/>
      <c r="J1374" s="117"/>
      <c r="K1374" s="118"/>
      <c r="L1374" s="119"/>
      <c r="M1374" s="120"/>
      <c r="N1374" s="120"/>
      <c r="O1374" s="120"/>
      <c r="P1374" s="118"/>
      <c r="Q1374" s="117"/>
      <c r="S1374" s="2"/>
      <c r="T1374" s="2"/>
    </row>
    <row r="1375" spans="1:20" ht="15" customHeight="1">
      <c r="A1375" s="163"/>
      <c r="B1375" s="113"/>
      <c r="D1375" s="113"/>
      <c r="F1375" s="115"/>
      <c r="G1375" s="116"/>
      <c r="H1375" s="120"/>
      <c r="I1375" s="120"/>
      <c r="J1375" s="117"/>
      <c r="K1375" s="118"/>
      <c r="L1375" s="119"/>
      <c r="M1375" s="120"/>
      <c r="N1375" s="120"/>
      <c r="O1375" s="120"/>
      <c r="P1375" s="118"/>
      <c r="Q1375" s="117"/>
      <c r="S1375" s="2"/>
      <c r="T1375" s="2"/>
    </row>
    <row r="1376" spans="1:20" ht="15" customHeight="1">
      <c r="A1376" s="163"/>
      <c r="B1376" s="113"/>
      <c r="D1376" s="113"/>
      <c r="F1376" s="115"/>
      <c r="G1376" s="116"/>
      <c r="H1376" s="120"/>
      <c r="I1376" s="120"/>
      <c r="J1376" s="117"/>
      <c r="K1376" s="118"/>
      <c r="L1376" s="119"/>
      <c r="M1376" s="120"/>
      <c r="N1376" s="120"/>
      <c r="O1376" s="120"/>
      <c r="P1376" s="118"/>
      <c r="Q1376" s="117"/>
      <c r="S1376" s="2"/>
      <c r="T1376" s="2"/>
    </row>
    <row r="1377" spans="1:20" ht="15" customHeight="1">
      <c r="A1377" s="163"/>
      <c r="B1377" s="113"/>
      <c r="D1377" s="113"/>
      <c r="F1377" s="115"/>
      <c r="G1377" s="116"/>
      <c r="H1377" s="120"/>
      <c r="I1377" s="120"/>
      <c r="J1377" s="117"/>
      <c r="K1377" s="118"/>
      <c r="L1377" s="119"/>
      <c r="M1377" s="120"/>
      <c r="N1377" s="120"/>
      <c r="O1377" s="120"/>
      <c r="P1377" s="118"/>
      <c r="Q1377" s="117"/>
      <c r="S1377" s="2"/>
      <c r="T1377" s="2"/>
    </row>
    <row r="1378" spans="1:20" ht="15" customHeight="1">
      <c r="A1378" s="163"/>
      <c r="B1378" s="113"/>
      <c r="D1378" s="113"/>
      <c r="F1378" s="115"/>
      <c r="G1378" s="116"/>
      <c r="H1378" s="120"/>
      <c r="I1378" s="120"/>
      <c r="J1378" s="117"/>
      <c r="K1378" s="118"/>
      <c r="L1378" s="119"/>
      <c r="M1378" s="120"/>
      <c r="N1378" s="120"/>
      <c r="O1378" s="120"/>
      <c r="P1378" s="118"/>
      <c r="Q1378" s="117"/>
      <c r="S1378" s="2"/>
      <c r="T1378" s="2"/>
    </row>
    <row r="1379" spans="1:20" ht="15" customHeight="1">
      <c r="A1379" s="163"/>
      <c r="B1379" s="113"/>
      <c r="D1379" s="113"/>
      <c r="F1379" s="115"/>
      <c r="G1379" s="116"/>
      <c r="H1379" s="120"/>
      <c r="I1379" s="120"/>
      <c r="J1379" s="117"/>
      <c r="K1379" s="118"/>
      <c r="L1379" s="119"/>
      <c r="M1379" s="120"/>
      <c r="N1379" s="120"/>
      <c r="O1379" s="120"/>
      <c r="P1379" s="118"/>
      <c r="Q1379" s="117"/>
      <c r="S1379" s="2"/>
      <c r="T1379" s="2"/>
    </row>
    <row r="1380" spans="1:20" ht="15" customHeight="1">
      <c r="A1380" s="163"/>
      <c r="B1380" s="113"/>
      <c r="D1380" s="113"/>
      <c r="F1380" s="115"/>
      <c r="G1380" s="116"/>
      <c r="H1380" s="120"/>
      <c r="I1380" s="120"/>
      <c r="J1380" s="117"/>
      <c r="K1380" s="118"/>
      <c r="L1380" s="119"/>
      <c r="M1380" s="120"/>
      <c r="N1380" s="120"/>
      <c r="O1380" s="120"/>
      <c r="P1380" s="118"/>
      <c r="Q1380" s="117"/>
      <c r="S1380" s="2"/>
      <c r="T1380" s="2"/>
    </row>
    <row r="1381" spans="1:20" ht="15" customHeight="1">
      <c r="A1381" s="163"/>
      <c r="B1381" s="113"/>
      <c r="D1381" s="113"/>
      <c r="F1381" s="115"/>
      <c r="G1381" s="116"/>
      <c r="H1381" s="120"/>
      <c r="I1381" s="120"/>
      <c r="J1381" s="117"/>
      <c r="K1381" s="118"/>
      <c r="L1381" s="119"/>
      <c r="M1381" s="120"/>
      <c r="N1381" s="120"/>
      <c r="O1381" s="120"/>
      <c r="P1381" s="118"/>
      <c r="Q1381" s="117"/>
      <c r="S1381" s="2"/>
      <c r="T1381" s="2"/>
    </row>
    <row r="1382" spans="1:20" ht="15" customHeight="1">
      <c r="A1382" s="163"/>
      <c r="B1382" s="113"/>
      <c r="D1382" s="113"/>
      <c r="F1382" s="115"/>
      <c r="G1382" s="116"/>
      <c r="H1382" s="120"/>
      <c r="I1382" s="120"/>
      <c r="J1382" s="117"/>
      <c r="K1382" s="118"/>
      <c r="L1382" s="119"/>
      <c r="M1382" s="120"/>
      <c r="N1382" s="120"/>
      <c r="O1382" s="120"/>
      <c r="P1382" s="118"/>
      <c r="Q1382" s="117"/>
      <c r="S1382" s="2"/>
      <c r="T1382" s="2"/>
    </row>
    <row r="1383" spans="1:20" ht="15" customHeight="1">
      <c r="A1383" s="163"/>
      <c r="B1383" s="113"/>
      <c r="D1383" s="113"/>
      <c r="F1383" s="115"/>
      <c r="G1383" s="116"/>
      <c r="H1383" s="120"/>
      <c r="I1383" s="120"/>
      <c r="J1383" s="117"/>
      <c r="K1383" s="118"/>
      <c r="L1383" s="119"/>
      <c r="M1383" s="120"/>
      <c r="N1383" s="120"/>
      <c r="O1383" s="120"/>
      <c r="P1383" s="118"/>
      <c r="Q1383" s="117"/>
      <c r="S1383" s="2"/>
      <c r="T1383" s="2"/>
    </row>
    <row r="1384" spans="1:20" ht="15" customHeight="1">
      <c r="A1384" s="163"/>
      <c r="B1384" s="113"/>
      <c r="D1384" s="113"/>
      <c r="F1384" s="115"/>
      <c r="G1384" s="116"/>
      <c r="H1384" s="120"/>
      <c r="I1384" s="120"/>
      <c r="J1384" s="117"/>
      <c r="K1384" s="118"/>
      <c r="L1384" s="119"/>
      <c r="M1384" s="120"/>
      <c r="N1384" s="120"/>
      <c r="O1384" s="120"/>
      <c r="P1384" s="118"/>
      <c r="Q1384" s="117"/>
      <c r="S1384" s="2"/>
      <c r="T1384" s="2"/>
    </row>
    <row r="1385" spans="1:20" ht="15" customHeight="1">
      <c r="A1385" s="163"/>
      <c r="B1385" s="113"/>
      <c r="D1385" s="113"/>
      <c r="F1385" s="115"/>
      <c r="G1385" s="116"/>
      <c r="H1385" s="120"/>
      <c r="I1385" s="120"/>
      <c r="J1385" s="117"/>
      <c r="K1385" s="118"/>
      <c r="L1385" s="119"/>
      <c r="M1385" s="120"/>
      <c r="N1385" s="120"/>
      <c r="O1385" s="120"/>
      <c r="P1385" s="118"/>
      <c r="Q1385" s="117"/>
      <c r="S1385" s="2"/>
      <c r="T1385" s="2"/>
    </row>
    <row r="1386" spans="1:20" ht="15" customHeight="1">
      <c r="A1386" s="163"/>
      <c r="B1386" s="113"/>
      <c r="D1386" s="113"/>
      <c r="F1386" s="115"/>
      <c r="G1386" s="116"/>
      <c r="H1386" s="120"/>
      <c r="I1386" s="120"/>
      <c r="J1386" s="117"/>
      <c r="K1386" s="118"/>
      <c r="L1386" s="119"/>
      <c r="M1386" s="120"/>
      <c r="N1386" s="120"/>
      <c r="O1386" s="120"/>
      <c r="P1386" s="118"/>
      <c r="Q1386" s="117"/>
      <c r="S1386" s="2"/>
      <c r="T1386" s="2"/>
    </row>
    <row r="1387" spans="1:20" ht="15" customHeight="1">
      <c r="A1387" s="163"/>
      <c r="B1387" s="113"/>
      <c r="D1387" s="113"/>
      <c r="F1387" s="115"/>
      <c r="G1387" s="116"/>
      <c r="H1387" s="120"/>
      <c r="I1387" s="120"/>
      <c r="J1387" s="117"/>
      <c r="K1387" s="118"/>
      <c r="L1387" s="119"/>
      <c r="M1387" s="120"/>
      <c r="N1387" s="120"/>
      <c r="O1387" s="120"/>
      <c r="P1387" s="118"/>
      <c r="Q1387" s="117"/>
      <c r="S1387" s="2"/>
      <c r="T1387" s="2"/>
    </row>
    <row r="1388" spans="1:20" ht="15" customHeight="1">
      <c r="A1388" s="163"/>
      <c r="B1388" s="113"/>
      <c r="D1388" s="113"/>
      <c r="F1388" s="115"/>
      <c r="G1388" s="116"/>
      <c r="H1388" s="120"/>
      <c r="I1388" s="120"/>
      <c r="J1388" s="117"/>
      <c r="K1388" s="118"/>
      <c r="L1388" s="119"/>
      <c r="M1388" s="120"/>
      <c r="N1388" s="120"/>
      <c r="O1388" s="120"/>
      <c r="P1388" s="118"/>
      <c r="Q1388" s="117"/>
      <c r="S1388" s="2"/>
      <c r="T1388" s="2"/>
    </row>
    <row r="1389" spans="1:20" ht="15" customHeight="1">
      <c r="A1389" s="163"/>
      <c r="B1389" s="113"/>
      <c r="D1389" s="113"/>
      <c r="F1389" s="115"/>
      <c r="G1389" s="116"/>
      <c r="H1389" s="120"/>
      <c r="I1389" s="120"/>
      <c r="J1389" s="117"/>
      <c r="K1389" s="118"/>
      <c r="L1389" s="119"/>
      <c r="M1389" s="120"/>
      <c r="N1389" s="120"/>
      <c r="O1389" s="120"/>
      <c r="P1389" s="118"/>
      <c r="Q1389" s="117"/>
      <c r="S1389" s="2"/>
      <c r="T1389" s="2"/>
    </row>
    <row r="1390" spans="1:20" ht="15" customHeight="1">
      <c r="A1390" s="163"/>
      <c r="B1390" s="113"/>
      <c r="D1390" s="113"/>
      <c r="F1390" s="115"/>
      <c r="G1390" s="116"/>
      <c r="H1390" s="120"/>
      <c r="I1390" s="120"/>
      <c r="J1390" s="117"/>
      <c r="K1390" s="118"/>
      <c r="L1390" s="119"/>
      <c r="M1390" s="120"/>
      <c r="N1390" s="120"/>
      <c r="O1390" s="120"/>
      <c r="P1390" s="118"/>
      <c r="Q1390" s="117"/>
      <c r="S1390" s="2"/>
      <c r="T1390" s="2"/>
    </row>
    <row r="1391" spans="1:20" ht="15" customHeight="1">
      <c r="A1391" s="163"/>
      <c r="B1391" s="113"/>
      <c r="D1391" s="113"/>
      <c r="F1391" s="115"/>
      <c r="G1391" s="116"/>
      <c r="H1391" s="120"/>
      <c r="I1391" s="120"/>
      <c r="J1391" s="117"/>
      <c r="K1391" s="118"/>
      <c r="L1391" s="119"/>
      <c r="M1391" s="120"/>
      <c r="N1391" s="120"/>
      <c r="O1391" s="120"/>
      <c r="P1391" s="118"/>
      <c r="Q1391" s="117"/>
      <c r="S1391" s="2"/>
      <c r="T1391" s="2"/>
    </row>
    <row r="1392" spans="1:20" ht="15" customHeight="1">
      <c r="A1392" s="163"/>
      <c r="B1392" s="113"/>
      <c r="D1392" s="113"/>
      <c r="F1392" s="115"/>
      <c r="G1392" s="116"/>
      <c r="H1392" s="120"/>
      <c r="I1392" s="120"/>
      <c r="J1392" s="117"/>
      <c r="K1392" s="118"/>
      <c r="L1392" s="119"/>
      <c r="M1392" s="120"/>
      <c r="N1392" s="120"/>
      <c r="O1392" s="120"/>
      <c r="P1392" s="118"/>
      <c r="Q1392" s="117"/>
      <c r="S1392" s="2"/>
      <c r="T1392" s="2"/>
    </row>
    <row r="1393" spans="1:20" ht="15" customHeight="1">
      <c r="A1393" s="163"/>
      <c r="B1393" s="113"/>
      <c r="D1393" s="113"/>
      <c r="F1393" s="115"/>
      <c r="G1393" s="116"/>
      <c r="H1393" s="120"/>
      <c r="I1393" s="120"/>
      <c r="J1393" s="117"/>
      <c r="K1393" s="118"/>
      <c r="L1393" s="119"/>
      <c r="M1393" s="120"/>
      <c r="N1393" s="120"/>
      <c r="O1393" s="120"/>
      <c r="P1393" s="118"/>
      <c r="Q1393" s="117"/>
      <c r="S1393" s="2"/>
      <c r="T1393" s="2"/>
    </row>
    <row r="1394" spans="1:20" ht="15" customHeight="1">
      <c r="A1394" s="163"/>
      <c r="B1394" s="113"/>
      <c r="D1394" s="113"/>
      <c r="F1394" s="115"/>
      <c r="G1394" s="116"/>
      <c r="H1394" s="120"/>
      <c r="I1394" s="120"/>
      <c r="J1394" s="117"/>
      <c r="K1394" s="118"/>
      <c r="L1394" s="119"/>
      <c r="M1394" s="120"/>
      <c r="N1394" s="120"/>
      <c r="O1394" s="120"/>
      <c r="P1394" s="118"/>
      <c r="Q1394" s="117"/>
      <c r="S1394" s="2"/>
      <c r="T1394" s="2"/>
    </row>
    <row r="1395" spans="1:20" ht="15" customHeight="1">
      <c r="A1395" s="163"/>
      <c r="B1395" s="113"/>
      <c r="D1395" s="113"/>
      <c r="F1395" s="115"/>
      <c r="G1395" s="116"/>
      <c r="H1395" s="120"/>
      <c r="I1395" s="120"/>
      <c r="J1395" s="117"/>
      <c r="K1395" s="118"/>
      <c r="L1395" s="119"/>
      <c r="M1395" s="120"/>
      <c r="N1395" s="120"/>
      <c r="O1395" s="120"/>
      <c r="P1395" s="118"/>
      <c r="Q1395" s="117"/>
      <c r="S1395" s="2"/>
      <c r="T1395" s="2"/>
    </row>
    <row r="1396" spans="1:20" ht="15" customHeight="1">
      <c r="A1396" s="163"/>
      <c r="B1396" s="113"/>
      <c r="D1396" s="113"/>
      <c r="F1396" s="115"/>
      <c r="G1396" s="116"/>
      <c r="H1396" s="120"/>
      <c r="I1396" s="120"/>
      <c r="J1396" s="117"/>
      <c r="K1396" s="118"/>
      <c r="L1396" s="119"/>
      <c r="M1396" s="120"/>
      <c r="N1396" s="120"/>
      <c r="O1396" s="120"/>
      <c r="P1396" s="118"/>
      <c r="Q1396" s="117"/>
      <c r="S1396" s="2"/>
      <c r="T1396" s="2"/>
    </row>
    <row r="1397" spans="1:20" ht="15" customHeight="1">
      <c r="A1397" s="163"/>
      <c r="B1397" s="113"/>
      <c r="D1397" s="113"/>
      <c r="F1397" s="115"/>
      <c r="G1397" s="116"/>
      <c r="H1397" s="120"/>
      <c r="I1397" s="120"/>
      <c r="J1397" s="117"/>
      <c r="K1397" s="118"/>
      <c r="L1397" s="119"/>
      <c r="M1397" s="120"/>
      <c r="N1397" s="120"/>
      <c r="O1397" s="120"/>
      <c r="P1397" s="118"/>
      <c r="Q1397" s="117"/>
      <c r="S1397" s="2"/>
      <c r="T1397" s="2"/>
    </row>
    <row r="1398" spans="1:20" ht="15" customHeight="1">
      <c r="A1398" s="163"/>
      <c r="B1398" s="113"/>
      <c r="D1398" s="113"/>
      <c r="F1398" s="115"/>
      <c r="G1398" s="116"/>
      <c r="H1398" s="120"/>
      <c r="I1398" s="120"/>
      <c r="J1398" s="117"/>
      <c r="K1398" s="118"/>
      <c r="L1398" s="119"/>
      <c r="M1398" s="120"/>
      <c r="N1398" s="120"/>
      <c r="O1398" s="120"/>
      <c r="P1398" s="118"/>
      <c r="Q1398" s="117"/>
      <c r="S1398" s="2"/>
      <c r="T1398" s="2"/>
    </row>
    <row r="1399" spans="1:20" ht="15" customHeight="1">
      <c r="A1399" s="163"/>
      <c r="B1399" s="113"/>
      <c r="D1399" s="113"/>
      <c r="F1399" s="115"/>
      <c r="G1399" s="116"/>
      <c r="H1399" s="120"/>
      <c r="I1399" s="120"/>
      <c r="J1399" s="117"/>
      <c r="K1399" s="118"/>
      <c r="L1399" s="119"/>
      <c r="M1399" s="120"/>
      <c r="N1399" s="120"/>
      <c r="O1399" s="120"/>
      <c r="P1399" s="118"/>
      <c r="Q1399" s="117"/>
      <c r="S1399" s="2"/>
      <c r="T1399" s="2"/>
    </row>
    <row r="1400" spans="1:20" ht="15" customHeight="1">
      <c r="A1400" s="163"/>
      <c r="B1400" s="113"/>
      <c r="D1400" s="113"/>
      <c r="F1400" s="115"/>
      <c r="G1400" s="116"/>
      <c r="H1400" s="120"/>
      <c r="I1400" s="120"/>
      <c r="J1400" s="117"/>
      <c r="K1400" s="118"/>
      <c r="L1400" s="119"/>
      <c r="M1400" s="120"/>
      <c r="N1400" s="120"/>
      <c r="O1400" s="120"/>
      <c r="P1400" s="118"/>
      <c r="Q1400" s="117"/>
      <c r="S1400" s="2"/>
      <c r="T1400" s="2"/>
    </row>
    <row r="1401" spans="1:20" ht="15" customHeight="1">
      <c r="A1401" s="163"/>
      <c r="B1401" s="113"/>
      <c r="D1401" s="113"/>
      <c r="F1401" s="115"/>
      <c r="G1401" s="116"/>
      <c r="H1401" s="120"/>
      <c r="I1401" s="120"/>
      <c r="J1401" s="117"/>
      <c r="K1401" s="118"/>
      <c r="L1401" s="119"/>
      <c r="M1401" s="120"/>
      <c r="N1401" s="120"/>
      <c r="O1401" s="120"/>
      <c r="P1401" s="118"/>
      <c r="Q1401" s="117"/>
      <c r="S1401" s="2"/>
      <c r="T1401" s="2"/>
    </row>
    <row r="1402" spans="1:20" ht="15" customHeight="1">
      <c r="A1402" s="163"/>
      <c r="B1402" s="113"/>
      <c r="D1402" s="113"/>
      <c r="F1402" s="115"/>
      <c r="G1402" s="116"/>
      <c r="H1402" s="120"/>
      <c r="I1402" s="120"/>
      <c r="J1402" s="117"/>
      <c r="K1402" s="118"/>
      <c r="L1402" s="119"/>
      <c r="M1402" s="120"/>
      <c r="N1402" s="120"/>
      <c r="O1402" s="120"/>
      <c r="P1402" s="118"/>
      <c r="Q1402" s="117"/>
      <c r="S1402" s="2"/>
      <c r="T1402" s="2"/>
    </row>
    <row r="1403" spans="1:20" ht="15" customHeight="1">
      <c r="A1403" s="163"/>
      <c r="B1403" s="113"/>
      <c r="D1403" s="113"/>
      <c r="F1403" s="115"/>
      <c r="G1403" s="116"/>
      <c r="H1403" s="120"/>
      <c r="I1403" s="120"/>
      <c r="J1403" s="117"/>
      <c r="K1403" s="118"/>
      <c r="L1403" s="119"/>
      <c r="M1403" s="120"/>
      <c r="N1403" s="120"/>
      <c r="O1403" s="120"/>
      <c r="P1403" s="118"/>
      <c r="Q1403" s="117"/>
      <c r="S1403" s="2"/>
      <c r="T1403" s="2"/>
    </row>
    <row r="1404" spans="1:20" ht="15" customHeight="1">
      <c r="A1404" s="163"/>
      <c r="B1404" s="113"/>
      <c r="D1404" s="113"/>
      <c r="F1404" s="115"/>
      <c r="G1404" s="116"/>
      <c r="H1404" s="120"/>
      <c r="I1404" s="120"/>
      <c r="J1404" s="117"/>
      <c r="K1404" s="118"/>
      <c r="L1404" s="119"/>
      <c r="M1404" s="120"/>
      <c r="N1404" s="120"/>
      <c r="O1404" s="120"/>
      <c r="P1404" s="118"/>
      <c r="Q1404" s="117"/>
      <c r="S1404" s="2"/>
      <c r="T1404" s="2"/>
    </row>
    <row r="1405" spans="1:20" ht="15" customHeight="1">
      <c r="A1405" s="163"/>
      <c r="B1405" s="113"/>
      <c r="D1405" s="113"/>
      <c r="F1405" s="115"/>
      <c r="G1405" s="116"/>
      <c r="H1405" s="120"/>
      <c r="I1405" s="120"/>
      <c r="J1405" s="117"/>
      <c r="K1405" s="118"/>
      <c r="L1405" s="119"/>
      <c r="M1405" s="120"/>
      <c r="N1405" s="120"/>
      <c r="O1405" s="120"/>
      <c r="P1405" s="118"/>
      <c r="Q1405" s="117"/>
      <c r="S1405" s="2"/>
      <c r="T1405" s="2"/>
    </row>
    <row r="1406" spans="1:20" ht="15" customHeight="1">
      <c r="A1406" s="163"/>
      <c r="B1406" s="113"/>
      <c r="D1406" s="113"/>
      <c r="F1406" s="115"/>
      <c r="G1406" s="116"/>
      <c r="H1406" s="120"/>
      <c r="I1406" s="120"/>
      <c r="J1406" s="117"/>
      <c r="K1406" s="118"/>
      <c r="L1406" s="119"/>
      <c r="M1406" s="120"/>
      <c r="N1406" s="120"/>
      <c r="O1406" s="120"/>
      <c r="P1406" s="118"/>
      <c r="Q1406" s="117"/>
      <c r="S1406" s="2"/>
      <c r="T1406" s="2"/>
    </row>
    <row r="1407" spans="1:20" ht="15" customHeight="1">
      <c r="A1407" s="163"/>
      <c r="B1407" s="113"/>
      <c r="D1407" s="113"/>
      <c r="F1407" s="115"/>
      <c r="G1407" s="116"/>
      <c r="H1407" s="120"/>
      <c r="I1407" s="120"/>
      <c r="J1407" s="117"/>
      <c r="K1407" s="118"/>
      <c r="L1407" s="119"/>
      <c r="M1407" s="120"/>
      <c r="N1407" s="120"/>
      <c r="O1407" s="120"/>
      <c r="P1407" s="118"/>
      <c r="Q1407" s="117"/>
      <c r="S1407" s="2"/>
      <c r="T1407" s="2"/>
    </row>
    <row r="1408" spans="1:20" ht="15" customHeight="1">
      <c r="A1408" s="163"/>
      <c r="B1408" s="113"/>
      <c r="D1408" s="113"/>
      <c r="F1408" s="115"/>
      <c r="G1408" s="116"/>
      <c r="H1408" s="120"/>
      <c r="I1408" s="120"/>
      <c r="J1408" s="117"/>
      <c r="K1408" s="118"/>
      <c r="L1408" s="119"/>
      <c r="M1408" s="120"/>
      <c r="N1408" s="120"/>
      <c r="O1408" s="120"/>
      <c r="P1408" s="118"/>
      <c r="Q1408" s="117"/>
      <c r="S1408" s="2"/>
      <c r="T1408" s="2"/>
    </row>
    <row r="1409" spans="1:20" ht="15" customHeight="1">
      <c r="A1409" s="163"/>
      <c r="B1409" s="113"/>
      <c r="D1409" s="113"/>
      <c r="F1409" s="115"/>
      <c r="G1409" s="116"/>
      <c r="H1409" s="120"/>
      <c r="I1409" s="120"/>
      <c r="J1409" s="117"/>
      <c r="K1409" s="118"/>
      <c r="L1409" s="119"/>
      <c r="M1409" s="120"/>
      <c r="N1409" s="120"/>
      <c r="O1409" s="120"/>
      <c r="P1409" s="118"/>
      <c r="Q1409" s="117"/>
      <c r="S1409" s="2"/>
      <c r="T1409" s="2"/>
    </row>
    <row r="1410" spans="1:20" ht="15" customHeight="1">
      <c r="A1410" s="163"/>
      <c r="B1410" s="113"/>
      <c r="D1410" s="113"/>
      <c r="F1410" s="115"/>
      <c r="G1410" s="116"/>
      <c r="H1410" s="120"/>
      <c r="I1410" s="120"/>
      <c r="J1410" s="117"/>
      <c r="K1410" s="118"/>
      <c r="L1410" s="119"/>
      <c r="M1410" s="120"/>
      <c r="N1410" s="120"/>
      <c r="O1410" s="120"/>
      <c r="P1410" s="118"/>
      <c r="Q1410" s="117"/>
      <c r="S1410" s="2"/>
      <c r="T1410" s="2"/>
    </row>
    <row r="1411" spans="1:20" ht="15" customHeight="1">
      <c r="A1411" s="163"/>
      <c r="B1411" s="113"/>
      <c r="D1411" s="113"/>
      <c r="F1411" s="115"/>
      <c r="G1411" s="116"/>
      <c r="H1411" s="120"/>
      <c r="I1411" s="120"/>
      <c r="J1411" s="117"/>
      <c r="K1411" s="118"/>
      <c r="L1411" s="119"/>
      <c r="M1411" s="120"/>
      <c r="N1411" s="120"/>
      <c r="O1411" s="120"/>
      <c r="P1411" s="118"/>
      <c r="Q1411" s="117"/>
      <c r="S1411" s="2"/>
      <c r="T1411" s="2"/>
    </row>
    <row r="1412" spans="1:20" ht="15" customHeight="1">
      <c r="A1412" s="163"/>
      <c r="B1412" s="113"/>
      <c r="D1412" s="113"/>
      <c r="F1412" s="115"/>
      <c r="G1412" s="116"/>
      <c r="H1412" s="120"/>
      <c r="I1412" s="120"/>
      <c r="J1412" s="117"/>
      <c r="K1412" s="118"/>
      <c r="L1412" s="119"/>
      <c r="M1412" s="120"/>
      <c r="N1412" s="120"/>
      <c r="O1412" s="120"/>
      <c r="P1412" s="118"/>
      <c r="Q1412" s="117"/>
      <c r="S1412" s="2"/>
      <c r="T1412" s="2"/>
    </row>
    <row r="1413" spans="1:20" ht="15" customHeight="1">
      <c r="A1413" s="163"/>
      <c r="B1413" s="113"/>
      <c r="D1413" s="113"/>
      <c r="F1413" s="115"/>
      <c r="G1413" s="116"/>
      <c r="H1413" s="120"/>
      <c r="I1413" s="120"/>
      <c r="J1413" s="117"/>
      <c r="K1413" s="118"/>
      <c r="L1413" s="119"/>
      <c r="M1413" s="120"/>
      <c r="N1413" s="120"/>
      <c r="O1413" s="120"/>
      <c r="P1413" s="118"/>
      <c r="Q1413" s="117"/>
      <c r="S1413" s="2"/>
      <c r="T1413" s="2"/>
    </row>
    <row r="1414" spans="1:20" ht="15" customHeight="1">
      <c r="A1414" s="163"/>
      <c r="B1414" s="113"/>
      <c r="D1414" s="113"/>
      <c r="F1414" s="115"/>
      <c r="G1414" s="116"/>
      <c r="H1414" s="120"/>
      <c r="I1414" s="120"/>
      <c r="J1414" s="117"/>
      <c r="K1414" s="118"/>
      <c r="L1414" s="119"/>
      <c r="M1414" s="120"/>
      <c r="N1414" s="120"/>
      <c r="O1414" s="120"/>
      <c r="P1414" s="118"/>
      <c r="Q1414" s="117"/>
      <c r="S1414" s="2"/>
      <c r="T1414" s="2"/>
    </row>
    <row r="1415" spans="1:20" ht="15" customHeight="1">
      <c r="A1415" s="163"/>
      <c r="B1415" s="113"/>
      <c r="D1415" s="113"/>
      <c r="F1415" s="115"/>
      <c r="G1415" s="116"/>
      <c r="H1415" s="120"/>
      <c r="I1415" s="120"/>
      <c r="J1415" s="117"/>
      <c r="K1415" s="118"/>
      <c r="L1415" s="119"/>
      <c r="M1415" s="120"/>
      <c r="N1415" s="120"/>
      <c r="O1415" s="120"/>
      <c r="P1415" s="118"/>
      <c r="Q1415" s="117"/>
      <c r="S1415" s="2"/>
      <c r="T1415" s="2"/>
    </row>
    <row r="1416" spans="1:20" ht="15" customHeight="1">
      <c r="A1416" s="163"/>
      <c r="B1416" s="113"/>
      <c r="D1416" s="113"/>
      <c r="F1416" s="115"/>
      <c r="G1416" s="116"/>
      <c r="H1416" s="120"/>
      <c r="I1416" s="120"/>
      <c r="J1416" s="117"/>
      <c r="K1416" s="118"/>
      <c r="L1416" s="119"/>
      <c r="M1416" s="120"/>
      <c r="N1416" s="120"/>
      <c r="O1416" s="120"/>
      <c r="P1416" s="118"/>
      <c r="Q1416" s="117"/>
      <c r="S1416" s="2"/>
      <c r="T1416" s="2"/>
    </row>
    <row r="1417" spans="1:20" ht="15" customHeight="1">
      <c r="A1417" s="163"/>
      <c r="B1417" s="113"/>
      <c r="D1417" s="113"/>
      <c r="F1417" s="115"/>
      <c r="G1417" s="116"/>
      <c r="H1417" s="120"/>
      <c r="I1417" s="120"/>
      <c r="J1417" s="117"/>
      <c r="K1417" s="118"/>
      <c r="L1417" s="119"/>
      <c r="M1417" s="120"/>
      <c r="N1417" s="120"/>
      <c r="O1417" s="120"/>
      <c r="P1417" s="118"/>
      <c r="Q1417" s="117"/>
      <c r="S1417" s="2"/>
      <c r="T1417" s="2"/>
    </row>
    <row r="1418" spans="1:20" ht="15" customHeight="1">
      <c r="A1418" s="163"/>
      <c r="B1418" s="113"/>
      <c r="D1418" s="113"/>
      <c r="F1418" s="115"/>
      <c r="G1418" s="116"/>
      <c r="H1418" s="120"/>
      <c r="I1418" s="120"/>
      <c r="J1418" s="117"/>
      <c r="K1418" s="118"/>
      <c r="L1418" s="119"/>
      <c r="M1418" s="120"/>
      <c r="N1418" s="120"/>
      <c r="O1418" s="120"/>
      <c r="P1418" s="118"/>
      <c r="Q1418" s="117"/>
      <c r="S1418" s="2"/>
      <c r="T1418" s="2"/>
    </row>
    <row r="1419" spans="1:20" ht="15" customHeight="1">
      <c r="A1419" s="163"/>
      <c r="B1419" s="113"/>
      <c r="D1419" s="113"/>
      <c r="F1419" s="115"/>
      <c r="G1419" s="116"/>
      <c r="H1419" s="120"/>
      <c r="I1419" s="120"/>
      <c r="J1419" s="117"/>
      <c r="K1419" s="118"/>
      <c r="L1419" s="119"/>
      <c r="M1419" s="120"/>
      <c r="N1419" s="120"/>
      <c r="O1419" s="120"/>
      <c r="P1419" s="118"/>
      <c r="Q1419" s="117"/>
      <c r="S1419" s="2"/>
      <c r="T1419" s="2"/>
    </row>
    <row r="1420" spans="1:20" ht="15" customHeight="1">
      <c r="A1420" s="163"/>
      <c r="B1420" s="113"/>
      <c r="D1420" s="113"/>
      <c r="F1420" s="115"/>
      <c r="G1420" s="116"/>
      <c r="H1420" s="120"/>
      <c r="I1420" s="120"/>
      <c r="J1420" s="117"/>
      <c r="K1420" s="118"/>
      <c r="L1420" s="119"/>
      <c r="M1420" s="120"/>
      <c r="N1420" s="120"/>
      <c r="O1420" s="120"/>
      <c r="P1420" s="118"/>
      <c r="Q1420" s="117"/>
      <c r="S1420" s="2"/>
      <c r="T1420" s="2"/>
    </row>
    <row r="1421" spans="1:20" ht="15" customHeight="1">
      <c r="A1421" s="163"/>
      <c r="B1421" s="113"/>
      <c r="D1421" s="113"/>
      <c r="F1421" s="115"/>
      <c r="G1421" s="116"/>
      <c r="H1421" s="120"/>
      <c r="I1421" s="120"/>
      <c r="J1421" s="117"/>
      <c r="K1421" s="118"/>
      <c r="L1421" s="119"/>
      <c r="M1421" s="120"/>
      <c r="N1421" s="120"/>
      <c r="O1421" s="120"/>
      <c r="P1421" s="118"/>
      <c r="Q1421" s="117"/>
      <c r="S1421" s="2"/>
      <c r="T1421" s="2"/>
    </row>
    <row r="1422" spans="1:20" ht="15" customHeight="1">
      <c r="A1422" s="163"/>
      <c r="B1422" s="113"/>
      <c r="D1422" s="113"/>
      <c r="F1422" s="115"/>
      <c r="G1422" s="116"/>
      <c r="H1422" s="120"/>
      <c r="I1422" s="120"/>
      <c r="J1422" s="117"/>
      <c r="K1422" s="118"/>
      <c r="L1422" s="119"/>
      <c r="M1422" s="120"/>
      <c r="N1422" s="120"/>
      <c r="O1422" s="120"/>
      <c r="P1422" s="118"/>
      <c r="Q1422" s="117"/>
      <c r="S1422" s="2"/>
      <c r="T1422" s="2"/>
    </row>
    <row r="1423" spans="1:20" ht="15" customHeight="1">
      <c r="A1423" s="163"/>
      <c r="B1423" s="113"/>
      <c r="D1423" s="113"/>
      <c r="F1423" s="115"/>
      <c r="G1423" s="116"/>
      <c r="H1423" s="120"/>
      <c r="I1423" s="120"/>
      <c r="J1423" s="117"/>
      <c r="K1423" s="118"/>
      <c r="L1423" s="119"/>
      <c r="M1423" s="120"/>
      <c r="N1423" s="120"/>
      <c r="O1423" s="120"/>
      <c r="P1423" s="118"/>
      <c r="Q1423" s="117"/>
      <c r="S1423" s="2"/>
      <c r="T1423" s="2"/>
    </row>
    <row r="1424" spans="1:20" ht="15" customHeight="1">
      <c r="A1424" s="163"/>
      <c r="B1424" s="113"/>
      <c r="D1424" s="113"/>
      <c r="F1424" s="115"/>
      <c r="G1424" s="116"/>
      <c r="H1424" s="120"/>
      <c r="I1424" s="120"/>
      <c r="J1424" s="117"/>
      <c r="K1424" s="118"/>
      <c r="L1424" s="119"/>
      <c r="M1424" s="120"/>
      <c r="N1424" s="120"/>
      <c r="O1424" s="120"/>
      <c r="P1424" s="118"/>
      <c r="Q1424" s="117"/>
      <c r="S1424" s="2"/>
      <c r="T1424" s="2"/>
    </row>
    <row r="1425" spans="1:20" ht="15" customHeight="1">
      <c r="A1425" s="163"/>
      <c r="B1425" s="113"/>
      <c r="D1425" s="113"/>
      <c r="F1425" s="115"/>
      <c r="G1425" s="116"/>
      <c r="H1425" s="120"/>
      <c r="I1425" s="120"/>
      <c r="J1425" s="117"/>
      <c r="K1425" s="118"/>
      <c r="L1425" s="119"/>
      <c r="M1425" s="120"/>
      <c r="N1425" s="120"/>
      <c r="O1425" s="120"/>
      <c r="P1425" s="118"/>
      <c r="Q1425" s="117"/>
      <c r="S1425" s="2"/>
      <c r="T1425" s="2"/>
    </row>
    <row r="1426" spans="1:20" ht="15" customHeight="1">
      <c r="A1426" s="163"/>
      <c r="B1426" s="113"/>
      <c r="D1426" s="113"/>
      <c r="F1426" s="115"/>
      <c r="G1426" s="116"/>
      <c r="H1426" s="120"/>
      <c r="I1426" s="120"/>
      <c r="J1426" s="117"/>
      <c r="K1426" s="118"/>
      <c r="L1426" s="119"/>
      <c r="M1426" s="120"/>
      <c r="N1426" s="120"/>
      <c r="O1426" s="120"/>
      <c r="P1426" s="118"/>
      <c r="Q1426" s="117"/>
      <c r="S1426" s="2"/>
      <c r="T1426" s="2"/>
    </row>
    <row r="1427" spans="1:20" ht="15" customHeight="1">
      <c r="A1427" s="163"/>
      <c r="B1427" s="113"/>
      <c r="D1427" s="113"/>
      <c r="F1427" s="115"/>
      <c r="G1427" s="116"/>
      <c r="H1427" s="120"/>
      <c r="I1427" s="120"/>
      <c r="J1427" s="117"/>
      <c r="K1427" s="118"/>
      <c r="L1427" s="119"/>
      <c r="M1427" s="120"/>
      <c r="N1427" s="120"/>
      <c r="O1427" s="120"/>
      <c r="P1427" s="118"/>
      <c r="Q1427" s="117"/>
      <c r="S1427" s="2"/>
      <c r="T1427" s="2"/>
    </row>
    <row r="1428" spans="1:20" ht="15" customHeight="1">
      <c r="A1428" s="163"/>
      <c r="B1428" s="113"/>
      <c r="D1428" s="113"/>
      <c r="F1428" s="115"/>
      <c r="G1428" s="116"/>
      <c r="H1428" s="120"/>
      <c r="I1428" s="120"/>
      <c r="J1428" s="117"/>
      <c r="K1428" s="118"/>
      <c r="L1428" s="119"/>
      <c r="M1428" s="120"/>
      <c r="N1428" s="120"/>
      <c r="O1428" s="120"/>
      <c r="P1428" s="118"/>
      <c r="Q1428" s="117"/>
      <c r="S1428" s="2"/>
      <c r="T1428" s="2"/>
    </row>
    <row r="1429" spans="1:20" ht="15" customHeight="1">
      <c r="A1429" s="163"/>
      <c r="B1429" s="113"/>
      <c r="D1429" s="113"/>
      <c r="F1429" s="115"/>
      <c r="G1429" s="116"/>
      <c r="H1429" s="120"/>
      <c r="I1429" s="120"/>
      <c r="J1429" s="117"/>
      <c r="K1429" s="118"/>
      <c r="L1429" s="119"/>
      <c r="M1429" s="120"/>
      <c r="N1429" s="120"/>
      <c r="O1429" s="120"/>
      <c r="P1429" s="118"/>
      <c r="Q1429" s="117"/>
      <c r="S1429" s="2"/>
      <c r="T1429" s="2"/>
    </row>
    <row r="1430" spans="1:20" ht="15" customHeight="1">
      <c r="A1430" s="163"/>
      <c r="B1430" s="113"/>
      <c r="D1430" s="113"/>
      <c r="F1430" s="115"/>
      <c r="G1430" s="116"/>
      <c r="H1430" s="120"/>
      <c r="I1430" s="120"/>
      <c r="J1430" s="117"/>
      <c r="K1430" s="118"/>
      <c r="L1430" s="119"/>
      <c r="M1430" s="120"/>
      <c r="N1430" s="120"/>
      <c r="O1430" s="120"/>
      <c r="P1430" s="118"/>
      <c r="Q1430" s="117"/>
      <c r="S1430" s="2"/>
      <c r="T1430" s="2"/>
    </row>
    <row r="1431" spans="1:20" ht="15" customHeight="1">
      <c r="A1431" s="163"/>
      <c r="B1431" s="113"/>
      <c r="D1431" s="113"/>
      <c r="F1431" s="115"/>
      <c r="G1431" s="116"/>
      <c r="H1431" s="120"/>
      <c r="I1431" s="120"/>
      <c r="J1431" s="117"/>
      <c r="K1431" s="118"/>
      <c r="L1431" s="119"/>
      <c r="M1431" s="120"/>
      <c r="N1431" s="120"/>
      <c r="O1431" s="120"/>
      <c r="P1431" s="118"/>
      <c r="Q1431" s="117"/>
      <c r="S1431" s="2"/>
      <c r="T1431" s="2"/>
    </row>
    <row r="1432" spans="1:20" ht="15" customHeight="1">
      <c r="A1432" s="163"/>
      <c r="B1432" s="113"/>
      <c r="D1432" s="113"/>
      <c r="F1432" s="115"/>
      <c r="G1432" s="116"/>
      <c r="H1432" s="120"/>
      <c r="I1432" s="120"/>
      <c r="J1432" s="117"/>
      <c r="K1432" s="118"/>
      <c r="L1432" s="119"/>
      <c r="M1432" s="120"/>
      <c r="N1432" s="120"/>
      <c r="O1432" s="120"/>
      <c r="P1432" s="118"/>
      <c r="Q1432" s="117"/>
      <c r="S1432" s="2"/>
      <c r="T1432" s="2"/>
    </row>
    <row r="1433" spans="1:20" ht="15" customHeight="1">
      <c r="A1433" s="163"/>
      <c r="B1433" s="113"/>
      <c r="D1433" s="113"/>
      <c r="F1433" s="115"/>
      <c r="G1433" s="116"/>
      <c r="H1433" s="120"/>
      <c r="I1433" s="120"/>
      <c r="J1433" s="117"/>
      <c r="K1433" s="118"/>
      <c r="L1433" s="119"/>
      <c r="M1433" s="120"/>
      <c r="N1433" s="120"/>
      <c r="O1433" s="120"/>
      <c r="P1433" s="118"/>
      <c r="Q1433" s="117"/>
      <c r="S1433" s="2"/>
      <c r="T1433" s="2"/>
    </row>
    <row r="1434" spans="1:20" ht="15" customHeight="1">
      <c r="A1434" s="163"/>
      <c r="B1434" s="113"/>
      <c r="D1434" s="113"/>
      <c r="F1434" s="115"/>
      <c r="G1434" s="116"/>
      <c r="H1434" s="120"/>
      <c r="I1434" s="120"/>
      <c r="J1434" s="117"/>
      <c r="K1434" s="118"/>
      <c r="L1434" s="119"/>
      <c r="M1434" s="120"/>
      <c r="N1434" s="120"/>
      <c r="O1434" s="120"/>
      <c r="P1434" s="118"/>
      <c r="Q1434" s="117"/>
      <c r="S1434" s="2"/>
      <c r="T1434" s="2"/>
    </row>
    <row r="1435" spans="1:20" ht="15" customHeight="1">
      <c r="A1435" s="163"/>
      <c r="B1435" s="113"/>
      <c r="D1435" s="113"/>
      <c r="F1435" s="115"/>
      <c r="G1435" s="116"/>
      <c r="H1435" s="120"/>
      <c r="I1435" s="120"/>
      <c r="J1435" s="117"/>
      <c r="K1435" s="118"/>
      <c r="L1435" s="119"/>
      <c r="M1435" s="120"/>
      <c r="N1435" s="120"/>
      <c r="O1435" s="120"/>
      <c r="P1435" s="118"/>
      <c r="Q1435" s="117"/>
      <c r="S1435" s="2"/>
      <c r="T1435" s="2"/>
    </row>
    <row r="1436" spans="1:20" ht="15" customHeight="1">
      <c r="A1436" s="163"/>
      <c r="B1436" s="113"/>
      <c r="D1436" s="113"/>
      <c r="F1436" s="115"/>
      <c r="G1436" s="116"/>
      <c r="H1436" s="120"/>
      <c r="I1436" s="120"/>
      <c r="J1436" s="117"/>
      <c r="K1436" s="118"/>
      <c r="L1436" s="119"/>
      <c r="M1436" s="120"/>
      <c r="N1436" s="120"/>
      <c r="O1436" s="120"/>
      <c r="P1436" s="118"/>
      <c r="Q1436" s="117"/>
      <c r="S1436" s="2"/>
      <c r="T1436" s="2"/>
    </row>
    <row r="1437" spans="1:20" ht="15" customHeight="1">
      <c r="A1437" s="163"/>
      <c r="B1437" s="113"/>
      <c r="D1437" s="113"/>
      <c r="F1437" s="115"/>
      <c r="G1437" s="116"/>
      <c r="H1437" s="120"/>
      <c r="I1437" s="120"/>
      <c r="J1437" s="117"/>
      <c r="K1437" s="118"/>
      <c r="L1437" s="119"/>
      <c r="M1437" s="120"/>
      <c r="N1437" s="120"/>
      <c r="O1437" s="120"/>
      <c r="P1437" s="118"/>
      <c r="Q1437" s="117"/>
      <c r="S1437" s="2"/>
      <c r="T1437" s="2"/>
    </row>
    <row r="1438" spans="1:20" ht="15" customHeight="1">
      <c r="A1438" s="163"/>
      <c r="B1438" s="113"/>
      <c r="D1438" s="113"/>
      <c r="F1438" s="115"/>
      <c r="G1438" s="116"/>
      <c r="H1438" s="120"/>
      <c r="I1438" s="120"/>
      <c r="J1438" s="117"/>
      <c r="K1438" s="118"/>
      <c r="L1438" s="119"/>
      <c r="M1438" s="120"/>
      <c r="N1438" s="120"/>
      <c r="O1438" s="120"/>
      <c r="P1438" s="118"/>
      <c r="Q1438" s="117"/>
      <c r="S1438" s="2"/>
      <c r="T1438" s="2"/>
    </row>
    <row r="1439" spans="1:20" ht="15" customHeight="1">
      <c r="A1439" s="163"/>
      <c r="B1439" s="113"/>
      <c r="D1439" s="113"/>
      <c r="F1439" s="115"/>
      <c r="G1439" s="116"/>
      <c r="H1439" s="120"/>
      <c r="I1439" s="120"/>
      <c r="J1439" s="117"/>
      <c r="K1439" s="118"/>
      <c r="L1439" s="119"/>
      <c r="M1439" s="120"/>
      <c r="N1439" s="120"/>
      <c r="O1439" s="120"/>
      <c r="P1439" s="118"/>
      <c r="Q1439" s="117"/>
      <c r="S1439" s="2"/>
      <c r="T1439" s="2"/>
    </row>
    <row r="1440" spans="1:20" ht="15" customHeight="1">
      <c r="A1440" s="163"/>
      <c r="B1440" s="113"/>
      <c r="D1440" s="113"/>
      <c r="F1440" s="115"/>
      <c r="G1440" s="116"/>
      <c r="H1440" s="120"/>
      <c r="I1440" s="120"/>
      <c r="J1440" s="117"/>
      <c r="K1440" s="118"/>
      <c r="L1440" s="119"/>
      <c r="M1440" s="120"/>
      <c r="N1440" s="120"/>
      <c r="O1440" s="120"/>
      <c r="P1440" s="118"/>
      <c r="Q1440" s="117"/>
      <c r="S1440" s="2"/>
      <c r="T1440" s="2"/>
    </row>
    <row r="1441" spans="1:20" ht="15" customHeight="1">
      <c r="A1441" s="163"/>
      <c r="B1441" s="113"/>
      <c r="D1441" s="113"/>
      <c r="F1441" s="115"/>
      <c r="G1441" s="116"/>
      <c r="H1441" s="120"/>
      <c r="I1441" s="120"/>
      <c r="J1441" s="117"/>
      <c r="K1441" s="118"/>
      <c r="L1441" s="119"/>
      <c r="M1441" s="120"/>
      <c r="N1441" s="120"/>
      <c r="O1441" s="120"/>
      <c r="P1441" s="118"/>
      <c r="Q1441" s="117"/>
      <c r="S1441" s="2"/>
      <c r="T1441" s="2"/>
    </row>
    <row r="1442" spans="1:20" ht="15" customHeight="1">
      <c r="A1442" s="163"/>
      <c r="B1442" s="113"/>
      <c r="D1442" s="113"/>
      <c r="F1442" s="115"/>
      <c r="G1442" s="116"/>
      <c r="H1442" s="120"/>
      <c r="I1442" s="120"/>
      <c r="J1442" s="117"/>
      <c r="K1442" s="118"/>
      <c r="L1442" s="119"/>
      <c r="M1442" s="120"/>
      <c r="N1442" s="120"/>
      <c r="O1442" s="120"/>
      <c r="P1442" s="118"/>
      <c r="Q1442" s="117"/>
      <c r="S1442" s="2"/>
      <c r="T1442" s="2"/>
    </row>
    <row r="1443" spans="1:20" ht="15" customHeight="1">
      <c r="A1443" s="163"/>
      <c r="B1443" s="113"/>
      <c r="D1443" s="113"/>
      <c r="F1443" s="115"/>
      <c r="G1443" s="116"/>
      <c r="H1443" s="120"/>
      <c r="I1443" s="120"/>
      <c r="J1443" s="117"/>
      <c r="K1443" s="118"/>
      <c r="L1443" s="119"/>
      <c r="M1443" s="120"/>
      <c r="N1443" s="120"/>
      <c r="O1443" s="120"/>
      <c r="P1443" s="118"/>
      <c r="Q1443" s="117"/>
      <c r="S1443" s="2"/>
      <c r="T1443" s="2"/>
    </row>
    <row r="1444" spans="1:20" ht="15" customHeight="1">
      <c r="A1444" s="163"/>
      <c r="B1444" s="113"/>
      <c r="D1444" s="113"/>
      <c r="F1444" s="115"/>
      <c r="G1444" s="116"/>
      <c r="H1444" s="120"/>
      <c r="I1444" s="120"/>
      <c r="J1444" s="117"/>
      <c r="K1444" s="118"/>
      <c r="L1444" s="119"/>
      <c r="M1444" s="120"/>
      <c r="N1444" s="120"/>
      <c r="O1444" s="120"/>
      <c r="P1444" s="118"/>
      <c r="Q1444" s="117"/>
      <c r="S1444" s="2"/>
      <c r="T1444" s="2"/>
    </row>
    <row r="1445" spans="1:20" ht="15" customHeight="1">
      <c r="A1445" s="163"/>
      <c r="B1445" s="113"/>
      <c r="D1445" s="113"/>
      <c r="F1445" s="115"/>
      <c r="G1445" s="116"/>
      <c r="H1445" s="120"/>
      <c r="I1445" s="120"/>
      <c r="J1445" s="117"/>
      <c r="K1445" s="118"/>
      <c r="L1445" s="119"/>
      <c r="M1445" s="120"/>
      <c r="N1445" s="120"/>
      <c r="O1445" s="120"/>
      <c r="P1445" s="118"/>
      <c r="Q1445" s="117"/>
      <c r="S1445" s="2"/>
      <c r="T1445" s="2"/>
    </row>
    <row r="1446" spans="1:20" ht="15" customHeight="1">
      <c r="A1446" s="163"/>
      <c r="B1446" s="113"/>
      <c r="D1446" s="113"/>
      <c r="F1446" s="115"/>
      <c r="G1446" s="116"/>
      <c r="H1446" s="120"/>
      <c r="I1446" s="120"/>
      <c r="J1446" s="117"/>
      <c r="K1446" s="118"/>
      <c r="L1446" s="119"/>
      <c r="M1446" s="120"/>
      <c r="N1446" s="120"/>
      <c r="O1446" s="120"/>
      <c r="P1446" s="118"/>
      <c r="Q1446" s="117"/>
      <c r="S1446" s="2"/>
      <c r="T1446" s="2"/>
    </row>
    <row r="1447" spans="1:20" ht="15" customHeight="1">
      <c r="A1447" s="163"/>
      <c r="B1447" s="113"/>
      <c r="D1447" s="113"/>
      <c r="F1447" s="115"/>
      <c r="G1447" s="116"/>
      <c r="H1447" s="120"/>
      <c r="I1447" s="120"/>
      <c r="J1447" s="117"/>
      <c r="K1447" s="118"/>
      <c r="L1447" s="119"/>
      <c r="M1447" s="120"/>
      <c r="N1447" s="120"/>
      <c r="O1447" s="120"/>
      <c r="P1447" s="118"/>
      <c r="Q1447" s="117"/>
      <c r="S1447" s="2"/>
      <c r="T1447" s="2"/>
    </row>
    <row r="1448" spans="1:20" ht="15" customHeight="1">
      <c r="A1448" s="163"/>
      <c r="B1448" s="113"/>
      <c r="D1448" s="113"/>
      <c r="F1448" s="115"/>
      <c r="G1448" s="116"/>
      <c r="H1448" s="120"/>
      <c r="I1448" s="120"/>
      <c r="J1448" s="117"/>
      <c r="K1448" s="118"/>
      <c r="L1448" s="119"/>
      <c r="M1448" s="120"/>
      <c r="N1448" s="120"/>
      <c r="O1448" s="120"/>
      <c r="P1448" s="118"/>
      <c r="Q1448" s="117"/>
      <c r="S1448" s="2"/>
      <c r="T1448" s="2"/>
    </row>
    <row r="1449" spans="1:20" ht="15" customHeight="1">
      <c r="A1449" s="163"/>
      <c r="B1449" s="113"/>
      <c r="D1449" s="113"/>
      <c r="F1449" s="115"/>
      <c r="G1449" s="116"/>
      <c r="H1449" s="120"/>
      <c r="I1449" s="120"/>
      <c r="J1449" s="117"/>
      <c r="K1449" s="118"/>
      <c r="L1449" s="119"/>
      <c r="M1449" s="120"/>
      <c r="N1449" s="120"/>
      <c r="O1449" s="120"/>
      <c r="P1449" s="118"/>
      <c r="Q1449" s="117"/>
      <c r="S1449" s="2"/>
      <c r="T1449" s="2"/>
    </row>
    <row r="1450" spans="1:20" ht="15" customHeight="1">
      <c r="A1450" s="163"/>
      <c r="B1450" s="113"/>
      <c r="D1450" s="113"/>
      <c r="F1450" s="115"/>
      <c r="G1450" s="116"/>
      <c r="H1450" s="120"/>
      <c r="I1450" s="120"/>
      <c r="J1450" s="117"/>
      <c r="K1450" s="118"/>
      <c r="L1450" s="119"/>
      <c r="M1450" s="120"/>
      <c r="N1450" s="120"/>
      <c r="O1450" s="120"/>
      <c r="P1450" s="118"/>
      <c r="Q1450" s="117"/>
      <c r="S1450" s="2"/>
      <c r="T1450" s="2"/>
    </row>
    <row r="1451" spans="1:20" ht="15" customHeight="1">
      <c r="A1451" s="163"/>
      <c r="B1451" s="113"/>
      <c r="D1451" s="113"/>
      <c r="F1451" s="115"/>
      <c r="G1451" s="116"/>
      <c r="H1451" s="120"/>
      <c r="I1451" s="120"/>
      <c r="J1451" s="117"/>
      <c r="K1451" s="118"/>
      <c r="L1451" s="119"/>
      <c r="M1451" s="120"/>
      <c r="N1451" s="120"/>
      <c r="O1451" s="120"/>
      <c r="P1451" s="118"/>
      <c r="Q1451" s="117"/>
      <c r="S1451" s="2"/>
      <c r="T1451" s="2"/>
    </row>
    <row r="1452" spans="1:20" ht="15" customHeight="1">
      <c r="A1452" s="163"/>
      <c r="B1452" s="113"/>
      <c r="D1452" s="113"/>
      <c r="F1452" s="115"/>
      <c r="G1452" s="116"/>
      <c r="H1452" s="120"/>
      <c r="I1452" s="120"/>
      <c r="J1452" s="117"/>
      <c r="K1452" s="118"/>
      <c r="L1452" s="119"/>
      <c r="M1452" s="120"/>
      <c r="N1452" s="120"/>
      <c r="O1452" s="120"/>
      <c r="P1452" s="118"/>
      <c r="Q1452" s="117"/>
      <c r="S1452" s="2"/>
      <c r="T1452" s="2"/>
    </row>
    <row r="1453" spans="1:20" ht="15" customHeight="1">
      <c r="A1453" s="163"/>
      <c r="B1453" s="113"/>
      <c r="D1453" s="113"/>
      <c r="F1453" s="115"/>
      <c r="G1453" s="116"/>
      <c r="H1453" s="120"/>
      <c r="I1453" s="120"/>
      <c r="J1453" s="117"/>
      <c r="K1453" s="118"/>
      <c r="L1453" s="119"/>
      <c r="M1453" s="120"/>
      <c r="N1453" s="120"/>
      <c r="O1453" s="120"/>
      <c r="P1453" s="118"/>
      <c r="Q1453" s="117"/>
      <c r="S1453" s="2"/>
      <c r="T1453" s="2"/>
    </row>
    <row r="1454" spans="1:20" ht="15" customHeight="1">
      <c r="A1454" s="163"/>
      <c r="B1454" s="113"/>
      <c r="D1454" s="113"/>
      <c r="F1454" s="115"/>
      <c r="G1454" s="116"/>
      <c r="H1454" s="120"/>
      <c r="I1454" s="120"/>
      <c r="J1454" s="117"/>
      <c r="K1454" s="118"/>
      <c r="L1454" s="119"/>
      <c r="M1454" s="120"/>
      <c r="N1454" s="120"/>
      <c r="O1454" s="120"/>
      <c r="P1454" s="118"/>
      <c r="Q1454" s="117"/>
      <c r="S1454" s="2"/>
      <c r="T1454" s="2"/>
    </row>
    <row r="1455" spans="1:20" ht="15" customHeight="1">
      <c r="A1455" s="163"/>
      <c r="B1455" s="113"/>
      <c r="D1455" s="113"/>
      <c r="F1455" s="115"/>
      <c r="G1455" s="116"/>
      <c r="H1455" s="120"/>
      <c r="I1455" s="120"/>
      <c r="J1455" s="117"/>
      <c r="K1455" s="118"/>
      <c r="L1455" s="119"/>
      <c r="M1455" s="120"/>
      <c r="N1455" s="120"/>
      <c r="O1455" s="120"/>
      <c r="P1455" s="118"/>
      <c r="Q1455" s="117"/>
      <c r="S1455" s="2"/>
      <c r="T1455" s="2"/>
    </row>
    <row r="1456" spans="1:20" ht="15" customHeight="1">
      <c r="A1456" s="163"/>
      <c r="B1456" s="113"/>
      <c r="D1456" s="113"/>
      <c r="F1456" s="115"/>
      <c r="G1456" s="116"/>
      <c r="H1456" s="120"/>
      <c r="I1456" s="120"/>
      <c r="J1456" s="117"/>
      <c r="K1456" s="118"/>
      <c r="L1456" s="119"/>
      <c r="M1456" s="120"/>
      <c r="N1456" s="120"/>
      <c r="O1456" s="120"/>
      <c r="P1456" s="118"/>
      <c r="Q1456" s="117"/>
      <c r="S1456" s="2"/>
      <c r="T1456" s="2"/>
    </row>
    <row r="1457" spans="1:20" ht="15" customHeight="1">
      <c r="A1457" s="163"/>
      <c r="B1457" s="113"/>
      <c r="D1457" s="113"/>
      <c r="F1457" s="115"/>
      <c r="G1457" s="116"/>
      <c r="H1457" s="120"/>
      <c r="I1457" s="120"/>
      <c r="J1457" s="117"/>
      <c r="K1457" s="118"/>
      <c r="L1457" s="119"/>
      <c r="M1457" s="120"/>
      <c r="N1457" s="120"/>
      <c r="O1457" s="120"/>
      <c r="P1457" s="118"/>
      <c r="Q1457" s="117"/>
      <c r="S1457" s="2"/>
      <c r="T1457" s="2"/>
    </row>
    <row r="1458" spans="1:20" ht="15" customHeight="1">
      <c r="A1458" s="163"/>
      <c r="B1458" s="113"/>
      <c r="D1458" s="113"/>
      <c r="F1458" s="115"/>
      <c r="G1458" s="116"/>
      <c r="H1458" s="120"/>
      <c r="I1458" s="120"/>
      <c r="J1458" s="117"/>
      <c r="K1458" s="118"/>
      <c r="L1458" s="119"/>
      <c r="M1458" s="120"/>
      <c r="N1458" s="120"/>
      <c r="O1458" s="120"/>
      <c r="P1458" s="118"/>
      <c r="Q1458" s="117"/>
      <c r="S1458" s="2"/>
      <c r="T1458" s="2"/>
    </row>
    <row r="1459" spans="1:20" ht="15" customHeight="1">
      <c r="A1459" s="163"/>
      <c r="B1459" s="113"/>
      <c r="D1459" s="113"/>
      <c r="F1459" s="115"/>
      <c r="G1459" s="116"/>
      <c r="H1459" s="120"/>
      <c r="I1459" s="120"/>
      <c r="J1459" s="117"/>
      <c r="K1459" s="118"/>
      <c r="L1459" s="119"/>
      <c r="M1459" s="120"/>
      <c r="N1459" s="120"/>
      <c r="O1459" s="120"/>
      <c r="P1459" s="118"/>
      <c r="Q1459" s="117"/>
      <c r="S1459" s="2"/>
      <c r="T1459" s="2"/>
    </row>
    <row r="1460" spans="1:20" ht="15" customHeight="1">
      <c r="A1460" s="163"/>
      <c r="B1460" s="113"/>
      <c r="D1460" s="113"/>
      <c r="F1460" s="115"/>
      <c r="G1460" s="116"/>
      <c r="H1460" s="120"/>
      <c r="I1460" s="120"/>
      <c r="J1460" s="117"/>
      <c r="K1460" s="118"/>
      <c r="L1460" s="119"/>
      <c r="M1460" s="120"/>
      <c r="N1460" s="120"/>
      <c r="O1460" s="120"/>
      <c r="P1460" s="118"/>
      <c r="Q1460" s="117"/>
      <c r="S1460" s="2"/>
      <c r="T1460" s="2"/>
    </row>
    <row r="1461" spans="1:20" ht="15" customHeight="1">
      <c r="A1461" s="163"/>
      <c r="B1461" s="113"/>
      <c r="D1461" s="113"/>
      <c r="F1461" s="115"/>
      <c r="G1461" s="116"/>
      <c r="H1461" s="120"/>
      <c r="I1461" s="120"/>
      <c r="J1461" s="117"/>
      <c r="K1461" s="118"/>
      <c r="L1461" s="119"/>
      <c r="M1461" s="120"/>
      <c r="N1461" s="120"/>
      <c r="O1461" s="120"/>
      <c r="P1461" s="118"/>
      <c r="Q1461" s="117"/>
      <c r="S1461" s="2"/>
      <c r="T1461" s="2"/>
    </row>
    <row r="1462" spans="1:20" ht="15" customHeight="1">
      <c r="A1462" s="163"/>
      <c r="B1462" s="113"/>
      <c r="D1462" s="113"/>
      <c r="F1462" s="115"/>
      <c r="G1462" s="116"/>
      <c r="H1462" s="120"/>
      <c r="I1462" s="120"/>
      <c r="J1462" s="117"/>
      <c r="K1462" s="118"/>
      <c r="L1462" s="119"/>
      <c r="M1462" s="120"/>
      <c r="N1462" s="120"/>
      <c r="O1462" s="120"/>
      <c r="P1462" s="118"/>
      <c r="Q1462" s="117"/>
      <c r="S1462" s="2"/>
      <c r="T1462" s="2"/>
    </row>
    <row r="1463" spans="1:20" ht="15" customHeight="1">
      <c r="A1463" s="163"/>
      <c r="B1463" s="113"/>
      <c r="D1463" s="113"/>
      <c r="F1463" s="115"/>
      <c r="G1463" s="116"/>
      <c r="H1463" s="120"/>
      <c r="I1463" s="120"/>
      <c r="J1463" s="117"/>
      <c r="K1463" s="118"/>
      <c r="L1463" s="119"/>
      <c r="M1463" s="120"/>
      <c r="N1463" s="120"/>
      <c r="O1463" s="120"/>
      <c r="P1463" s="118"/>
      <c r="Q1463" s="117"/>
      <c r="S1463" s="2"/>
      <c r="T1463" s="2"/>
    </row>
    <row r="1464" spans="1:20" ht="15" customHeight="1">
      <c r="A1464" s="163"/>
      <c r="B1464" s="113"/>
      <c r="D1464" s="113"/>
      <c r="F1464" s="115"/>
      <c r="G1464" s="116"/>
      <c r="H1464" s="120"/>
      <c r="I1464" s="120"/>
      <c r="J1464" s="117"/>
      <c r="K1464" s="118"/>
      <c r="L1464" s="119"/>
      <c r="M1464" s="120"/>
      <c r="N1464" s="120"/>
      <c r="O1464" s="120"/>
      <c r="P1464" s="118"/>
      <c r="Q1464" s="117"/>
      <c r="S1464" s="2"/>
      <c r="T1464" s="2"/>
    </row>
    <row r="1465" spans="1:20" ht="15" customHeight="1">
      <c r="A1465" s="163"/>
      <c r="B1465" s="113"/>
      <c r="D1465" s="113"/>
      <c r="F1465" s="115"/>
      <c r="G1465" s="116"/>
      <c r="H1465" s="120"/>
      <c r="I1465" s="120"/>
      <c r="J1465" s="117"/>
      <c r="K1465" s="118"/>
      <c r="L1465" s="119"/>
      <c r="M1465" s="120"/>
      <c r="N1465" s="120"/>
      <c r="O1465" s="120"/>
      <c r="P1465" s="118"/>
      <c r="Q1465" s="117"/>
      <c r="S1465" s="2"/>
      <c r="T1465" s="2"/>
    </row>
    <row r="1466" spans="1:20" ht="15" customHeight="1">
      <c r="A1466" s="163"/>
      <c r="B1466" s="113"/>
      <c r="D1466" s="113"/>
      <c r="F1466" s="115"/>
      <c r="G1466" s="116"/>
      <c r="H1466" s="120"/>
      <c r="I1466" s="120"/>
      <c r="J1466" s="117"/>
      <c r="K1466" s="118"/>
      <c r="L1466" s="119"/>
      <c r="M1466" s="120"/>
      <c r="N1466" s="120"/>
      <c r="O1466" s="120"/>
      <c r="P1466" s="118"/>
      <c r="Q1466" s="117"/>
      <c r="S1466" s="2"/>
      <c r="T1466" s="2"/>
    </row>
    <row r="1467" spans="1:20" ht="15" customHeight="1">
      <c r="A1467" s="163"/>
      <c r="B1467" s="113"/>
      <c r="D1467" s="113"/>
      <c r="F1467" s="115"/>
      <c r="G1467" s="116"/>
      <c r="H1467" s="120"/>
      <c r="I1467" s="120"/>
      <c r="J1467" s="117"/>
      <c r="K1467" s="118"/>
      <c r="L1467" s="119"/>
      <c r="M1467" s="120"/>
      <c r="N1467" s="120"/>
      <c r="O1467" s="120"/>
      <c r="P1467" s="118"/>
      <c r="Q1467" s="117"/>
      <c r="S1467" s="2"/>
      <c r="T1467" s="2"/>
    </row>
    <row r="1468" spans="1:20" ht="15" customHeight="1">
      <c r="A1468" s="163"/>
      <c r="B1468" s="113"/>
      <c r="D1468" s="113"/>
      <c r="F1468" s="115"/>
      <c r="G1468" s="116"/>
      <c r="H1468" s="120"/>
      <c r="I1468" s="120"/>
      <c r="J1468" s="117"/>
      <c r="K1468" s="118"/>
      <c r="L1468" s="119"/>
      <c r="M1468" s="120"/>
      <c r="N1468" s="120"/>
      <c r="O1468" s="120"/>
      <c r="P1468" s="118"/>
      <c r="Q1468" s="117"/>
      <c r="S1468" s="2"/>
      <c r="T1468" s="2"/>
    </row>
    <row r="1469" spans="1:20" ht="15" customHeight="1">
      <c r="A1469" s="163"/>
      <c r="B1469" s="113"/>
      <c r="D1469" s="113"/>
      <c r="F1469" s="115"/>
      <c r="G1469" s="116"/>
      <c r="H1469" s="120"/>
      <c r="I1469" s="120"/>
      <c r="J1469" s="117"/>
      <c r="K1469" s="118"/>
      <c r="L1469" s="119"/>
      <c r="M1469" s="120"/>
      <c r="N1469" s="120"/>
      <c r="O1469" s="120"/>
      <c r="P1469" s="118"/>
      <c r="Q1469" s="117"/>
      <c r="S1469" s="2"/>
      <c r="T1469" s="2"/>
    </row>
    <row r="1470" spans="1:20" ht="15" customHeight="1">
      <c r="A1470" s="163"/>
      <c r="B1470" s="113"/>
      <c r="D1470" s="113"/>
      <c r="F1470" s="115"/>
      <c r="G1470" s="116"/>
      <c r="H1470" s="120"/>
      <c r="I1470" s="120"/>
      <c r="J1470" s="117"/>
      <c r="K1470" s="118"/>
      <c r="L1470" s="119"/>
      <c r="M1470" s="120"/>
      <c r="N1470" s="120"/>
      <c r="O1470" s="120"/>
      <c r="P1470" s="118"/>
      <c r="Q1470" s="117"/>
      <c r="S1470" s="2"/>
      <c r="T1470" s="2"/>
    </row>
    <row r="1471" spans="1:20" ht="15" customHeight="1">
      <c r="A1471" s="163"/>
      <c r="B1471" s="113"/>
      <c r="D1471" s="113"/>
      <c r="F1471" s="115"/>
      <c r="G1471" s="116"/>
      <c r="H1471" s="120"/>
      <c r="I1471" s="120"/>
      <c r="J1471" s="117"/>
      <c r="K1471" s="118"/>
      <c r="L1471" s="119"/>
      <c r="M1471" s="120"/>
      <c r="N1471" s="120"/>
      <c r="O1471" s="120"/>
      <c r="P1471" s="118"/>
      <c r="Q1471" s="117"/>
      <c r="S1471" s="2"/>
      <c r="T1471" s="2"/>
    </row>
    <row r="1472" spans="1:20" ht="15" customHeight="1">
      <c r="A1472" s="163"/>
      <c r="B1472" s="113"/>
      <c r="D1472" s="113"/>
      <c r="F1472" s="115"/>
      <c r="G1472" s="116"/>
      <c r="H1472" s="120"/>
      <c r="I1472" s="120"/>
      <c r="J1472" s="117"/>
      <c r="K1472" s="118"/>
      <c r="L1472" s="119"/>
      <c r="M1472" s="120"/>
      <c r="N1472" s="120"/>
      <c r="O1472" s="120"/>
      <c r="P1472" s="118"/>
      <c r="Q1472" s="117"/>
      <c r="S1472" s="2"/>
      <c r="T1472" s="2"/>
    </row>
    <row r="1473" spans="1:20" ht="15" customHeight="1">
      <c r="A1473" s="163"/>
      <c r="B1473" s="113"/>
      <c r="D1473" s="113"/>
      <c r="F1473" s="115"/>
      <c r="G1473" s="116"/>
      <c r="H1473" s="120"/>
      <c r="I1473" s="120"/>
      <c r="J1473" s="117"/>
      <c r="K1473" s="118"/>
      <c r="L1473" s="119"/>
      <c r="M1473" s="120"/>
      <c r="N1473" s="120"/>
      <c r="O1473" s="120"/>
      <c r="P1473" s="118"/>
      <c r="Q1473" s="117"/>
      <c r="S1473" s="2"/>
      <c r="T1473" s="2"/>
    </row>
    <row r="1474" spans="1:20" ht="15" customHeight="1">
      <c r="A1474" s="163"/>
      <c r="B1474" s="113"/>
      <c r="D1474" s="113"/>
      <c r="F1474" s="115"/>
      <c r="G1474" s="116"/>
      <c r="H1474" s="120"/>
      <c r="I1474" s="120"/>
      <c r="J1474" s="117"/>
      <c r="K1474" s="118"/>
      <c r="L1474" s="119"/>
      <c r="M1474" s="120"/>
      <c r="N1474" s="120"/>
      <c r="O1474" s="120"/>
      <c r="P1474" s="118"/>
      <c r="Q1474" s="117"/>
      <c r="S1474" s="2"/>
      <c r="T1474" s="2"/>
    </row>
    <row r="1475" spans="1:20" ht="15" customHeight="1">
      <c r="A1475" s="163"/>
      <c r="B1475" s="113"/>
      <c r="D1475" s="113"/>
      <c r="F1475" s="115"/>
      <c r="G1475" s="116"/>
      <c r="H1475" s="120"/>
      <c r="I1475" s="120"/>
      <c r="J1475" s="117"/>
      <c r="K1475" s="118"/>
      <c r="L1475" s="119"/>
      <c r="M1475" s="120"/>
      <c r="N1475" s="120"/>
      <c r="O1475" s="120"/>
      <c r="P1475" s="118"/>
      <c r="Q1475" s="117"/>
      <c r="S1475" s="2"/>
      <c r="T1475" s="2"/>
    </row>
    <row r="1476" spans="1:20" ht="15" customHeight="1">
      <c r="A1476" s="163"/>
      <c r="B1476" s="113"/>
      <c r="D1476" s="113"/>
      <c r="F1476" s="115"/>
      <c r="G1476" s="116"/>
      <c r="H1476" s="120"/>
      <c r="I1476" s="120"/>
      <c r="J1476" s="117"/>
      <c r="K1476" s="118"/>
      <c r="L1476" s="119"/>
      <c r="M1476" s="120"/>
      <c r="N1476" s="120"/>
      <c r="O1476" s="120"/>
      <c r="P1476" s="118"/>
      <c r="Q1476" s="117"/>
      <c r="S1476" s="2"/>
      <c r="T1476" s="2"/>
    </row>
    <row r="1477" spans="1:20" ht="15" customHeight="1">
      <c r="A1477" s="163"/>
      <c r="B1477" s="113"/>
      <c r="D1477" s="113"/>
      <c r="F1477" s="115"/>
      <c r="G1477" s="116"/>
      <c r="H1477" s="120"/>
      <c r="I1477" s="120"/>
      <c r="J1477" s="117"/>
      <c r="K1477" s="118"/>
      <c r="L1477" s="119"/>
      <c r="M1477" s="120"/>
      <c r="N1477" s="120"/>
      <c r="O1477" s="120"/>
      <c r="P1477" s="118"/>
      <c r="Q1477" s="117"/>
      <c r="S1477" s="2"/>
      <c r="T1477" s="2"/>
    </row>
    <row r="1478" spans="1:20" ht="15" customHeight="1">
      <c r="A1478" s="163"/>
      <c r="B1478" s="113"/>
      <c r="D1478" s="113"/>
      <c r="F1478" s="115"/>
      <c r="G1478" s="116"/>
      <c r="H1478" s="120"/>
      <c r="I1478" s="120"/>
      <c r="J1478" s="117"/>
      <c r="K1478" s="118"/>
      <c r="L1478" s="119"/>
      <c r="M1478" s="120"/>
      <c r="N1478" s="120"/>
      <c r="O1478" s="120"/>
      <c r="P1478" s="118"/>
      <c r="Q1478" s="117"/>
      <c r="S1478" s="2"/>
      <c r="T1478" s="2"/>
    </row>
    <row r="1479" spans="1:20" ht="15" customHeight="1">
      <c r="A1479" s="163"/>
      <c r="B1479" s="113"/>
      <c r="D1479" s="113"/>
      <c r="F1479" s="115"/>
      <c r="G1479" s="116"/>
      <c r="H1479" s="120"/>
      <c r="I1479" s="120"/>
      <c r="J1479" s="117"/>
      <c r="K1479" s="118"/>
      <c r="L1479" s="119"/>
      <c r="M1479" s="120"/>
      <c r="N1479" s="120"/>
      <c r="O1479" s="120"/>
      <c r="P1479" s="118"/>
      <c r="Q1479" s="117"/>
      <c r="S1479" s="2"/>
      <c r="T1479" s="2"/>
    </row>
    <row r="1480" spans="1:20" ht="15" customHeight="1">
      <c r="A1480" s="163"/>
      <c r="B1480" s="113"/>
      <c r="D1480" s="113"/>
      <c r="F1480" s="115"/>
      <c r="G1480" s="116"/>
      <c r="H1480" s="120"/>
      <c r="I1480" s="120"/>
      <c r="J1480" s="117"/>
      <c r="K1480" s="118"/>
      <c r="L1480" s="119"/>
      <c r="M1480" s="120"/>
      <c r="N1480" s="120"/>
      <c r="O1480" s="120"/>
      <c r="P1480" s="118"/>
      <c r="Q1480" s="117"/>
      <c r="S1480" s="2"/>
      <c r="T1480" s="2"/>
    </row>
    <row r="1481" spans="1:20" ht="15" customHeight="1">
      <c r="A1481" s="163"/>
      <c r="B1481" s="113"/>
      <c r="D1481" s="113"/>
      <c r="F1481" s="115"/>
      <c r="G1481" s="116"/>
      <c r="H1481" s="120"/>
      <c r="I1481" s="120"/>
      <c r="J1481" s="117"/>
      <c r="K1481" s="118"/>
      <c r="L1481" s="119"/>
      <c r="M1481" s="120"/>
      <c r="N1481" s="120"/>
      <c r="O1481" s="120"/>
      <c r="P1481" s="118"/>
      <c r="Q1481" s="117"/>
      <c r="S1481" s="2"/>
      <c r="T1481" s="2"/>
    </row>
    <row r="1482" spans="1:20" ht="15" customHeight="1">
      <c r="A1482" s="163"/>
      <c r="B1482" s="113"/>
      <c r="D1482" s="113"/>
      <c r="F1482" s="115"/>
      <c r="G1482" s="116"/>
      <c r="H1482" s="120"/>
      <c r="I1482" s="120"/>
      <c r="J1482" s="117"/>
      <c r="K1482" s="118"/>
      <c r="L1482" s="119"/>
      <c r="M1482" s="120"/>
      <c r="N1482" s="120"/>
      <c r="O1482" s="120"/>
      <c r="P1482" s="118"/>
      <c r="Q1482" s="117"/>
      <c r="S1482" s="2"/>
      <c r="T1482" s="2"/>
    </row>
    <row r="1483" spans="1:20" ht="15" customHeight="1">
      <c r="A1483" s="163"/>
      <c r="B1483" s="113"/>
      <c r="D1483" s="113"/>
      <c r="F1483" s="115"/>
      <c r="G1483" s="116"/>
      <c r="H1483" s="120"/>
      <c r="I1483" s="120"/>
      <c r="J1483" s="117"/>
      <c r="K1483" s="118"/>
      <c r="L1483" s="119"/>
      <c r="M1483" s="120"/>
      <c r="N1483" s="120"/>
      <c r="O1483" s="120"/>
      <c r="P1483" s="118"/>
      <c r="Q1483" s="117"/>
      <c r="S1483" s="2"/>
      <c r="T1483" s="2"/>
    </row>
    <row r="1484" spans="1:20" ht="15" customHeight="1">
      <c r="A1484" s="163"/>
      <c r="B1484" s="113"/>
      <c r="D1484" s="113"/>
      <c r="F1484" s="115"/>
      <c r="G1484" s="116"/>
      <c r="H1484" s="120"/>
      <c r="I1484" s="120"/>
      <c r="J1484" s="117"/>
      <c r="K1484" s="118"/>
      <c r="L1484" s="119"/>
      <c r="M1484" s="120"/>
      <c r="N1484" s="120"/>
      <c r="O1484" s="120"/>
      <c r="P1484" s="118"/>
      <c r="Q1484" s="117"/>
      <c r="S1484" s="2"/>
      <c r="T1484" s="2"/>
    </row>
    <row r="1485" spans="1:20" ht="15" customHeight="1">
      <c r="A1485" s="163"/>
      <c r="B1485" s="113"/>
      <c r="D1485" s="113"/>
      <c r="F1485" s="115"/>
      <c r="G1485" s="116"/>
      <c r="H1485" s="120"/>
      <c r="I1485" s="120"/>
      <c r="J1485" s="117"/>
      <c r="K1485" s="118"/>
      <c r="L1485" s="119"/>
      <c r="M1485" s="120"/>
      <c r="N1485" s="120"/>
      <c r="O1485" s="120"/>
      <c r="P1485" s="118"/>
      <c r="Q1485" s="117"/>
      <c r="S1485" s="2"/>
      <c r="T1485" s="2"/>
    </row>
    <row r="1486" spans="1:20" ht="15" customHeight="1">
      <c r="A1486" s="163"/>
      <c r="B1486" s="113"/>
      <c r="D1486" s="113"/>
      <c r="F1486" s="115"/>
      <c r="G1486" s="116"/>
      <c r="H1486" s="120"/>
      <c r="I1486" s="120"/>
      <c r="J1486" s="117"/>
      <c r="K1486" s="118"/>
      <c r="L1486" s="119"/>
      <c r="M1486" s="120"/>
      <c r="N1486" s="120"/>
      <c r="O1486" s="120"/>
      <c r="P1486" s="118"/>
      <c r="Q1486" s="117"/>
      <c r="S1486" s="2"/>
      <c r="T1486" s="2"/>
    </row>
    <row r="1487" spans="1:20" ht="15" customHeight="1">
      <c r="A1487" s="163"/>
      <c r="B1487" s="113"/>
      <c r="D1487" s="113"/>
      <c r="F1487" s="115"/>
      <c r="G1487" s="116"/>
      <c r="H1487" s="120"/>
      <c r="I1487" s="120"/>
      <c r="J1487" s="117"/>
      <c r="K1487" s="118"/>
      <c r="L1487" s="119"/>
      <c r="M1487" s="120"/>
      <c r="N1487" s="120"/>
      <c r="O1487" s="120"/>
      <c r="P1487" s="118"/>
      <c r="Q1487" s="117"/>
      <c r="S1487" s="2"/>
      <c r="T1487" s="2"/>
    </row>
    <row r="1488" spans="1:20" ht="15" customHeight="1">
      <c r="A1488" s="163"/>
      <c r="B1488" s="113"/>
      <c r="D1488" s="113"/>
      <c r="F1488" s="115"/>
      <c r="G1488" s="116"/>
      <c r="H1488" s="120"/>
      <c r="I1488" s="120"/>
      <c r="J1488" s="117"/>
      <c r="K1488" s="118"/>
      <c r="L1488" s="119"/>
      <c r="M1488" s="120"/>
      <c r="N1488" s="120"/>
      <c r="O1488" s="120"/>
      <c r="P1488" s="118"/>
      <c r="Q1488" s="117"/>
      <c r="S1488" s="2"/>
      <c r="T1488" s="2"/>
    </row>
    <row r="1489" spans="1:20" ht="15" customHeight="1">
      <c r="A1489" s="163"/>
      <c r="B1489" s="113"/>
      <c r="D1489" s="113"/>
      <c r="F1489" s="115"/>
      <c r="G1489" s="116"/>
      <c r="H1489" s="120"/>
      <c r="I1489" s="120"/>
      <c r="J1489" s="117"/>
      <c r="K1489" s="118"/>
      <c r="L1489" s="119"/>
      <c r="M1489" s="120"/>
      <c r="N1489" s="120"/>
      <c r="O1489" s="120"/>
      <c r="P1489" s="118"/>
      <c r="Q1489" s="117"/>
      <c r="S1489" s="2"/>
      <c r="T1489" s="2"/>
    </row>
    <row r="1490" spans="1:20" ht="15" customHeight="1">
      <c r="A1490" s="163"/>
      <c r="B1490" s="113"/>
      <c r="D1490" s="113"/>
      <c r="F1490" s="115"/>
      <c r="G1490" s="116"/>
      <c r="H1490" s="120"/>
      <c r="I1490" s="120"/>
      <c r="J1490" s="117"/>
      <c r="K1490" s="118"/>
      <c r="L1490" s="119"/>
      <c r="M1490" s="120"/>
      <c r="N1490" s="120"/>
      <c r="O1490" s="120"/>
      <c r="P1490" s="118"/>
      <c r="Q1490" s="117"/>
      <c r="S1490" s="2"/>
      <c r="T1490" s="2"/>
    </row>
    <row r="1491" spans="1:20" ht="15" customHeight="1">
      <c r="A1491" s="163"/>
      <c r="B1491" s="113"/>
      <c r="D1491" s="113"/>
      <c r="F1491" s="115"/>
      <c r="G1491" s="116"/>
      <c r="H1491" s="120"/>
      <c r="I1491" s="120"/>
      <c r="J1491" s="117"/>
      <c r="K1491" s="118"/>
      <c r="L1491" s="119"/>
      <c r="M1491" s="120"/>
      <c r="N1491" s="120"/>
      <c r="O1491" s="120"/>
      <c r="P1491" s="118"/>
      <c r="Q1491" s="117"/>
      <c r="S1491" s="2"/>
      <c r="T1491" s="2"/>
    </row>
    <row r="1492" spans="1:20" ht="15" customHeight="1">
      <c r="A1492" s="163"/>
      <c r="B1492" s="113"/>
      <c r="D1492" s="113"/>
      <c r="F1492" s="115"/>
      <c r="G1492" s="116"/>
      <c r="H1492" s="120"/>
      <c r="I1492" s="120"/>
      <c r="J1492" s="117"/>
      <c r="K1492" s="118"/>
      <c r="L1492" s="119"/>
      <c r="M1492" s="120"/>
      <c r="N1492" s="120"/>
      <c r="O1492" s="120"/>
      <c r="P1492" s="118"/>
      <c r="Q1492" s="117"/>
      <c r="S1492" s="2"/>
      <c r="T1492" s="2"/>
    </row>
    <row r="1493" spans="1:20" ht="15" customHeight="1">
      <c r="A1493" s="163"/>
      <c r="B1493" s="113"/>
      <c r="D1493" s="113"/>
      <c r="F1493" s="115"/>
      <c r="G1493" s="116"/>
      <c r="H1493" s="120"/>
      <c r="I1493" s="120"/>
      <c r="J1493" s="117"/>
      <c r="K1493" s="118"/>
      <c r="L1493" s="119"/>
      <c r="M1493" s="120"/>
      <c r="N1493" s="120"/>
      <c r="O1493" s="120"/>
      <c r="P1493" s="118"/>
      <c r="Q1493" s="117"/>
      <c r="S1493" s="2"/>
      <c r="T1493" s="2"/>
    </row>
    <row r="1494" spans="1:20" ht="15" customHeight="1">
      <c r="A1494" s="163"/>
      <c r="B1494" s="113"/>
      <c r="D1494" s="113"/>
      <c r="F1494" s="115"/>
      <c r="G1494" s="116"/>
      <c r="H1494" s="120"/>
      <c r="I1494" s="120"/>
      <c r="J1494" s="117"/>
      <c r="K1494" s="118"/>
      <c r="L1494" s="119"/>
      <c r="M1494" s="120"/>
      <c r="N1494" s="120"/>
      <c r="O1494" s="120"/>
      <c r="P1494" s="118"/>
      <c r="Q1494" s="117"/>
      <c r="S1494" s="2"/>
      <c r="T1494" s="2"/>
    </row>
    <row r="1495" spans="1:20" ht="15" customHeight="1">
      <c r="A1495" s="163"/>
      <c r="B1495" s="113"/>
      <c r="D1495" s="113"/>
      <c r="F1495" s="115"/>
      <c r="G1495" s="116"/>
      <c r="H1495" s="120"/>
      <c r="I1495" s="120"/>
      <c r="J1495" s="117"/>
      <c r="K1495" s="118"/>
      <c r="L1495" s="119"/>
      <c r="M1495" s="120"/>
      <c r="N1495" s="120"/>
      <c r="O1495" s="120"/>
      <c r="P1495" s="118"/>
      <c r="Q1495" s="117"/>
      <c r="S1495" s="2"/>
      <c r="T1495" s="2"/>
    </row>
    <row r="1496" spans="1:20" ht="15" customHeight="1">
      <c r="A1496" s="163"/>
      <c r="B1496" s="113"/>
      <c r="D1496" s="113"/>
      <c r="F1496" s="115"/>
      <c r="G1496" s="116"/>
      <c r="H1496" s="120"/>
      <c r="I1496" s="120"/>
      <c r="J1496" s="117"/>
      <c r="K1496" s="118"/>
      <c r="L1496" s="119"/>
      <c r="M1496" s="120"/>
      <c r="N1496" s="120"/>
      <c r="O1496" s="120"/>
      <c r="P1496" s="118"/>
      <c r="Q1496" s="117"/>
      <c r="S1496" s="2"/>
      <c r="T1496" s="2"/>
    </row>
    <row r="1497" spans="1:20" ht="15" customHeight="1">
      <c r="A1497" s="163"/>
      <c r="B1497" s="113"/>
      <c r="D1497" s="113"/>
      <c r="F1497" s="115"/>
      <c r="G1497" s="116"/>
      <c r="H1497" s="120"/>
      <c r="I1497" s="120"/>
      <c r="J1497" s="117"/>
      <c r="K1497" s="118"/>
      <c r="L1497" s="119"/>
      <c r="M1497" s="120"/>
      <c r="N1497" s="120"/>
      <c r="O1497" s="120"/>
      <c r="P1497" s="118"/>
      <c r="Q1497" s="117"/>
      <c r="S1497" s="2"/>
      <c r="T1497" s="2"/>
    </row>
    <row r="1498" spans="1:20" ht="15" customHeight="1">
      <c r="A1498" s="163"/>
      <c r="B1498" s="113"/>
      <c r="D1498" s="113"/>
      <c r="F1498" s="115"/>
      <c r="G1498" s="116"/>
      <c r="H1498" s="120"/>
      <c r="I1498" s="120"/>
      <c r="J1498" s="117"/>
      <c r="K1498" s="118"/>
      <c r="L1498" s="119"/>
      <c r="M1498" s="120"/>
      <c r="N1498" s="120"/>
      <c r="O1498" s="120"/>
      <c r="P1498" s="118"/>
      <c r="Q1498" s="117"/>
      <c r="S1498" s="2"/>
      <c r="T1498" s="2"/>
    </row>
    <row r="1499" spans="1:20" ht="15" customHeight="1">
      <c r="A1499" s="163"/>
      <c r="B1499" s="113"/>
      <c r="D1499" s="113"/>
      <c r="F1499" s="115"/>
      <c r="G1499" s="116"/>
      <c r="H1499" s="120"/>
      <c r="I1499" s="120"/>
      <c r="J1499" s="117"/>
      <c r="K1499" s="118"/>
      <c r="L1499" s="119"/>
      <c r="M1499" s="120"/>
      <c r="N1499" s="120"/>
      <c r="O1499" s="120"/>
      <c r="P1499" s="118"/>
      <c r="Q1499" s="117"/>
      <c r="S1499" s="2"/>
      <c r="T1499" s="2"/>
    </row>
    <row r="1500" spans="1:20" ht="15" customHeight="1">
      <c r="A1500" s="163"/>
      <c r="B1500" s="113"/>
      <c r="D1500" s="113"/>
      <c r="F1500" s="115"/>
      <c r="G1500" s="116"/>
      <c r="H1500" s="120"/>
      <c r="I1500" s="120"/>
      <c r="J1500" s="117"/>
      <c r="K1500" s="118"/>
      <c r="L1500" s="119"/>
      <c r="M1500" s="120"/>
      <c r="N1500" s="120"/>
      <c r="O1500" s="120"/>
      <c r="P1500" s="118"/>
      <c r="Q1500" s="117"/>
      <c r="S1500" s="2"/>
      <c r="T1500" s="2"/>
    </row>
    <row r="1501" spans="1:20" ht="15" customHeight="1">
      <c r="A1501" s="163"/>
      <c r="B1501" s="113"/>
      <c r="D1501" s="113"/>
      <c r="F1501" s="115"/>
      <c r="G1501" s="116"/>
      <c r="H1501" s="120"/>
      <c r="I1501" s="120"/>
      <c r="J1501" s="117"/>
      <c r="K1501" s="118"/>
      <c r="L1501" s="119"/>
      <c r="M1501" s="120"/>
      <c r="N1501" s="120"/>
      <c r="O1501" s="120"/>
      <c r="P1501" s="118"/>
      <c r="Q1501" s="117"/>
      <c r="S1501" s="2"/>
      <c r="T1501" s="2"/>
    </row>
    <row r="1502" spans="1:20" ht="15" customHeight="1">
      <c r="A1502" s="163"/>
      <c r="B1502" s="113"/>
      <c r="D1502" s="113"/>
      <c r="F1502" s="115"/>
      <c r="G1502" s="116"/>
      <c r="H1502" s="120"/>
      <c r="I1502" s="120"/>
      <c r="J1502" s="117"/>
      <c r="K1502" s="118"/>
      <c r="L1502" s="119"/>
      <c r="M1502" s="120"/>
      <c r="N1502" s="120"/>
      <c r="O1502" s="120"/>
      <c r="P1502" s="118"/>
      <c r="Q1502" s="117"/>
      <c r="S1502" s="2"/>
      <c r="T1502" s="2"/>
    </row>
    <row r="1503" spans="1:20" ht="15" customHeight="1">
      <c r="A1503" s="163"/>
      <c r="B1503" s="113"/>
      <c r="D1503" s="113"/>
      <c r="F1503" s="115"/>
      <c r="G1503" s="116"/>
      <c r="H1503" s="120"/>
      <c r="I1503" s="120"/>
      <c r="J1503" s="117"/>
      <c r="K1503" s="118"/>
      <c r="L1503" s="119"/>
      <c r="M1503" s="120"/>
      <c r="N1503" s="120"/>
      <c r="O1503" s="120"/>
      <c r="P1503" s="118"/>
      <c r="Q1503" s="117"/>
      <c r="S1503" s="2"/>
      <c r="T1503" s="2"/>
    </row>
    <row r="1504" spans="1:20" ht="15" customHeight="1">
      <c r="A1504" s="163"/>
      <c r="B1504" s="113"/>
      <c r="D1504" s="113"/>
      <c r="F1504" s="115"/>
      <c r="G1504" s="116"/>
      <c r="H1504" s="120"/>
      <c r="I1504" s="120"/>
      <c r="J1504" s="117"/>
      <c r="K1504" s="118"/>
      <c r="L1504" s="119"/>
      <c r="M1504" s="120"/>
      <c r="N1504" s="120"/>
      <c r="O1504" s="120"/>
      <c r="P1504" s="118"/>
      <c r="Q1504" s="117"/>
      <c r="S1504" s="2"/>
      <c r="T1504" s="2"/>
    </row>
    <row r="1505" spans="1:20" ht="15" customHeight="1">
      <c r="A1505" s="163"/>
      <c r="B1505" s="113"/>
      <c r="D1505" s="113"/>
      <c r="F1505" s="115"/>
      <c r="G1505" s="116"/>
      <c r="H1505" s="120"/>
      <c r="I1505" s="120"/>
      <c r="J1505" s="117"/>
      <c r="K1505" s="118"/>
      <c r="L1505" s="119"/>
      <c r="M1505" s="120"/>
      <c r="N1505" s="120"/>
      <c r="O1505" s="120"/>
      <c r="P1505" s="118"/>
      <c r="Q1505" s="117"/>
      <c r="S1505" s="2"/>
      <c r="T1505" s="2"/>
    </row>
    <row r="1506" spans="1:20" ht="15" customHeight="1">
      <c r="A1506" s="163"/>
      <c r="B1506" s="113"/>
      <c r="D1506" s="113"/>
      <c r="F1506" s="115"/>
      <c r="G1506" s="116"/>
      <c r="H1506" s="120"/>
      <c r="I1506" s="120"/>
      <c r="J1506" s="117"/>
      <c r="K1506" s="118"/>
      <c r="L1506" s="119"/>
      <c r="M1506" s="120"/>
      <c r="N1506" s="120"/>
      <c r="O1506" s="120"/>
      <c r="P1506" s="118"/>
      <c r="Q1506" s="117"/>
      <c r="S1506" s="2"/>
      <c r="T1506" s="2"/>
    </row>
    <row r="1507" spans="1:20" ht="15" customHeight="1">
      <c r="A1507" s="163"/>
      <c r="B1507" s="113"/>
      <c r="D1507" s="113"/>
      <c r="F1507" s="115"/>
      <c r="G1507" s="116"/>
      <c r="H1507" s="120"/>
      <c r="I1507" s="120"/>
      <c r="J1507" s="117"/>
      <c r="K1507" s="118"/>
      <c r="L1507" s="119"/>
      <c r="M1507" s="120"/>
      <c r="N1507" s="120"/>
      <c r="O1507" s="120"/>
      <c r="P1507" s="118"/>
      <c r="Q1507" s="117"/>
      <c r="S1507" s="2"/>
      <c r="T1507" s="2"/>
    </row>
    <row r="1508" spans="1:20" ht="15" customHeight="1">
      <c r="A1508" s="163"/>
      <c r="B1508" s="113"/>
      <c r="D1508" s="113"/>
      <c r="F1508" s="115"/>
      <c r="G1508" s="116"/>
      <c r="H1508" s="120"/>
      <c r="I1508" s="120"/>
      <c r="J1508" s="117"/>
      <c r="K1508" s="118"/>
      <c r="L1508" s="119"/>
      <c r="M1508" s="120"/>
      <c r="N1508" s="120"/>
      <c r="O1508" s="120"/>
      <c r="P1508" s="118"/>
      <c r="Q1508" s="117"/>
      <c r="S1508" s="2"/>
      <c r="T1508" s="2"/>
    </row>
    <row r="1509" spans="1:20" ht="15" customHeight="1">
      <c r="A1509" s="163"/>
      <c r="B1509" s="113"/>
      <c r="D1509" s="113"/>
      <c r="F1509" s="115"/>
      <c r="G1509" s="116"/>
      <c r="H1509" s="120"/>
      <c r="I1509" s="120"/>
      <c r="J1509" s="117"/>
      <c r="K1509" s="118"/>
      <c r="L1509" s="119"/>
      <c r="M1509" s="120"/>
      <c r="N1509" s="120"/>
      <c r="O1509" s="120"/>
      <c r="P1509" s="118"/>
      <c r="Q1509" s="117"/>
      <c r="S1509" s="2"/>
      <c r="T1509" s="2"/>
    </row>
    <row r="1510" spans="1:20" ht="15" customHeight="1">
      <c r="A1510" s="163"/>
      <c r="B1510" s="113"/>
      <c r="D1510" s="113"/>
      <c r="F1510" s="115"/>
      <c r="G1510" s="116"/>
      <c r="H1510" s="120"/>
      <c r="I1510" s="120"/>
      <c r="J1510" s="117"/>
      <c r="K1510" s="118"/>
      <c r="L1510" s="119"/>
      <c r="M1510" s="120"/>
      <c r="N1510" s="120"/>
      <c r="O1510" s="120"/>
      <c r="P1510" s="118"/>
      <c r="Q1510" s="117"/>
      <c r="S1510" s="2"/>
      <c r="T1510" s="2"/>
    </row>
    <row r="1511" spans="1:20" ht="15" customHeight="1">
      <c r="A1511" s="163"/>
      <c r="B1511" s="113"/>
      <c r="D1511" s="113"/>
      <c r="F1511" s="115"/>
      <c r="G1511" s="116"/>
      <c r="H1511" s="120"/>
      <c r="I1511" s="120"/>
      <c r="J1511" s="117"/>
      <c r="K1511" s="118"/>
      <c r="L1511" s="119"/>
      <c r="M1511" s="120"/>
      <c r="N1511" s="120"/>
      <c r="O1511" s="120"/>
      <c r="P1511" s="118"/>
      <c r="Q1511" s="117"/>
      <c r="S1511" s="2"/>
      <c r="T1511" s="2"/>
    </row>
    <row r="1512" spans="1:20" ht="15" customHeight="1">
      <c r="A1512" s="163"/>
      <c r="B1512" s="113"/>
      <c r="D1512" s="113"/>
      <c r="F1512" s="115"/>
      <c r="G1512" s="116"/>
      <c r="H1512" s="120"/>
      <c r="I1512" s="120"/>
      <c r="J1512" s="117"/>
      <c r="K1512" s="118"/>
      <c r="L1512" s="119"/>
      <c r="M1512" s="120"/>
      <c r="N1512" s="120"/>
      <c r="O1512" s="120"/>
      <c r="P1512" s="118"/>
      <c r="Q1512" s="117"/>
      <c r="S1512" s="2"/>
      <c r="T1512" s="2"/>
    </row>
    <row r="1513" spans="1:20" ht="15" customHeight="1">
      <c r="A1513" s="163"/>
      <c r="B1513" s="113"/>
      <c r="D1513" s="113"/>
      <c r="F1513" s="115"/>
      <c r="G1513" s="116"/>
      <c r="H1513" s="120"/>
      <c r="I1513" s="120"/>
      <c r="J1513" s="117"/>
      <c r="K1513" s="118"/>
      <c r="L1513" s="119"/>
      <c r="M1513" s="120"/>
      <c r="N1513" s="120"/>
      <c r="O1513" s="120"/>
      <c r="P1513" s="118"/>
      <c r="Q1513" s="117"/>
      <c r="S1513" s="2"/>
      <c r="T1513" s="2"/>
    </row>
    <row r="1514" spans="1:20" ht="15" customHeight="1">
      <c r="A1514" s="163"/>
      <c r="B1514" s="113"/>
      <c r="D1514" s="113"/>
      <c r="F1514" s="115"/>
      <c r="G1514" s="116"/>
      <c r="H1514" s="120"/>
      <c r="I1514" s="120"/>
      <c r="J1514" s="117"/>
      <c r="K1514" s="118"/>
      <c r="L1514" s="119"/>
      <c r="M1514" s="120"/>
      <c r="N1514" s="120"/>
      <c r="O1514" s="120"/>
      <c r="P1514" s="118"/>
      <c r="Q1514" s="117"/>
      <c r="S1514" s="2"/>
      <c r="T1514" s="2"/>
    </row>
    <row r="1515" spans="1:20" ht="15" customHeight="1">
      <c r="A1515" s="163"/>
      <c r="B1515" s="113"/>
      <c r="D1515" s="113"/>
      <c r="F1515" s="115"/>
      <c r="G1515" s="116"/>
      <c r="H1515" s="120"/>
      <c r="I1515" s="120"/>
      <c r="J1515" s="117"/>
      <c r="K1515" s="118"/>
      <c r="L1515" s="119"/>
      <c r="M1515" s="120"/>
      <c r="N1515" s="120"/>
      <c r="O1515" s="120"/>
      <c r="P1515" s="118"/>
      <c r="Q1515" s="117"/>
      <c r="S1515" s="2"/>
      <c r="T1515" s="2"/>
    </row>
    <row r="1516" spans="1:20" ht="15" customHeight="1">
      <c r="A1516" s="163"/>
      <c r="B1516" s="113"/>
      <c r="D1516" s="113"/>
      <c r="F1516" s="115"/>
      <c r="G1516" s="116"/>
      <c r="H1516" s="120"/>
      <c r="I1516" s="120"/>
      <c r="J1516" s="117"/>
      <c r="K1516" s="118"/>
      <c r="L1516" s="119"/>
      <c r="M1516" s="120"/>
      <c r="N1516" s="120"/>
      <c r="O1516" s="120"/>
      <c r="P1516" s="118"/>
      <c r="Q1516" s="117"/>
      <c r="S1516" s="2"/>
      <c r="T1516" s="2"/>
    </row>
    <row r="1517" spans="1:20" ht="15" customHeight="1">
      <c r="A1517" s="163"/>
      <c r="B1517" s="113"/>
      <c r="D1517" s="113"/>
      <c r="F1517" s="115"/>
      <c r="G1517" s="116"/>
      <c r="H1517" s="120"/>
      <c r="I1517" s="120"/>
      <c r="J1517" s="117"/>
      <c r="K1517" s="118"/>
      <c r="L1517" s="119"/>
      <c r="M1517" s="120"/>
      <c r="N1517" s="120"/>
      <c r="O1517" s="120"/>
      <c r="P1517" s="118"/>
      <c r="Q1517" s="117"/>
      <c r="S1517" s="2"/>
      <c r="T1517" s="2"/>
    </row>
    <row r="1518" spans="1:20" ht="15" customHeight="1">
      <c r="A1518" s="163"/>
      <c r="B1518" s="113"/>
      <c r="D1518" s="113"/>
      <c r="F1518" s="115"/>
      <c r="G1518" s="116"/>
      <c r="H1518" s="120"/>
      <c r="I1518" s="120"/>
      <c r="J1518" s="117"/>
      <c r="K1518" s="118"/>
      <c r="L1518" s="119"/>
      <c r="M1518" s="120"/>
      <c r="N1518" s="120"/>
      <c r="O1518" s="120"/>
      <c r="P1518" s="118"/>
      <c r="Q1518" s="117"/>
      <c r="S1518" s="2"/>
      <c r="T1518" s="2"/>
    </row>
    <row r="1519" spans="1:20" ht="15" customHeight="1">
      <c r="A1519" s="163"/>
      <c r="B1519" s="113"/>
      <c r="D1519" s="113"/>
      <c r="F1519" s="115"/>
      <c r="G1519" s="116"/>
      <c r="H1519" s="120"/>
      <c r="I1519" s="120"/>
      <c r="J1519" s="117"/>
      <c r="K1519" s="118"/>
      <c r="L1519" s="119"/>
      <c r="M1519" s="120"/>
      <c r="N1519" s="120"/>
      <c r="O1519" s="120"/>
      <c r="P1519" s="118"/>
      <c r="Q1519" s="117"/>
      <c r="S1519" s="2"/>
      <c r="T1519" s="2"/>
    </row>
    <row r="1520" spans="1:20" ht="15" customHeight="1">
      <c r="A1520" s="163"/>
      <c r="B1520" s="113"/>
      <c r="D1520" s="113"/>
      <c r="F1520" s="115"/>
      <c r="G1520" s="116"/>
      <c r="H1520" s="120"/>
      <c r="I1520" s="120"/>
      <c r="J1520" s="117"/>
      <c r="K1520" s="118"/>
      <c r="L1520" s="119"/>
      <c r="M1520" s="120"/>
      <c r="N1520" s="120"/>
      <c r="O1520" s="120"/>
      <c r="P1520" s="118"/>
      <c r="Q1520" s="117"/>
      <c r="S1520" s="2"/>
      <c r="T1520" s="2"/>
    </row>
    <row r="1521" spans="1:20" ht="15" customHeight="1">
      <c r="A1521" s="163"/>
      <c r="B1521" s="113"/>
      <c r="D1521" s="113"/>
      <c r="F1521" s="115"/>
      <c r="G1521" s="116"/>
      <c r="H1521" s="120"/>
      <c r="I1521" s="120"/>
      <c r="J1521" s="117"/>
      <c r="K1521" s="118"/>
      <c r="L1521" s="119"/>
      <c r="M1521" s="120"/>
      <c r="N1521" s="120"/>
      <c r="O1521" s="120"/>
      <c r="P1521" s="118"/>
      <c r="Q1521" s="117"/>
      <c r="S1521" s="2"/>
      <c r="T1521" s="2"/>
    </row>
    <row r="1522" spans="1:20" ht="15" customHeight="1">
      <c r="A1522" s="163"/>
      <c r="B1522" s="113"/>
      <c r="D1522" s="113"/>
      <c r="F1522" s="115"/>
      <c r="G1522" s="116"/>
      <c r="H1522" s="120"/>
      <c r="I1522" s="120"/>
      <c r="J1522" s="117"/>
      <c r="K1522" s="118"/>
      <c r="L1522" s="119"/>
      <c r="M1522" s="120"/>
      <c r="N1522" s="120"/>
      <c r="O1522" s="120"/>
      <c r="P1522" s="118"/>
      <c r="Q1522" s="117"/>
      <c r="S1522" s="2"/>
      <c r="T1522" s="2"/>
    </row>
    <row r="1523" spans="1:20" ht="15" customHeight="1">
      <c r="A1523" s="163"/>
      <c r="B1523" s="113"/>
      <c r="D1523" s="113"/>
      <c r="F1523" s="115"/>
      <c r="G1523" s="116"/>
      <c r="H1523" s="120"/>
      <c r="I1523" s="120"/>
      <c r="J1523" s="117"/>
      <c r="K1523" s="118"/>
      <c r="L1523" s="119"/>
      <c r="M1523" s="120"/>
      <c r="N1523" s="120"/>
      <c r="O1523" s="120"/>
      <c r="P1523" s="118"/>
      <c r="Q1523" s="117"/>
      <c r="S1523" s="2"/>
      <c r="T1523" s="2"/>
    </row>
    <row r="1524" spans="1:20" ht="15" customHeight="1">
      <c r="A1524" s="163"/>
      <c r="B1524" s="113"/>
      <c r="D1524" s="113"/>
      <c r="F1524" s="115"/>
      <c r="G1524" s="116"/>
      <c r="H1524" s="120"/>
      <c r="I1524" s="120"/>
      <c r="J1524" s="117"/>
      <c r="K1524" s="118"/>
      <c r="L1524" s="119"/>
      <c r="M1524" s="120"/>
      <c r="N1524" s="120"/>
      <c r="O1524" s="120"/>
      <c r="P1524" s="118"/>
      <c r="Q1524" s="117"/>
      <c r="S1524" s="2"/>
      <c r="T1524" s="2"/>
    </row>
    <row r="1525" spans="1:20" ht="15" customHeight="1">
      <c r="A1525" s="163"/>
      <c r="B1525" s="113"/>
      <c r="D1525" s="113"/>
      <c r="F1525" s="115"/>
      <c r="G1525" s="116"/>
      <c r="H1525" s="120"/>
      <c r="I1525" s="120"/>
      <c r="J1525" s="117"/>
      <c r="K1525" s="118"/>
      <c r="L1525" s="119"/>
      <c r="M1525" s="120"/>
      <c r="N1525" s="120"/>
      <c r="O1525" s="120"/>
      <c r="P1525" s="118"/>
      <c r="Q1525" s="117"/>
      <c r="S1525" s="2"/>
      <c r="T1525" s="2"/>
    </row>
    <row r="1526" spans="1:20" ht="15" customHeight="1">
      <c r="A1526" s="163"/>
      <c r="B1526" s="113"/>
      <c r="D1526" s="113"/>
      <c r="F1526" s="115"/>
      <c r="G1526" s="116"/>
      <c r="H1526" s="120"/>
      <c r="I1526" s="120"/>
      <c r="J1526" s="117"/>
      <c r="K1526" s="118"/>
      <c r="L1526" s="119"/>
      <c r="M1526" s="120"/>
      <c r="N1526" s="120"/>
      <c r="O1526" s="120"/>
      <c r="P1526" s="118"/>
      <c r="Q1526" s="117"/>
      <c r="S1526" s="2"/>
      <c r="T1526" s="2"/>
    </row>
    <row r="1527" spans="1:20" ht="15" customHeight="1">
      <c r="A1527" s="163"/>
      <c r="B1527" s="113"/>
      <c r="D1527" s="113"/>
      <c r="F1527" s="115"/>
      <c r="G1527" s="116"/>
      <c r="H1527" s="120"/>
      <c r="I1527" s="120"/>
      <c r="J1527" s="117"/>
      <c r="K1527" s="118"/>
      <c r="L1527" s="119"/>
      <c r="M1527" s="120"/>
      <c r="N1527" s="120"/>
      <c r="O1527" s="120"/>
      <c r="P1527" s="118"/>
      <c r="Q1527" s="117"/>
      <c r="S1527" s="2"/>
      <c r="T1527" s="2"/>
    </row>
    <row r="1528" spans="1:20" ht="15" customHeight="1">
      <c r="A1528" s="163"/>
      <c r="B1528" s="113"/>
      <c r="D1528" s="113"/>
      <c r="F1528" s="115"/>
      <c r="G1528" s="116"/>
      <c r="H1528" s="120"/>
      <c r="I1528" s="120"/>
      <c r="J1528" s="117"/>
      <c r="K1528" s="118"/>
      <c r="L1528" s="119"/>
      <c r="M1528" s="120"/>
      <c r="N1528" s="120"/>
      <c r="O1528" s="120"/>
      <c r="P1528" s="118"/>
      <c r="Q1528" s="117"/>
      <c r="S1528" s="2"/>
      <c r="T1528" s="2"/>
    </row>
    <row r="1529" spans="1:20" ht="15" customHeight="1">
      <c r="A1529" s="163"/>
      <c r="B1529" s="113"/>
      <c r="D1529" s="113"/>
      <c r="F1529" s="115"/>
      <c r="G1529" s="116"/>
      <c r="H1529" s="120"/>
      <c r="I1529" s="120"/>
      <c r="J1529" s="117"/>
      <c r="K1529" s="118"/>
      <c r="L1529" s="119"/>
      <c r="M1529" s="120"/>
      <c r="N1529" s="120"/>
      <c r="O1529" s="120"/>
      <c r="P1529" s="118"/>
      <c r="Q1529" s="117"/>
      <c r="S1529" s="2"/>
      <c r="T1529" s="2"/>
    </row>
    <row r="1530" spans="1:20" ht="15" customHeight="1">
      <c r="A1530" s="163"/>
      <c r="B1530" s="113"/>
      <c r="D1530" s="113"/>
      <c r="F1530" s="115"/>
      <c r="G1530" s="116"/>
      <c r="H1530" s="120"/>
      <c r="I1530" s="120"/>
      <c r="J1530" s="117"/>
      <c r="K1530" s="118"/>
      <c r="L1530" s="119"/>
      <c r="M1530" s="120"/>
      <c r="N1530" s="120"/>
      <c r="O1530" s="120"/>
      <c r="P1530" s="118"/>
      <c r="Q1530" s="117"/>
      <c r="S1530" s="2"/>
      <c r="T1530" s="2"/>
    </row>
    <row r="1531" spans="1:20" ht="15" customHeight="1">
      <c r="A1531" s="163"/>
      <c r="B1531" s="113"/>
      <c r="D1531" s="113"/>
      <c r="F1531" s="115"/>
      <c r="G1531" s="116"/>
      <c r="H1531" s="120"/>
      <c r="I1531" s="120"/>
      <c r="J1531" s="117"/>
      <c r="K1531" s="118"/>
      <c r="L1531" s="119"/>
      <c r="M1531" s="120"/>
      <c r="N1531" s="120"/>
      <c r="O1531" s="120"/>
      <c r="P1531" s="118"/>
      <c r="Q1531" s="117"/>
      <c r="S1531" s="2"/>
      <c r="T1531" s="2"/>
    </row>
    <row r="1532" spans="1:20" ht="15" customHeight="1">
      <c r="A1532" s="163"/>
      <c r="B1532" s="113"/>
      <c r="D1532" s="113"/>
      <c r="F1532" s="115"/>
      <c r="G1532" s="116"/>
      <c r="H1532" s="120"/>
      <c r="I1532" s="120"/>
      <c r="J1532" s="117"/>
      <c r="K1532" s="118"/>
      <c r="L1532" s="119"/>
      <c r="M1532" s="120"/>
      <c r="N1532" s="120"/>
      <c r="O1532" s="120"/>
      <c r="P1532" s="118"/>
      <c r="Q1532" s="117"/>
      <c r="S1532" s="2"/>
      <c r="T1532" s="2"/>
    </row>
    <row r="1533" spans="1:20" ht="15" customHeight="1">
      <c r="A1533" s="163"/>
      <c r="B1533" s="113"/>
      <c r="D1533" s="113"/>
      <c r="F1533" s="115"/>
      <c r="G1533" s="116"/>
      <c r="H1533" s="120"/>
      <c r="I1533" s="120"/>
      <c r="J1533" s="117"/>
      <c r="K1533" s="118"/>
      <c r="L1533" s="119"/>
      <c r="M1533" s="120"/>
      <c r="N1533" s="120"/>
      <c r="O1533" s="120"/>
      <c r="P1533" s="118"/>
      <c r="Q1533" s="117"/>
      <c r="S1533" s="2"/>
      <c r="T1533" s="2"/>
    </row>
    <row r="1534" spans="1:20" ht="15" customHeight="1">
      <c r="A1534" s="163"/>
      <c r="B1534" s="113"/>
      <c r="D1534" s="113"/>
      <c r="F1534" s="115"/>
      <c r="G1534" s="116"/>
      <c r="H1534" s="120"/>
      <c r="I1534" s="120"/>
      <c r="J1534" s="117"/>
      <c r="K1534" s="118"/>
      <c r="L1534" s="119"/>
      <c r="M1534" s="120"/>
      <c r="N1534" s="120"/>
      <c r="O1534" s="120"/>
      <c r="P1534" s="118"/>
      <c r="Q1534" s="117"/>
      <c r="S1534" s="2"/>
      <c r="T1534" s="2"/>
    </row>
    <row r="1535" spans="1:20" ht="15" customHeight="1">
      <c r="A1535" s="163"/>
      <c r="B1535" s="113"/>
      <c r="D1535" s="113"/>
      <c r="F1535" s="115"/>
      <c r="G1535" s="116"/>
      <c r="H1535" s="120"/>
      <c r="I1535" s="120"/>
      <c r="J1535" s="117"/>
      <c r="K1535" s="118"/>
      <c r="L1535" s="119"/>
      <c r="M1535" s="120"/>
      <c r="N1535" s="120"/>
      <c r="O1535" s="120"/>
      <c r="P1535" s="118"/>
      <c r="Q1535" s="117"/>
      <c r="S1535" s="2"/>
      <c r="T1535" s="2"/>
    </row>
    <row r="1536" spans="1:20" ht="15" customHeight="1">
      <c r="A1536" s="163"/>
      <c r="B1536" s="113"/>
      <c r="D1536" s="113"/>
      <c r="F1536" s="115"/>
      <c r="G1536" s="116"/>
      <c r="H1536" s="120"/>
      <c r="I1536" s="120"/>
      <c r="J1536" s="117"/>
      <c r="K1536" s="118"/>
      <c r="L1536" s="119"/>
      <c r="M1536" s="120"/>
      <c r="N1536" s="120"/>
      <c r="O1536" s="120"/>
      <c r="P1536" s="118"/>
      <c r="Q1536" s="117"/>
      <c r="S1536" s="2"/>
      <c r="T1536" s="2"/>
    </row>
    <row r="1537" spans="1:20" ht="15" customHeight="1">
      <c r="A1537" s="163"/>
      <c r="B1537" s="113"/>
      <c r="D1537" s="113"/>
      <c r="F1537" s="115"/>
      <c r="G1537" s="116"/>
      <c r="H1537" s="120"/>
      <c r="I1537" s="120"/>
      <c r="J1537" s="117"/>
      <c r="K1537" s="118"/>
      <c r="L1537" s="119"/>
      <c r="M1537" s="120"/>
      <c r="N1537" s="120"/>
      <c r="O1537" s="120"/>
      <c r="P1537" s="118"/>
      <c r="Q1537" s="117"/>
      <c r="S1537" s="2"/>
      <c r="T1537" s="2"/>
    </row>
    <row r="1538" spans="1:20" ht="15" customHeight="1">
      <c r="A1538" s="163"/>
      <c r="B1538" s="113"/>
      <c r="D1538" s="113"/>
      <c r="F1538" s="115"/>
      <c r="G1538" s="116"/>
      <c r="H1538" s="120"/>
      <c r="I1538" s="120"/>
      <c r="J1538" s="117"/>
      <c r="K1538" s="118"/>
      <c r="L1538" s="119"/>
      <c r="M1538" s="120"/>
      <c r="N1538" s="120"/>
      <c r="O1538" s="120"/>
      <c r="P1538" s="118"/>
      <c r="Q1538" s="117"/>
      <c r="S1538" s="2"/>
      <c r="T1538" s="2"/>
    </row>
    <row r="1539" spans="1:20" ht="15" customHeight="1">
      <c r="A1539" s="163"/>
      <c r="B1539" s="113"/>
      <c r="D1539" s="113"/>
      <c r="F1539" s="115"/>
      <c r="G1539" s="116"/>
      <c r="H1539" s="120"/>
      <c r="I1539" s="120"/>
      <c r="J1539" s="117"/>
      <c r="K1539" s="118"/>
      <c r="L1539" s="119"/>
      <c r="M1539" s="120"/>
      <c r="N1539" s="120"/>
      <c r="O1539" s="120"/>
      <c r="P1539" s="118"/>
      <c r="Q1539" s="117"/>
      <c r="S1539" s="2"/>
      <c r="T1539" s="2"/>
    </row>
    <row r="1540" spans="1:20" ht="15" customHeight="1">
      <c r="A1540" s="163"/>
      <c r="B1540" s="113"/>
      <c r="D1540" s="113"/>
      <c r="F1540" s="115"/>
      <c r="G1540" s="116"/>
      <c r="H1540" s="120"/>
      <c r="I1540" s="120"/>
      <c r="J1540" s="117"/>
      <c r="K1540" s="118"/>
      <c r="L1540" s="119"/>
      <c r="M1540" s="120"/>
      <c r="N1540" s="120"/>
      <c r="O1540" s="120"/>
      <c r="P1540" s="118"/>
      <c r="Q1540" s="117"/>
      <c r="S1540" s="2"/>
      <c r="T1540" s="2"/>
    </row>
    <row r="1541" spans="1:20" ht="15" customHeight="1">
      <c r="A1541" s="163"/>
      <c r="B1541" s="113"/>
      <c r="D1541" s="113"/>
      <c r="F1541" s="115"/>
      <c r="G1541" s="116"/>
      <c r="H1541" s="120"/>
      <c r="I1541" s="120"/>
      <c r="J1541" s="117"/>
      <c r="K1541" s="118"/>
      <c r="L1541" s="119"/>
      <c r="M1541" s="120"/>
      <c r="N1541" s="120"/>
      <c r="O1541" s="120"/>
      <c r="P1541" s="118"/>
      <c r="Q1541" s="117"/>
      <c r="S1541" s="2"/>
      <c r="T1541" s="2"/>
    </row>
    <row r="1542" spans="1:20" ht="15" customHeight="1">
      <c r="A1542" s="163"/>
      <c r="B1542" s="113"/>
      <c r="D1542" s="113"/>
      <c r="F1542" s="115"/>
      <c r="G1542" s="116"/>
      <c r="H1542" s="120"/>
      <c r="I1542" s="120"/>
      <c r="J1542" s="117"/>
      <c r="K1542" s="118"/>
      <c r="L1542" s="119"/>
      <c r="M1542" s="120"/>
      <c r="N1542" s="120"/>
      <c r="O1542" s="120"/>
      <c r="P1542" s="118"/>
      <c r="Q1542" s="117"/>
      <c r="S1542" s="2"/>
      <c r="T1542" s="2"/>
    </row>
    <row r="1543" spans="1:20" ht="15" customHeight="1">
      <c r="A1543" s="163"/>
      <c r="B1543" s="113"/>
      <c r="D1543" s="113"/>
      <c r="F1543" s="115"/>
      <c r="G1543" s="116"/>
      <c r="H1543" s="120"/>
      <c r="I1543" s="120"/>
      <c r="J1543" s="117"/>
      <c r="K1543" s="118"/>
      <c r="L1543" s="119"/>
      <c r="M1543" s="120"/>
      <c r="N1543" s="120"/>
      <c r="O1543" s="120"/>
      <c r="P1543" s="118"/>
      <c r="Q1543" s="117"/>
      <c r="S1543" s="2"/>
      <c r="T1543" s="2"/>
    </row>
    <row r="1544" spans="1:20" ht="15" customHeight="1">
      <c r="A1544" s="163"/>
      <c r="B1544" s="113"/>
      <c r="D1544" s="113"/>
      <c r="F1544" s="115"/>
      <c r="G1544" s="116"/>
      <c r="H1544" s="120"/>
      <c r="I1544" s="120"/>
      <c r="J1544" s="117"/>
      <c r="K1544" s="118"/>
      <c r="L1544" s="119"/>
      <c r="M1544" s="120"/>
      <c r="N1544" s="120"/>
      <c r="O1544" s="120"/>
      <c r="P1544" s="118"/>
      <c r="Q1544" s="117"/>
      <c r="S1544" s="2"/>
      <c r="T1544" s="2"/>
    </row>
    <row r="1545" spans="1:20" ht="15" customHeight="1">
      <c r="A1545" s="163"/>
      <c r="B1545" s="113"/>
      <c r="D1545" s="113"/>
      <c r="F1545" s="115"/>
      <c r="G1545" s="116"/>
      <c r="H1545" s="120"/>
      <c r="I1545" s="120"/>
      <c r="J1545" s="117"/>
      <c r="K1545" s="118"/>
      <c r="L1545" s="119"/>
      <c r="M1545" s="120"/>
      <c r="N1545" s="120"/>
      <c r="O1545" s="120"/>
      <c r="P1545" s="118"/>
      <c r="Q1545" s="117"/>
      <c r="S1545" s="2"/>
      <c r="T1545" s="2"/>
    </row>
    <row r="1546" spans="1:20" ht="15" customHeight="1">
      <c r="A1546" s="163"/>
      <c r="B1546" s="113"/>
      <c r="D1546" s="113"/>
      <c r="F1546" s="115"/>
      <c r="G1546" s="116"/>
      <c r="H1546" s="120"/>
      <c r="I1546" s="120"/>
      <c r="J1546" s="117"/>
      <c r="K1546" s="118"/>
      <c r="L1546" s="119"/>
      <c r="M1546" s="120"/>
      <c r="N1546" s="120"/>
      <c r="O1546" s="120"/>
      <c r="P1546" s="118"/>
      <c r="Q1546" s="117"/>
      <c r="S1546" s="2"/>
      <c r="T1546" s="2"/>
    </row>
    <row r="1547" spans="1:20" ht="15" customHeight="1">
      <c r="A1547" s="163"/>
      <c r="B1547" s="113"/>
      <c r="D1547" s="113"/>
      <c r="F1547" s="115"/>
      <c r="G1547" s="116"/>
      <c r="H1547" s="120"/>
      <c r="I1547" s="120"/>
      <c r="J1547" s="117"/>
      <c r="K1547" s="118"/>
      <c r="L1547" s="119"/>
      <c r="M1547" s="120"/>
      <c r="N1547" s="120"/>
      <c r="O1547" s="120"/>
      <c r="P1547" s="118"/>
      <c r="Q1547" s="117"/>
      <c r="S1547" s="2"/>
      <c r="T1547" s="2"/>
    </row>
    <row r="1548" spans="1:20" ht="15" customHeight="1">
      <c r="A1548" s="163"/>
      <c r="B1548" s="113"/>
      <c r="D1548" s="113"/>
      <c r="F1548" s="115"/>
      <c r="G1548" s="116"/>
      <c r="H1548" s="120"/>
      <c r="I1548" s="120"/>
      <c r="J1548" s="117"/>
      <c r="K1548" s="118"/>
      <c r="L1548" s="119"/>
      <c r="M1548" s="120"/>
      <c r="N1548" s="120"/>
      <c r="O1548" s="120"/>
      <c r="P1548" s="118"/>
      <c r="Q1548" s="117"/>
      <c r="S1548" s="2"/>
      <c r="T1548" s="2"/>
    </row>
    <row r="1549" spans="1:20" ht="15" customHeight="1">
      <c r="A1549" s="163"/>
      <c r="B1549" s="113"/>
      <c r="D1549" s="113"/>
      <c r="F1549" s="115"/>
      <c r="G1549" s="116"/>
      <c r="H1549" s="120"/>
      <c r="I1549" s="120"/>
      <c r="J1549" s="117"/>
      <c r="K1549" s="118"/>
      <c r="L1549" s="119"/>
      <c r="M1549" s="120"/>
      <c r="N1549" s="120"/>
      <c r="O1549" s="120"/>
      <c r="P1549" s="118"/>
      <c r="Q1549" s="117"/>
      <c r="S1549" s="2"/>
      <c r="T1549" s="2"/>
    </row>
    <row r="1550" spans="1:20" ht="15" customHeight="1">
      <c r="A1550" s="163"/>
      <c r="B1550" s="113"/>
      <c r="D1550" s="113"/>
      <c r="F1550" s="115"/>
      <c r="G1550" s="116"/>
      <c r="H1550" s="120"/>
      <c r="I1550" s="120"/>
      <c r="J1550" s="117"/>
      <c r="K1550" s="118"/>
      <c r="L1550" s="119"/>
      <c r="M1550" s="120"/>
      <c r="N1550" s="120"/>
      <c r="O1550" s="120"/>
      <c r="P1550" s="118"/>
      <c r="Q1550" s="117"/>
      <c r="S1550" s="2"/>
      <c r="T1550" s="2"/>
    </row>
    <row r="1551" spans="1:20" ht="15" customHeight="1">
      <c r="A1551" s="163"/>
      <c r="B1551" s="113"/>
      <c r="D1551" s="113"/>
      <c r="F1551" s="115"/>
      <c r="G1551" s="116"/>
      <c r="H1551" s="120"/>
      <c r="I1551" s="120"/>
      <c r="J1551" s="117"/>
      <c r="K1551" s="118"/>
      <c r="L1551" s="119"/>
      <c r="M1551" s="120"/>
      <c r="N1551" s="120"/>
      <c r="O1551" s="120"/>
      <c r="P1551" s="118"/>
      <c r="Q1551" s="117"/>
      <c r="S1551" s="2"/>
      <c r="T1551" s="2"/>
    </row>
    <row r="1552" spans="1:20" ht="15" customHeight="1">
      <c r="A1552" s="163"/>
      <c r="B1552" s="113"/>
      <c r="D1552" s="113"/>
      <c r="F1552" s="115"/>
      <c r="G1552" s="116"/>
      <c r="H1552" s="120"/>
      <c r="I1552" s="120"/>
      <c r="J1552" s="117"/>
      <c r="K1552" s="118"/>
      <c r="L1552" s="119"/>
      <c r="M1552" s="120"/>
      <c r="N1552" s="120"/>
      <c r="O1552" s="120"/>
      <c r="P1552" s="118"/>
      <c r="Q1552" s="117"/>
      <c r="S1552" s="2"/>
      <c r="T1552" s="2"/>
    </row>
    <row r="1553" spans="1:20" ht="15" customHeight="1">
      <c r="A1553" s="163"/>
      <c r="B1553" s="113"/>
      <c r="D1553" s="113"/>
      <c r="F1553" s="115"/>
      <c r="G1553" s="116"/>
      <c r="H1553" s="120"/>
      <c r="I1553" s="120"/>
      <c r="J1553" s="117"/>
      <c r="K1553" s="118"/>
      <c r="L1553" s="119"/>
      <c r="M1553" s="120"/>
      <c r="N1553" s="120"/>
      <c r="O1553" s="120"/>
      <c r="P1553" s="118"/>
      <c r="Q1553" s="117"/>
      <c r="S1553" s="2"/>
      <c r="T1553" s="2"/>
    </row>
    <row r="1554" spans="1:20" ht="15" customHeight="1">
      <c r="A1554" s="163"/>
      <c r="B1554" s="113"/>
      <c r="D1554" s="113"/>
      <c r="F1554" s="115"/>
      <c r="G1554" s="116"/>
      <c r="H1554" s="120"/>
      <c r="I1554" s="120"/>
      <c r="J1554" s="117"/>
      <c r="K1554" s="118"/>
      <c r="L1554" s="119"/>
      <c r="M1554" s="120"/>
      <c r="N1554" s="120"/>
      <c r="O1554" s="120"/>
      <c r="P1554" s="118"/>
      <c r="Q1554" s="117"/>
      <c r="S1554" s="2"/>
      <c r="T1554" s="2"/>
    </row>
    <row r="1555" spans="1:20" ht="15" customHeight="1">
      <c r="A1555" s="163"/>
      <c r="B1555" s="113"/>
      <c r="D1555" s="113"/>
      <c r="F1555" s="115"/>
      <c r="G1555" s="116"/>
      <c r="H1555" s="120"/>
      <c r="I1555" s="120"/>
      <c r="J1555" s="117"/>
      <c r="K1555" s="118"/>
      <c r="L1555" s="119"/>
      <c r="M1555" s="120"/>
      <c r="N1555" s="120"/>
      <c r="O1555" s="120"/>
      <c r="P1555" s="118"/>
      <c r="Q1555" s="117"/>
      <c r="S1555" s="2"/>
      <c r="T1555" s="2"/>
    </row>
    <row r="1556" spans="1:20" ht="15" customHeight="1">
      <c r="A1556" s="163"/>
      <c r="B1556" s="113"/>
      <c r="D1556" s="113"/>
      <c r="F1556" s="115"/>
      <c r="G1556" s="116"/>
      <c r="H1556" s="120"/>
      <c r="I1556" s="120"/>
      <c r="J1556" s="117"/>
      <c r="K1556" s="118"/>
      <c r="L1556" s="119"/>
      <c r="M1556" s="120"/>
      <c r="N1556" s="120"/>
      <c r="O1556" s="120"/>
      <c r="P1556" s="118"/>
      <c r="Q1556" s="117"/>
      <c r="S1556" s="2"/>
      <c r="T1556" s="2"/>
    </row>
    <row r="1557" spans="1:20" ht="15" customHeight="1">
      <c r="A1557" s="163"/>
      <c r="B1557" s="113"/>
      <c r="D1557" s="113"/>
      <c r="F1557" s="115"/>
      <c r="G1557" s="116"/>
      <c r="H1557" s="120"/>
      <c r="I1557" s="120"/>
      <c r="J1557" s="117"/>
      <c r="K1557" s="118"/>
      <c r="L1557" s="119"/>
      <c r="M1557" s="120"/>
      <c r="N1557" s="120"/>
      <c r="O1557" s="120"/>
      <c r="P1557" s="118"/>
      <c r="Q1557" s="117"/>
      <c r="S1557" s="2"/>
      <c r="T1557" s="2"/>
    </row>
    <row r="1558" spans="1:20" ht="15" customHeight="1">
      <c r="A1558" s="163"/>
      <c r="B1558" s="113"/>
      <c r="D1558" s="113"/>
      <c r="F1558" s="115"/>
      <c r="G1558" s="116"/>
      <c r="H1558" s="120"/>
      <c r="I1558" s="120"/>
      <c r="J1558" s="117"/>
      <c r="K1558" s="118"/>
      <c r="L1558" s="119"/>
      <c r="M1558" s="120"/>
      <c r="N1558" s="120"/>
      <c r="O1558" s="120"/>
      <c r="P1558" s="118"/>
      <c r="Q1558" s="117"/>
      <c r="S1558" s="2"/>
      <c r="T1558" s="2"/>
    </row>
    <row r="1559" spans="1:20" ht="15" customHeight="1">
      <c r="A1559" s="163"/>
      <c r="B1559" s="113"/>
      <c r="D1559" s="113"/>
      <c r="F1559" s="115"/>
      <c r="G1559" s="116"/>
      <c r="H1559" s="120"/>
      <c r="I1559" s="120"/>
      <c r="J1559" s="117"/>
      <c r="K1559" s="118"/>
      <c r="L1559" s="119"/>
      <c r="M1559" s="120"/>
      <c r="N1559" s="120"/>
      <c r="O1559" s="120"/>
      <c r="P1559" s="118"/>
      <c r="Q1559" s="117"/>
      <c r="S1559" s="2"/>
      <c r="T1559" s="2"/>
    </row>
    <row r="1560" spans="1:20" ht="15" customHeight="1">
      <c r="A1560" s="163"/>
      <c r="B1560" s="113"/>
      <c r="D1560" s="113"/>
      <c r="F1560" s="115"/>
      <c r="G1560" s="116"/>
      <c r="H1560" s="120"/>
      <c r="I1560" s="120"/>
      <c r="J1560" s="117"/>
      <c r="K1560" s="118"/>
      <c r="L1560" s="119"/>
      <c r="M1560" s="120"/>
      <c r="N1560" s="120"/>
      <c r="O1560" s="120"/>
      <c r="P1560" s="118"/>
      <c r="Q1560" s="117"/>
      <c r="S1560" s="2"/>
      <c r="T1560" s="2"/>
    </row>
    <row r="1561" spans="1:20" ht="15" customHeight="1">
      <c r="A1561" s="163"/>
      <c r="B1561" s="113"/>
      <c r="D1561" s="113"/>
      <c r="F1561" s="115"/>
      <c r="G1561" s="116"/>
      <c r="H1561" s="120"/>
      <c r="I1561" s="120"/>
      <c r="J1561" s="117"/>
      <c r="K1561" s="118"/>
      <c r="L1561" s="119"/>
      <c r="M1561" s="120"/>
      <c r="N1561" s="120"/>
      <c r="O1561" s="120"/>
      <c r="P1561" s="118"/>
      <c r="Q1561" s="117"/>
      <c r="S1561" s="2"/>
      <c r="T1561" s="2"/>
    </row>
    <row r="1562" spans="1:20" ht="15" customHeight="1">
      <c r="A1562" s="163"/>
      <c r="B1562" s="113"/>
      <c r="D1562" s="113"/>
      <c r="F1562" s="115"/>
      <c r="G1562" s="116"/>
      <c r="H1562" s="120"/>
      <c r="I1562" s="120"/>
      <c r="J1562" s="117"/>
      <c r="K1562" s="118"/>
      <c r="L1562" s="119"/>
      <c r="M1562" s="120"/>
      <c r="N1562" s="120"/>
      <c r="O1562" s="120"/>
      <c r="P1562" s="118"/>
      <c r="Q1562" s="117"/>
      <c r="S1562" s="2"/>
      <c r="T1562" s="2"/>
    </row>
    <row r="1563" spans="1:20" ht="15" customHeight="1">
      <c r="A1563" s="163"/>
      <c r="B1563" s="113"/>
      <c r="D1563" s="113"/>
      <c r="F1563" s="115"/>
      <c r="G1563" s="116"/>
      <c r="H1563" s="120"/>
      <c r="I1563" s="120"/>
      <c r="J1563" s="117"/>
      <c r="K1563" s="118"/>
      <c r="L1563" s="119"/>
      <c r="M1563" s="120"/>
      <c r="N1563" s="120"/>
      <c r="O1563" s="120"/>
      <c r="P1563" s="118"/>
      <c r="Q1563" s="117"/>
      <c r="S1563" s="2"/>
      <c r="T1563" s="2"/>
    </row>
    <row r="1564" spans="1:20" ht="15" customHeight="1">
      <c r="A1564" s="163"/>
      <c r="B1564" s="113"/>
      <c r="D1564" s="113"/>
      <c r="F1564" s="115"/>
      <c r="G1564" s="116"/>
      <c r="H1564" s="120"/>
      <c r="I1564" s="120"/>
      <c r="J1564" s="117"/>
      <c r="K1564" s="118"/>
      <c r="L1564" s="119"/>
      <c r="M1564" s="120"/>
      <c r="N1564" s="120"/>
      <c r="O1564" s="120"/>
      <c r="P1564" s="118"/>
      <c r="Q1564" s="117"/>
      <c r="S1564" s="2"/>
      <c r="T1564" s="2"/>
    </row>
    <row r="1565" spans="1:20" ht="15" customHeight="1">
      <c r="A1565" s="163"/>
      <c r="B1565" s="113"/>
      <c r="D1565" s="113"/>
      <c r="F1565" s="115"/>
      <c r="G1565" s="116"/>
      <c r="H1565" s="120"/>
      <c r="I1565" s="120"/>
      <c r="J1565" s="117"/>
      <c r="K1565" s="118"/>
      <c r="L1565" s="119"/>
      <c r="M1565" s="120"/>
      <c r="N1565" s="120"/>
      <c r="O1565" s="120"/>
      <c r="P1565" s="118"/>
      <c r="Q1565" s="117"/>
      <c r="S1565" s="2"/>
      <c r="T1565" s="2"/>
    </row>
    <row r="1566" spans="1:20" ht="15" customHeight="1">
      <c r="A1566" s="163"/>
      <c r="B1566" s="113"/>
      <c r="D1566" s="113"/>
      <c r="F1566" s="115"/>
      <c r="G1566" s="116"/>
      <c r="H1566" s="120"/>
      <c r="I1566" s="120"/>
      <c r="J1566" s="117"/>
      <c r="K1566" s="118"/>
      <c r="L1566" s="119"/>
      <c r="M1566" s="120"/>
      <c r="N1566" s="120"/>
      <c r="O1566" s="120"/>
      <c r="P1566" s="118"/>
      <c r="Q1566" s="117"/>
      <c r="S1566" s="2"/>
      <c r="T1566" s="2"/>
    </row>
    <row r="1567" spans="1:20" ht="15" customHeight="1">
      <c r="A1567" s="163"/>
      <c r="B1567" s="113"/>
      <c r="D1567" s="113"/>
      <c r="F1567" s="115"/>
      <c r="G1567" s="116"/>
      <c r="H1567" s="120"/>
      <c r="I1567" s="120"/>
      <c r="J1567" s="117"/>
      <c r="K1567" s="118"/>
      <c r="L1567" s="119"/>
      <c r="M1567" s="120"/>
      <c r="N1567" s="120"/>
      <c r="O1567" s="120"/>
      <c r="P1567" s="118"/>
      <c r="Q1567" s="117"/>
      <c r="S1567" s="2"/>
      <c r="T1567" s="2"/>
    </row>
    <row r="1568" spans="1:20" ht="15" customHeight="1">
      <c r="A1568" s="163"/>
      <c r="B1568" s="113"/>
      <c r="D1568" s="113"/>
      <c r="F1568" s="115"/>
      <c r="G1568" s="116"/>
      <c r="H1568" s="120"/>
      <c r="I1568" s="120"/>
      <c r="J1568" s="117"/>
      <c r="K1568" s="118"/>
      <c r="L1568" s="119"/>
      <c r="M1568" s="120"/>
      <c r="N1568" s="120"/>
      <c r="O1568" s="120"/>
      <c r="P1568" s="118"/>
      <c r="Q1568" s="117"/>
      <c r="S1568" s="2"/>
      <c r="T1568" s="2"/>
    </row>
    <row r="1569" spans="1:20" ht="15" customHeight="1">
      <c r="A1569" s="163"/>
      <c r="B1569" s="113"/>
      <c r="D1569" s="113"/>
      <c r="F1569" s="115"/>
      <c r="G1569" s="116"/>
      <c r="H1569" s="120"/>
      <c r="I1569" s="120"/>
      <c r="J1569" s="117"/>
      <c r="K1569" s="118"/>
      <c r="L1569" s="119"/>
      <c r="M1569" s="120"/>
      <c r="N1569" s="120"/>
      <c r="O1569" s="120"/>
      <c r="P1569" s="118"/>
      <c r="Q1569" s="117"/>
      <c r="S1569" s="2"/>
      <c r="T1569" s="2"/>
    </row>
    <row r="1570" spans="1:20" ht="15" customHeight="1">
      <c r="A1570" s="163"/>
      <c r="B1570" s="113"/>
      <c r="D1570" s="113"/>
      <c r="F1570" s="115"/>
      <c r="G1570" s="116"/>
      <c r="H1570" s="120"/>
      <c r="I1570" s="120"/>
      <c r="J1570" s="117"/>
      <c r="K1570" s="118"/>
      <c r="L1570" s="119"/>
      <c r="M1570" s="120"/>
      <c r="N1570" s="120"/>
      <c r="O1570" s="120"/>
      <c r="P1570" s="118"/>
      <c r="Q1570" s="117"/>
      <c r="S1570" s="2"/>
      <c r="T1570" s="2"/>
    </row>
    <row r="1571" spans="1:20" ht="15" customHeight="1">
      <c r="A1571" s="163"/>
      <c r="B1571" s="113"/>
      <c r="D1571" s="113"/>
      <c r="F1571" s="115"/>
      <c r="G1571" s="116"/>
      <c r="H1571" s="120"/>
      <c r="I1571" s="120"/>
      <c r="J1571" s="117"/>
      <c r="K1571" s="118"/>
      <c r="L1571" s="119"/>
      <c r="M1571" s="120"/>
      <c r="N1571" s="120"/>
      <c r="O1571" s="120"/>
      <c r="P1571" s="118"/>
      <c r="Q1571" s="117"/>
      <c r="S1571" s="2"/>
      <c r="T1571" s="2"/>
    </row>
    <row r="1572" spans="1:20" ht="15" customHeight="1">
      <c r="A1572" s="163"/>
      <c r="B1572" s="113"/>
      <c r="D1572" s="113"/>
      <c r="F1572" s="115"/>
      <c r="G1572" s="116"/>
      <c r="H1572" s="120"/>
      <c r="I1572" s="120"/>
      <c r="J1572" s="117"/>
      <c r="K1572" s="118"/>
      <c r="L1572" s="119"/>
      <c r="M1572" s="120"/>
      <c r="N1572" s="120"/>
      <c r="O1572" s="120"/>
      <c r="P1572" s="118"/>
      <c r="Q1572" s="117"/>
      <c r="S1572" s="2"/>
      <c r="T1572" s="2"/>
    </row>
    <row r="1573" spans="1:20" ht="15" customHeight="1">
      <c r="A1573" s="163"/>
      <c r="B1573" s="113"/>
      <c r="D1573" s="113"/>
      <c r="F1573" s="115"/>
      <c r="G1573" s="116"/>
      <c r="H1573" s="120"/>
      <c r="I1573" s="120"/>
      <c r="J1573" s="117"/>
      <c r="K1573" s="118"/>
      <c r="L1573" s="119"/>
      <c r="M1573" s="120"/>
      <c r="N1573" s="120"/>
      <c r="O1573" s="120"/>
      <c r="P1573" s="118"/>
      <c r="Q1573" s="117"/>
      <c r="S1573" s="2"/>
      <c r="T1573" s="2"/>
    </row>
    <row r="1574" spans="1:20" ht="15" customHeight="1">
      <c r="A1574" s="163"/>
      <c r="B1574" s="113"/>
      <c r="D1574" s="113"/>
      <c r="F1574" s="115"/>
      <c r="G1574" s="116"/>
      <c r="H1574" s="120"/>
      <c r="I1574" s="120"/>
      <c r="J1574" s="117"/>
      <c r="K1574" s="118"/>
      <c r="L1574" s="119"/>
      <c r="M1574" s="120"/>
      <c r="N1574" s="120"/>
      <c r="O1574" s="120"/>
      <c r="P1574" s="118"/>
      <c r="Q1574" s="117"/>
      <c r="S1574" s="2"/>
      <c r="T1574" s="2"/>
    </row>
    <row r="1575" spans="1:20" ht="15" customHeight="1">
      <c r="A1575" s="163"/>
      <c r="B1575" s="113"/>
      <c r="D1575" s="113"/>
      <c r="F1575" s="115"/>
      <c r="G1575" s="116"/>
      <c r="H1575" s="120"/>
      <c r="I1575" s="120"/>
      <c r="J1575" s="117"/>
      <c r="K1575" s="118"/>
      <c r="L1575" s="119"/>
      <c r="M1575" s="120"/>
      <c r="N1575" s="120"/>
      <c r="O1575" s="120"/>
      <c r="P1575" s="118"/>
      <c r="Q1575" s="117"/>
      <c r="S1575" s="2"/>
      <c r="T1575" s="2"/>
    </row>
    <row r="1576" spans="1:20" ht="15" customHeight="1">
      <c r="A1576" s="163"/>
      <c r="B1576" s="113"/>
      <c r="D1576" s="113"/>
      <c r="F1576" s="115"/>
      <c r="G1576" s="116"/>
      <c r="H1576" s="120"/>
      <c r="I1576" s="120"/>
      <c r="J1576" s="117"/>
      <c r="K1576" s="118"/>
      <c r="L1576" s="119"/>
      <c r="M1576" s="120"/>
      <c r="N1576" s="120"/>
      <c r="O1576" s="120"/>
      <c r="P1576" s="118"/>
      <c r="Q1576" s="117"/>
      <c r="S1576" s="2"/>
      <c r="T1576" s="2"/>
    </row>
    <row r="1577" spans="1:20" ht="15" customHeight="1">
      <c r="A1577" s="163"/>
      <c r="B1577" s="113"/>
      <c r="D1577" s="113"/>
      <c r="F1577" s="115"/>
      <c r="G1577" s="116"/>
      <c r="H1577" s="120"/>
      <c r="I1577" s="120"/>
      <c r="J1577" s="117"/>
      <c r="K1577" s="118"/>
      <c r="L1577" s="119"/>
      <c r="M1577" s="120"/>
      <c r="N1577" s="120"/>
      <c r="O1577" s="120"/>
      <c r="P1577" s="118"/>
      <c r="Q1577" s="117"/>
      <c r="S1577" s="2"/>
      <c r="T1577" s="2"/>
    </row>
    <row r="1578" spans="1:20" ht="15" customHeight="1">
      <c r="A1578" s="163"/>
      <c r="B1578" s="113"/>
      <c r="D1578" s="113"/>
      <c r="F1578" s="115"/>
      <c r="G1578" s="116"/>
      <c r="H1578" s="120"/>
      <c r="I1578" s="120"/>
      <c r="J1578" s="117"/>
      <c r="K1578" s="118"/>
      <c r="L1578" s="119"/>
      <c r="M1578" s="120"/>
      <c r="N1578" s="120"/>
      <c r="O1578" s="120"/>
      <c r="P1578" s="118"/>
      <c r="Q1578" s="117"/>
      <c r="S1578" s="2"/>
      <c r="T1578" s="2"/>
    </row>
    <row r="1579" spans="1:20" ht="15" customHeight="1">
      <c r="A1579" s="163"/>
      <c r="B1579" s="113"/>
      <c r="D1579" s="113"/>
      <c r="F1579" s="115"/>
      <c r="G1579" s="116"/>
      <c r="H1579" s="120"/>
      <c r="I1579" s="120"/>
      <c r="J1579" s="117"/>
      <c r="K1579" s="118"/>
      <c r="L1579" s="119"/>
      <c r="M1579" s="120"/>
      <c r="N1579" s="120"/>
      <c r="O1579" s="120"/>
      <c r="P1579" s="118"/>
      <c r="Q1579" s="117"/>
      <c r="S1579" s="2"/>
      <c r="T1579" s="2"/>
    </row>
    <row r="1580" spans="1:20" ht="15" customHeight="1">
      <c r="A1580" s="163"/>
      <c r="B1580" s="113"/>
      <c r="D1580" s="113"/>
      <c r="F1580" s="115"/>
      <c r="G1580" s="116"/>
      <c r="H1580" s="120"/>
      <c r="I1580" s="120"/>
      <c r="J1580" s="117"/>
      <c r="K1580" s="118"/>
      <c r="L1580" s="119"/>
      <c r="M1580" s="120"/>
      <c r="N1580" s="120"/>
      <c r="O1580" s="120"/>
      <c r="P1580" s="118"/>
      <c r="Q1580" s="117"/>
      <c r="S1580" s="2"/>
      <c r="T1580" s="2"/>
    </row>
    <row r="1581" spans="1:20" ht="15" customHeight="1">
      <c r="A1581" s="163"/>
      <c r="B1581" s="113"/>
      <c r="D1581" s="113"/>
      <c r="F1581" s="115"/>
      <c r="G1581" s="116"/>
      <c r="H1581" s="120"/>
      <c r="I1581" s="120"/>
      <c r="J1581" s="117"/>
      <c r="K1581" s="118"/>
      <c r="L1581" s="119"/>
      <c r="M1581" s="120"/>
      <c r="N1581" s="120"/>
      <c r="O1581" s="120"/>
      <c r="P1581" s="118"/>
      <c r="Q1581" s="117"/>
      <c r="S1581" s="2"/>
      <c r="T1581" s="2"/>
    </row>
    <row r="1582" spans="1:20" ht="15" customHeight="1">
      <c r="A1582" s="163"/>
      <c r="B1582" s="113"/>
      <c r="D1582" s="113"/>
      <c r="F1582" s="115"/>
      <c r="G1582" s="116"/>
      <c r="H1582" s="120"/>
      <c r="I1582" s="120"/>
      <c r="J1582" s="117"/>
      <c r="K1582" s="118"/>
      <c r="L1582" s="119"/>
      <c r="M1582" s="120"/>
      <c r="N1582" s="120"/>
      <c r="O1582" s="120"/>
      <c r="P1582" s="118"/>
      <c r="Q1582" s="117"/>
      <c r="S1582" s="2"/>
      <c r="T1582" s="2"/>
    </row>
    <row r="1583" spans="1:20" ht="15" customHeight="1">
      <c r="A1583" s="163"/>
      <c r="B1583" s="113"/>
      <c r="D1583" s="113"/>
      <c r="F1583" s="115"/>
      <c r="G1583" s="116"/>
      <c r="H1583" s="120"/>
      <c r="I1583" s="120"/>
      <c r="J1583" s="117"/>
      <c r="K1583" s="118"/>
      <c r="L1583" s="119"/>
      <c r="M1583" s="120"/>
      <c r="N1583" s="120"/>
      <c r="O1583" s="120"/>
      <c r="P1583" s="118"/>
      <c r="Q1583" s="117"/>
      <c r="S1583" s="2"/>
      <c r="T1583" s="2"/>
    </row>
    <row r="1584" spans="1:20" ht="15" customHeight="1">
      <c r="A1584" s="163"/>
      <c r="B1584" s="113"/>
      <c r="D1584" s="113"/>
      <c r="F1584" s="115"/>
      <c r="G1584" s="116"/>
      <c r="H1584" s="120"/>
      <c r="I1584" s="120"/>
      <c r="J1584" s="117"/>
      <c r="K1584" s="118"/>
      <c r="L1584" s="119"/>
      <c r="M1584" s="120"/>
      <c r="N1584" s="120"/>
      <c r="O1584" s="120"/>
      <c r="P1584" s="118"/>
      <c r="Q1584" s="117"/>
      <c r="S1584" s="2"/>
      <c r="T1584" s="2"/>
    </row>
    <row r="1585" spans="1:20" ht="15" customHeight="1">
      <c r="A1585" s="163"/>
      <c r="B1585" s="113"/>
      <c r="D1585" s="113"/>
      <c r="F1585" s="115"/>
      <c r="G1585" s="116"/>
      <c r="H1585" s="120"/>
      <c r="I1585" s="120"/>
      <c r="J1585" s="117"/>
      <c r="K1585" s="118"/>
      <c r="L1585" s="119"/>
      <c r="M1585" s="120"/>
      <c r="N1585" s="120"/>
      <c r="O1585" s="120"/>
      <c r="P1585" s="118"/>
      <c r="Q1585" s="117"/>
      <c r="S1585" s="2"/>
      <c r="T1585" s="2"/>
    </row>
    <row r="1586" spans="1:20" ht="15" customHeight="1">
      <c r="A1586" s="163"/>
      <c r="B1586" s="113"/>
      <c r="D1586" s="113"/>
      <c r="F1586" s="115"/>
      <c r="G1586" s="116"/>
      <c r="H1586" s="120"/>
      <c r="I1586" s="120"/>
      <c r="J1586" s="117"/>
      <c r="K1586" s="118"/>
      <c r="L1586" s="119"/>
      <c r="M1586" s="120"/>
      <c r="N1586" s="120"/>
      <c r="O1586" s="120"/>
      <c r="P1586" s="118"/>
      <c r="Q1586" s="117"/>
      <c r="S1586" s="2"/>
      <c r="T1586" s="2"/>
    </row>
    <row r="1587" spans="1:20" ht="15" customHeight="1">
      <c r="A1587" s="163"/>
      <c r="B1587" s="113"/>
      <c r="D1587" s="113"/>
      <c r="F1587" s="115"/>
      <c r="G1587" s="116"/>
      <c r="H1587" s="120"/>
      <c r="I1587" s="120"/>
      <c r="J1587" s="117"/>
      <c r="K1587" s="118"/>
      <c r="L1587" s="119"/>
      <c r="M1587" s="120"/>
      <c r="N1587" s="120"/>
      <c r="O1587" s="120"/>
      <c r="P1587" s="118"/>
      <c r="Q1587" s="117"/>
      <c r="S1587" s="2"/>
      <c r="T1587" s="2"/>
    </row>
    <row r="1588" spans="1:20" ht="15" customHeight="1">
      <c r="A1588" s="163"/>
      <c r="B1588" s="113"/>
      <c r="D1588" s="113"/>
      <c r="F1588" s="115"/>
      <c r="G1588" s="116"/>
      <c r="H1588" s="120"/>
      <c r="I1588" s="120"/>
      <c r="J1588" s="117"/>
      <c r="K1588" s="118"/>
      <c r="L1588" s="119"/>
      <c r="M1588" s="120"/>
      <c r="N1588" s="120"/>
      <c r="O1588" s="120"/>
      <c r="P1588" s="118"/>
      <c r="Q1588" s="117"/>
      <c r="S1588" s="2"/>
      <c r="T1588" s="2"/>
    </row>
    <row r="1589" spans="1:20" ht="15" customHeight="1">
      <c r="A1589" s="163"/>
      <c r="B1589" s="113"/>
      <c r="D1589" s="113"/>
      <c r="F1589" s="115"/>
      <c r="G1589" s="116"/>
      <c r="H1589" s="120"/>
      <c r="I1589" s="120"/>
      <c r="J1589" s="117"/>
      <c r="K1589" s="118"/>
      <c r="L1589" s="119"/>
      <c r="M1589" s="120"/>
      <c r="N1589" s="120"/>
      <c r="O1589" s="120"/>
      <c r="P1589" s="118"/>
      <c r="Q1589" s="117"/>
      <c r="S1589" s="2"/>
      <c r="T1589" s="2"/>
    </row>
    <row r="1590" spans="1:20" ht="15" customHeight="1">
      <c r="A1590" s="163"/>
      <c r="B1590" s="113"/>
      <c r="D1590" s="113"/>
      <c r="F1590" s="115"/>
      <c r="G1590" s="116"/>
      <c r="H1590" s="120"/>
      <c r="I1590" s="120"/>
      <c r="J1590" s="117"/>
      <c r="K1590" s="118"/>
      <c r="L1590" s="119"/>
      <c r="M1590" s="120"/>
      <c r="N1590" s="120"/>
      <c r="O1590" s="120"/>
      <c r="P1590" s="118"/>
      <c r="Q1590" s="117"/>
      <c r="S1590" s="2"/>
      <c r="T1590" s="2"/>
    </row>
    <row r="1591" spans="1:20" ht="15" customHeight="1">
      <c r="A1591" s="163"/>
      <c r="B1591" s="113"/>
      <c r="D1591" s="113"/>
      <c r="F1591" s="115"/>
      <c r="G1591" s="116"/>
      <c r="H1591" s="120"/>
      <c r="I1591" s="120"/>
      <c r="J1591" s="117"/>
      <c r="K1591" s="118"/>
      <c r="L1591" s="119"/>
      <c r="M1591" s="120"/>
      <c r="N1591" s="120"/>
      <c r="O1591" s="120"/>
      <c r="P1591" s="118"/>
      <c r="Q1591" s="117"/>
      <c r="S1591" s="2"/>
      <c r="T1591" s="2"/>
    </row>
    <row r="1592" spans="1:20" ht="15" customHeight="1">
      <c r="A1592" s="163"/>
      <c r="B1592" s="113"/>
      <c r="D1592" s="113"/>
      <c r="F1592" s="115"/>
      <c r="G1592" s="116"/>
      <c r="H1592" s="120"/>
      <c r="I1592" s="120"/>
      <c r="J1592" s="117"/>
      <c r="K1592" s="118"/>
      <c r="L1592" s="119"/>
      <c r="M1592" s="120"/>
      <c r="N1592" s="120"/>
      <c r="O1592" s="120"/>
      <c r="P1592" s="118"/>
      <c r="Q1592" s="117"/>
      <c r="S1592" s="2"/>
      <c r="T1592" s="2"/>
    </row>
    <row r="1593" spans="1:20" ht="15" customHeight="1">
      <c r="A1593" s="163"/>
      <c r="B1593" s="113"/>
      <c r="D1593" s="113"/>
      <c r="F1593" s="115"/>
      <c r="G1593" s="116"/>
      <c r="H1593" s="120"/>
      <c r="I1593" s="120"/>
      <c r="J1593" s="117"/>
      <c r="K1593" s="118"/>
      <c r="L1593" s="119"/>
      <c r="M1593" s="120"/>
      <c r="N1593" s="120"/>
      <c r="O1593" s="120"/>
      <c r="P1593" s="118"/>
      <c r="Q1593" s="117"/>
      <c r="S1593" s="2"/>
      <c r="T1593" s="2"/>
    </row>
    <row r="1594" spans="1:20" ht="15" customHeight="1">
      <c r="A1594" s="163"/>
      <c r="B1594" s="113"/>
      <c r="D1594" s="113"/>
      <c r="F1594" s="115"/>
      <c r="G1594" s="116"/>
      <c r="H1594" s="120"/>
      <c r="I1594" s="120"/>
      <c r="J1594" s="117"/>
      <c r="K1594" s="118"/>
      <c r="L1594" s="119"/>
      <c r="M1594" s="120"/>
      <c r="N1594" s="120"/>
      <c r="O1594" s="120"/>
      <c r="P1594" s="118"/>
      <c r="Q1594" s="117"/>
      <c r="S1594" s="2"/>
      <c r="T1594" s="2"/>
    </row>
    <row r="1595" spans="1:20" ht="15" customHeight="1">
      <c r="A1595" s="163"/>
      <c r="B1595" s="113"/>
      <c r="D1595" s="113"/>
      <c r="F1595" s="115"/>
      <c r="G1595" s="116"/>
      <c r="H1595" s="120"/>
      <c r="I1595" s="120"/>
      <c r="J1595" s="117"/>
      <c r="K1595" s="118"/>
      <c r="L1595" s="119"/>
      <c r="M1595" s="120"/>
      <c r="N1595" s="120"/>
      <c r="O1595" s="120"/>
      <c r="P1595" s="118"/>
      <c r="Q1595" s="117"/>
      <c r="S1595" s="2"/>
      <c r="T1595" s="2"/>
    </row>
    <row r="1596" spans="1:20" ht="15" customHeight="1">
      <c r="A1596" s="163"/>
      <c r="B1596" s="113"/>
      <c r="D1596" s="113"/>
      <c r="F1596" s="115"/>
      <c r="G1596" s="116"/>
      <c r="H1596" s="120"/>
      <c r="I1596" s="120"/>
      <c r="J1596" s="117"/>
      <c r="K1596" s="118"/>
      <c r="L1596" s="119"/>
      <c r="M1596" s="120"/>
      <c r="N1596" s="120"/>
      <c r="O1596" s="120"/>
      <c r="P1596" s="118"/>
      <c r="Q1596" s="117"/>
      <c r="S1596" s="2"/>
      <c r="T1596" s="2"/>
    </row>
    <row r="1597" spans="1:20" ht="15" customHeight="1">
      <c r="A1597" s="163"/>
      <c r="B1597" s="113"/>
      <c r="D1597" s="113"/>
      <c r="F1597" s="115"/>
      <c r="G1597" s="116"/>
      <c r="H1597" s="120"/>
      <c r="I1597" s="120"/>
      <c r="J1597" s="117"/>
      <c r="K1597" s="118"/>
      <c r="L1597" s="119"/>
      <c r="M1597" s="120"/>
      <c r="N1597" s="120"/>
      <c r="O1597" s="120"/>
      <c r="P1597" s="118"/>
      <c r="Q1597" s="117"/>
      <c r="S1597" s="2"/>
      <c r="T1597" s="2"/>
    </row>
    <row r="1598" spans="1:20" ht="15" customHeight="1">
      <c r="A1598" s="163"/>
      <c r="B1598" s="113"/>
      <c r="D1598" s="113"/>
      <c r="F1598" s="115"/>
      <c r="G1598" s="116"/>
      <c r="H1598" s="120"/>
      <c r="I1598" s="120"/>
      <c r="J1598" s="117"/>
      <c r="K1598" s="118"/>
      <c r="L1598" s="119"/>
      <c r="M1598" s="120"/>
      <c r="N1598" s="120"/>
      <c r="O1598" s="120"/>
      <c r="P1598" s="118"/>
      <c r="Q1598" s="117"/>
      <c r="S1598" s="2"/>
      <c r="T1598" s="2"/>
    </row>
    <row r="1599" spans="1:20" ht="15" customHeight="1">
      <c r="A1599" s="163"/>
      <c r="B1599" s="113"/>
      <c r="D1599" s="113"/>
      <c r="F1599" s="115"/>
      <c r="G1599" s="116"/>
      <c r="H1599" s="120"/>
      <c r="I1599" s="120"/>
      <c r="J1599" s="117"/>
      <c r="K1599" s="118"/>
      <c r="L1599" s="119"/>
      <c r="M1599" s="120"/>
      <c r="N1599" s="120"/>
      <c r="O1599" s="120"/>
      <c r="P1599" s="118"/>
      <c r="Q1599" s="117"/>
      <c r="S1599" s="2"/>
      <c r="T1599" s="2"/>
    </row>
    <row r="1600" spans="1:20" ht="15" customHeight="1">
      <c r="A1600" s="163"/>
      <c r="B1600" s="113"/>
      <c r="D1600" s="113"/>
      <c r="F1600" s="115"/>
      <c r="G1600" s="116"/>
      <c r="H1600" s="120"/>
      <c r="I1600" s="120"/>
      <c r="J1600" s="117"/>
      <c r="K1600" s="118"/>
      <c r="L1600" s="119"/>
      <c r="M1600" s="120"/>
      <c r="N1600" s="120"/>
      <c r="O1600" s="120"/>
      <c r="P1600" s="118"/>
      <c r="Q1600" s="117"/>
      <c r="S1600" s="2"/>
      <c r="T1600" s="2"/>
    </row>
    <row r="1601" spans="1:20" ht="15" customHeight="1">
      <c r="A1601" s="163"/>
      <c r="B1601" s="113"/>
      <c r="D1601" s="113"/>
      <c r="F1601" s="115"/>
      <c r="G1601" s="116"/>
      <c r="H1601" s="120"/>
      <c r="I1601" s="120"/>
      <c r="J1601" s="117"/>
      <c r="K1601" s="118"/>
      <c r="L1601" s="119"/>
      <c r="M1601" s="120"/>
      <c r="N1601" s="120"/>
      <c r="O1601" s="120"/>
      <c r="P1601" s="118"/>
      <c r="Q1601" s="117"/>
      <c r="S1601" s="2"/>
      <c r="T1601" s="2"/>
    </row>
    <row r="1602" spans="1:20" ht="15" customHeight="1">
      <c r="A1602" s="163"/>
      <c r="B1602" s="113"/>
      <c r="D1602" s="113"/>
      <c r="F1602" s="115"/>
      <c r="G1602" s="116"/>
      <c r="H1602" s="120"/>
      <c r="I1602" s="120"/>
      <c r="J1602" s="117"/>
      <c r="K1602" s="118"/>
      <c r="L1602" s="119"/>
      <c r="M1602" s="120"/>
      <c r="N1602" s="120"/>
      <c r="O1602" s="120"/>
      <c r="P1602" s="118"/>
      <c r="Q1602" s="117"/>
      <c r="S1602" s="2"/>
      <c r="T1602" s="2"/>
    </row>
    <row r="1603" spans="1:20" ht="15" customHeight="1">
      <c r="A1603" s="163"/>
      <c r="B1603" s="113"/>
      <c r="D1603" s="113"/>
      <c r="F1603" s="115"/>
      <c r="G1603" s="116"/>
      <c r="H1603" s="120"/>
      <c r="I1603" s="120"/>
      <c r="J1603" s="117"/>
      <c r="K1603" s="118"/>
      <c r="L1603" s="119"/>
      <c r="M1603" s="120"/>
      <c r="N1603" s="120"/>
      <c r="O1603" s="120"/>
      <c r="P1603" s="118"/>
      <c r="Q1603" s="117"/>
      <c r="S1603" s="2"/>
      <c r="T1603" s="2"/>
    </row>
    <row r="1604" spans="1:20" ht="15" customHeight="1">
      <c r="A1604" s="163"/>
      <c r="B1604" s="113"/>
      <c r="D1604" s="113"/>
      <c r="F1604" s="115"/>
      <c r="G1604" s="116"/>
      <c r="H1604" s="120"/>
      <c r="I1604" s="120"/>
      <c r="J1604" s="117"/>
      <c r="K1604" s="118"/>
      <c r="L1604" s="119"/>
      <c r="M1604" s="120"/>
      <c r="N1604" s="120"/>
      <c r="O1604" s="120"/>
      <c r="P1604" s="118"/>
      <c r="Q1604" s="117"/>
      <c r="S1604" s="2"/>
      <c r="T1604" s="2"/>
    </row>
  </sheetData>
  <mergeCells count="2">
    <mergeCell ref="A1:M1"/>
    <mergeCell ref="A2:M2"/>
  </mergeCells>
  <conditionalFormatting sqref="B5:B604">
    <cfRule type="expression" dxfId="91" priority="41">
      <formula>$B5="Winamax"</formula>
    </cfRule>
    <cfRule type="expression" dxfId="90" priority="42">
      <formula>$B5="Yosport"</formula>
    </cfRule>
    <cfRule type="expression" dxfId="89" priority="43">
      <formula>$B5="Paf"</formula>
    </cfRule>
    <cfRule type="expression" dxfId="88" priority="44">
      <formula>$B5="Pokerstars"</formula>
    </cfRule>
    <cfRule type="expression" dxfId="87" priority="45">
      <formula>$B5="Sportium"</formula>
    </cfRule>
    <cfRule type="expression" dxfId="86" priority="46">
      <formula>$B5="SpeedyBet"</formula>
    </cfRule>
    <cfRule type="expression" dxfId="85" priority="47">
      <formula>$B5="Casumo"</formula>
    </cfRule>
    <cfRule type="expression" dxfId="84" priority="48">
      <formula>$B5="Retabet"</formula>
    </cfRule>
    <cfRule type="expression" dxfId="83" priority="49">
      <formula>$B5="GoldenBull"</formula>
    </cfRule>
    <cfRule type="expression" dxfId="82" priority="50">
      <formula>$B5="Bet365"</formula>
    </cfRule>
    <cfRule type="expression" dxfId="81" priority="51">
      <formula>$B5="Botemania"</formula>
    </cfRule>
    <cfRule type="expression" dxfId="80" priority="52">
      <formula>$B5="Paston"</formula>
    </cfRule>
    <cfRule type="expression" dxfId="79" priority="53">
      <formula>$B5="Casino Gran Madrid"</formula>
    </cfRule>
  </conditionalFormatting>
  <conditionalFormatting sqref="B5:B2205">
    <cfRule type="expression" dxfId="78" priority="14">
      <formula>EXACT($B5,"Winamax")</formula>
    </cfRule>
    <cfRule type="expression" dxfId="77" priority="15">
      <formula>LOWER($B5)=LOWER("Winamax")</formula>
    </cfRule>
    <cfRule type="expression" dxfId="76" priority="16">
      <formula>EXACT($B5,"YoSport")</formula>
    </cfRule>
    <cfRule type="expression" dxfId="75" priority="17">
      <formula>LOWER($B5)=LOWER("YoSport")</formula>
    </cfRule>
    <cfRule type="expression" dxfId="74" priority="18">
      <formula>EXACT($B5,"Paf")</formula>
    </cfRule>
    <cfRule type="expression" dxfId="73" priority="19">
      <formula>LOWER($B5)=LOWER("Paf")</formula>
    </cfRule>
    <cfRule type="expression" dxfId="72" priority="20">
      <formula>EXACT($B5,"Pokerstars")</formula>
    </cfRule>
    <cfRule type="expression" dxfId="71" priority="21">
      <formula>LOWER($B5)=LOWER("Pokerstars")</formula>
    </cfRule>
    <cfRule type="expression" dxfId="70" priority="22">
      <formula>EXACT($B5,"Sportium")</formula>
    </cfRule>
    <cfRule type="expression" dxfId="69" priority="23">
      <formula>LOWER($B5)=LOWER("Sportium")</formula>
    </cfRule>
    <cfRule type="expression" dxfId="68" priority="24">
      <formula>EXACT($B5,"SpeedyBet")</formula>
    </cfRule>
    <cfRule type="expression" dxfId="67" priority="25">
      <formula>LOWER($B5)=LOWER("SpeedyBet")</formula>
    </cfRule>
    <cfRule type="expression" dxfId="66" priority="26">
      <formula>EXACT($B5,"GoldenBull")</formula>
    </cfRule>
    <cfRule type="expression" dxfId="65" priority="27">
      <formula>LOWER($B5)=LOWER("GoldenBull")</formula>
    </cfRule>
    <cfRule type="expression" dxfId="64" priority="28">
      <formula>EXACT($B5,"Casumo")</formula>
    </cfRule>
    <cfRule type="expression" dxfId="63" priority="29">
      <formula>LOWER($B5)=LOWER("Casumo")</formula>
    </cfRule>
    <cfRule type="expression" dxfId="62" priority="30">
      <formula>EXACT($B5,"LeoVegas")</formula>
    </cfRule>
    <cfRule type="expression" dxfId="61" priority="31">
      <formula>LOWER($B5)=LOWER("LeoVegas")</formula>
    </cfRule>
    <cfRule type="expression" dxfId="60" priority="32">
      <formula>LOWER($B5)=LOWER("Winamax")</formula>
    </cfRule>
    <cfRule type="expression" dxfId="59" priority="33">
      <formula>LOWER($B5)=LOWER("YoSport")</formula>
    </cfRule>
    <cfRule type="expression" dxfId="58" priority="34">
      <formula>LOWER($B5)=LOWER("Paf")</formula>
    </cfRule>
    <cfRule type="expression" dxfId="57" priority="35">
      <formula>LOWER($B5)=LOWER("Pokerstars")</formula>
    </cfRule>
    <cfRule type="expression" dxfId="56" priority="36">
      <formula>LOWER($B5)=LOWER("Sportium")</formula>
    </cfRule>
    <cfRule type="expression" dxfId="55" priority="37">
      <formula>LOWER($B5)=LOWER("SpeedyBet")</formula>
    </cfRule>
    <cfRule type="expression" dxfId="54" priority="38">
      <formula>LOWER($B5)=LOWER("GoldenBull")</formula>
    </cfRule>
    <cfRule type="expression" dxfId="53" priority="39">
      <formula>LOWER($B5)=LOWER("Casumo")</formula>
    </cfRule>
    <cfRule type="expression" dxfId="52" priority="40">
      <formula>LOWER($B5)=LOWER("LeoVegas")</formula>
    </cfRule>
  </conditionalFormatting>
  <conditionalFormatting sqref="E433">
    <cfRule type="expression" dxfId="51" priority="81">
      <formula>EXACT($E433,"Winamax")</formula>
    </cfRule>
    <cfRule type="expression" dxfId="50" priority="82">
      <formula>LOWER($E433)=LOWER("Winamax")</formula>
    </cfRule>
    <cfRule type="expression" dxfId="49" priority="83">
      <formula>EXACT($E433,"YoSport")</formula>
    </cfRule>
    <cfRule type="expression" dxfId="48" priority="84">
      <formula>LOWER($E433)=LOWER("YoSport")</formula>
    </cfRule>
    <cfRule type="expression" dxfId="47" priority="85">
      <formula>EXACT($E433,"Paf")</formula>
    </cfRule>
    <cfRule type="expression" dxfId="46" priority="86">
      <formula>LOWER($E433)=LOWER("Paf")</formula>
    </cfRule>
    <cfRule type="expression" dxfId="45" priority="87">
      <formula>EXACT($E433,"Pokerstars")</formula>
    </cfRule>
    <cfRule type="expression" dxfId="44" priority="88">
      <formula>LOWER($E433)=LOWER("Pokerstars")</formula>
    </cfRule>
    <cfRule type="expression" dxfId="43" priority="89">
      <formula>EXACT($E433,"Sportium")</formula>
    </cfRule>
    <cfRule type="expression" dxfId="42" priority="90">
      <formula>LOWER($E433)=LOWER("Sportium")</formula>
    </cfRule>
    <cfRule type="expression" dxfId="41" priority="91">
      <formula>EXACT($E433,"SpeedyBet")</formula>
    </cfRule>
    <cfRule type="expression" dxfId="40" priority="92">
      <formula>LOWER($E433)=LOWER("SpeedyBet")</formula>
    </cfRule>
    <cfRule type="expression" dxfId="39" priority="93">
      <formula>EXACT($E433,"GoldenBull")</formula>
    </cfRule>
    <cfRule type="expression" dxfId="38" priority="94">
      <formula>LOWER($E433)=LOWER("GoldenBull")</formula>
    </cfRule>
    <cfRule type="expression" dxfId="37" priority="95">
      <formula>EXACT($E433,"Casumo")</formula>
    </cfRule>
    <cfRule type="expression" dxfId="36" priority="96">
      <formula>LOWER($E433)=LOWER("Casumo")</formula>
    </cfRule>
    <cfRule type="expression" dxfId="35" priority="97">
      <formula>EXACT($E433,"LeoVegas")</formula>
    </cfRule>
    <cfRule type="expression" dxfId="34" priority="98">
      <formula>LOWER($E433)=LOWER("LeoVegas")</formula>
    </cfRule>
    <cfRule type="expression" dxfId="33" priority="99">
      <formula>LOWER($E433)=LOWER("Winamax")</formula>
    </cfRule>
    <cfRule type="expression" dxfId="32" priority="100">
      <formula>LOWER($E433)=LOWER("YoSport")</formula>
    </cfRule>
    <cfRule type="expression" dxfId="31" priority="101">
      <formula>LOWER($E433)=LOWER("Paf")</formula>
    </cfRule>
    <cfRule type="expression" dxfId="30" priority="102">
      <formula>LOWER($E433)=LOWER("Pokerstars")</formula>
    </cfRule>
    <cfRule type="expression" dxfId="29" priority="103">
      <formula>LOWER($E433)=LOWER("Sportium")</formula>
    </cfRule>
    <cfRule type="expression" dxfId="28" priority="104">
      <formula>LOWER($E433)=LOWER("SpeedyBet")</formula>
    </cfRule>
    <cfRule type="expression" dxfId="27" priority="105">
      <formula>LOWER($E433)=LOWER("GoldenBull")</formula>
    </cfRule>
    <cfRule type="expression" dxfId="26" priority="106">
      <formula>LOWER($E433)=LOWER("Casumo")</formula>
    </cfRule>
    <cfRule type="expression" dxfId="25" priority="107">
      <formula>LOWER($E433)=LOWER("LeoVegas")</formula>
    </cfRule>
    <cfRule type="expression" dxfId="24" priority="121">
      <formula>$E433="Winamax"</formula>
    </cfRule>
    <cfRule type="expression" dxfId="23" priority="122">
      <formula>$E433="Yosport"</formula>
    </cfRule>
    <cfRule type="expression" dxfId="22" priority="123">
      <formula>$E433="Paf"</formula>
    </cfRule>
    <cfRule type="expression" dxfId="21" priority="124">
      <formula>$E433="Pokerstars"</formula>
    </cfRule>
    <cfRule type="expression" dxfId="20" priority="125">
      <formula>$E433="Sportium"</formula>
    </cfRule>
    <cfRule type="expression" dxfId="19" priority="126">
      <formula>$E433="SpeedyBet"</formula>
    </cfRule>
    <cfRule type="expression" dxfId="18" priority="127">
      <formula>$E433="Casumo"</formula>
    </cfRule>
    <cfRule type="expression" dxfId="17" priority="128">
      <formula>$E433="Retabet"</formula>
    </cfRule>
    <cfRule type="expression" dxfId="16" priority="129">
      <formula>$E433="GoldenBull"</formula>
    </cfRule>
    <cfRule type="expression" dxfId="15" priority="130">
      <formula>$E433="Bet365"</formula>
    </cfRule>
    <cfRule type="expression" dxfId="14" priority="131">
      <formula>$E433="Botemania"</formula>
    </cfRule>
    <cfRule type="expression" dxfId="13" priority="132">
      <formula>$E433="Paston"</formula>
    </cfRule>
    <cfRule type="expression" dxfId="12" priority="133">
      <formula>$E433="Casino Gran Madrid"</formula>
    </cfRule>
  </conditionalFormatting>
  <conditionalFormatting sqref="H5:H2205">
    <cfRule type="cellIs" dxfId="11" priority="2" operator="equal">
      <formula>"Ganada"</formula>
    </cfRule>
    <cfRule type="cellIs" dxfId="10" priority="3" operator="equal">
      <formula>"Perdida"</formula>
    </cfRule>
  </conditionalFormatting>
  <conditionalFormatting sqref="I5:I2205">
    <cfRule type="cellIs" dxfId="9" priority="4" operator="greaterThan">
      <formula>0</formula>
    </cfRule>
    <cfRule type="cellIs" dxfId="8" priority="5" operator="lessThan">
      <formula>0</formula>
    </cfRule>
    <cfRule type="cellIs" dxfId="7" priority="6" operator="equal">
      <formula>"Ganada"</formula>
    </cfRule>
    <cfRule type="cellIs" dxfId="6" priority="7" operator="equal">
      <formula>"Medio Ganada"</formula>
    </cfRule>
    <cfRule type="cellIs" dxfId="5" priority="8" operator="equal">
      <formula>"Perdida"</formula>
    </cfRule>
    <cfRule type="cellIs" dxfId="4" priority="9" operator="equal">
      <formula>"Medio Perdida"</formula>
    </cfRule>
    <cfRule type="cellIs" dxfId="3" priority="10" operator="equal">
      <formula>"Anulada"</formula>
    </cfRule>
    <cfRule type="cellIs" dxfId="2" priority="11" operator="equal">
      <formula>"Reembolso"</formula>
    </cfRule>
    <cfRule type="cellIs" dxfId="1" priority="12" operator="equal">
      <formula>"Pendiente"</formula>
    </cfRule>
  </conditionalFormatting>
  <conditionalFormatting sqref="L5:L2205">
    <cfRule type="cellIs" dxfId="0" priority="13" operator="greaterThanOrEqual">
      <formula>10</formula>
    </cfRule>
  </conditionalFormatting>
  <dataValidations count="4">
    <dataValidation type="list" allowBlank="1" sqref="H5:H604" xr:uid="{00000000-0002-0000-0100-000002000000}">
      <formula1>"Normal,Free Bet"</formula1>
      <formula2>0</formula2>
    </dataValidation>
    <dataValidation type="list" allowBlank="1" sqref="I5:I604" xr:uid="{00000000-0002-0000-0100-000003000000}">
      <formula1>"Ganada,Perdida,Medio Ganada,Medio Perdida,Anulada,Reembolso,Pendiente"</formula1>
      <formula2>0</formula2>
    </dataValidation>
    <dataValidation type="list" allowBlank="1" sqref="E433 B5:B604" xr:uid="{00000000-0002-0000-0100-000000000000}">
      <formula1>"Winamax,Yosport,Paf,Pokerstars,Sportium,SpeedyBet,Casumo,Retabet,GoldenBull,Bet365,Botemania,Paston,Casino Gran Madrid"</formula1>
      <formula2>0</formula2>
    </dataValidation>
    <dataValidation type="list" allowBlank="1" sqref="D5:D604" xr:uid="{00000000-0002-0000-0100-000001000000}">
      <formula1>"1X2/ML,Hándicap,Totales O/U,DNB,Otro"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69"/>
  <sheetViews>
    <sheetView topLeftCell="A6" zoomScaleNormal="100" workbookViewId="0">
      <selection activeCell="X19" sqref="X19"/>
    </sheetView>
  </sheetViews>
  <sheetFormatPr defaultColWidth="8.7109375" defaultRowHeight="15"/>
  <cols>
    <col min="1" max="20" width="14" style="1" customWidth="1"/>
  </cols>
  <sheetData>
    <row r="1" spans="1:1" ht="21.75" customHeight="1">
      <c r="A1" s="164" t="s">
        <v>852</v>
      </c>
    </row>
    <row r="2" spans="1:1" ht="18" customHeight="1"/>
    <row r="3" spans="1:1" ht="18" customHeight="1"/>
    <row r="4" spans="1:1" ht="18" customHeight="1"/>
    <row r="5" spans="1:1" ht="18" customHeight="1"/>
    <row r="6" spans="1:1" ht="18" customHeight="1"/>
    <row r="7" spans="1:1" ht="18" customHeight="1"/>
    <row r="8" spans="1:1" ht="18" customHeight="1"/>
    <row r="9" spans="1:1" ht="18" customHeight="1"/>
    <row r="10" spans="1:1" ht="18" customHeight="1"/>
    <row r="11" spans="1:1" ht="18" customHeight="1"/>
    <row r="12" spans="1:1" ht="18" customHeight="1"/>
    <row r="13" spans="1:1" ht="18" customHeight="1"/>
    <row r="14" spans="1:1" ht="18" customHeight="1"/>
    <row r="15" spans="1:1" ht="18" customHeight="1"/>
    <row r="16" spans="1:1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spans="1:1" ht="18" customHeight="1"/>
    <row r="34" spans="1:1" ht="18" customHeight="1"/>
    <row r="35" spans="1:1" ht="18" customHeight="1"/>
    <row r="36" spans="1:1" ht="18" customHeight="1"/>
    <row r="37" spans="1:1" ht="18" customHeight="1"/>
    <row r="38" spans="1:1" ht="18" customHeight="1"/>
    <row r="39" spans="1:1" ht="18" customHeight="1"/>
    <row r="40" spans="1:1" ht="18" customHeight="1"/>
    <row r="41" spans="1:1" ht="18" customHeight="1"/>
    <row r="42" spans="1:1" ht="21.75" customHeight="1">
      <c r="A42" s="164" t="s">
        <v>853</v>
      </c>
    </row>
    <row r="43" spans="1:1" ht="18" customHeight="1"/>
    <row r="44" spans="1:1" ht="18" customHeight="1"/>
    <row r="45" spans="1:1" ht="18" customHeight="1"/>
    <row r="46" spans="1:1" ht="18" customHeight="1"/>
    <row r="47" spans="1:1" ht="18" customHeight="1"/>
    <row r="48" spans="1:1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spans="1:1" ht="18" customHeight="1"/>
    <row r="82" spans="1:1" ht="18" customHeight="1"/>
    <row r="83" spans="1:1" ht="18" customHeight="1"/>
    <row r="84" spans="1:1" ht="21.75" customHeight="1">
      <c r="A84" s="164" t="s">
        <v>854</v>
      </c>
    </row>
    <row r="85" spans="1:1" ht="18" customHeight="1"/>
    <row r="86" spans="1:1" ht="18" customHeight="1"/>
    <row r="87" spans="1:1" ht="18" customHeight="1"/>
    <row r="88" spans="1:1" ht="18" customHeight="1"/>
    <row r="89" spans="1:1" ht="18" customHeight="1"/>
    <row r="90" spans="1:1" ht="18" customHeight="1"/>
    <row r="91" spans="1:1" ht="18" customHeight="1"/>
    <row r="92" spans="1:1" ht="18" customHeight="1"/>
    <row r="93" spans="1:1" ht="18" customHeight="1"/>
    <row r="94" spans="1:1" ht="18" customHeight="1"/>
    <row r="95" spans="1:1" ht="18" customHeight="1"/>
    <row r="96" spans="1:1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spans="1:1" ht="18" customHeight="1"/>
    <row r="114" spans="1:1" ht="18" customHeight="1"/>
    <row r="115" spans="1:1" ht="18" customHeight="1"/>
    <row r="116" spans="1:1" ht="18" customHeight="1"/>
    <row r="117" spans="1:1" ht="18" customHeight="1"/>
    <row r="118" spans="1:1" ht="18" customHeight="1"/>
    <row r="119" spans="1:1" ht="18" customHeight="1"/>
    <row r="120" spans="1:1" ht="18" customHeight="1"/>
    <row r="121" spans="1:1" ht="18" customHeight="1"/>
    <row r="122" spans="1:1" ht="18" customHeight="1"/>
    <row r="123" spans="1:1" ht="18" customHeight="1"/>
    <row r="124" spans="1:1" ht="18" customHeight="1"/>
    <row r="125" spans="1:1" ht="18" customHeight="1"/>
    <row r="126" spans="1:1" ht="21.75" customHeight="1">
      <c r="A126" s="164" t="s">
        <v>855</v>
      </c>
    </row>
    <row r="127" spans="1:1" ht="18" customHeight="1"/>
    <row r="128" spans="1:1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22</cp:revision>
  <dcterms:created xsi:type="dcterms:W3CDTF">2026-06-21T01:41:27Z</dcterms:created>
  <dcterms:modified xsi:type="dcterms:W3CDTF">2026-07-18T18:27:07Z</dcterms:modified>
  <cp:category/>
  <cp:contentStatus/>
</cp:coreProperties>
</file>